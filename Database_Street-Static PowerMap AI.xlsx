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vaphom\Documents\AI\ข้อมูล ทำ AI Use Case\"/>
    </mc:Choice>
  </mc:AlternateContent>
  <xr:revisionPtr revIDLastSave="0" documentId="13_ncr:1_{F7DF6E46-B5F9-4E25-83E9-31670884EF8C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2021" sheetId="1" state="hidden" r:id="rId1"/>
    <sheet name="2022" sheetId="2" state="hidden" r:id="rId2"/>
    <sheet name="Sheet13" sheetId="34" r:id="rId3"/>
    <sheet name="ขออนุมัติป้ายเอียง" sheetId="24" state="hidden" r:id="rId4"/>
    <sheet name="Sheet14" sheetId="25" state="hidden" r:id="rId5"/>
    <sheet name="Sheet11" sheetId="22" state="hidden" r:id="rId6"/>
    <sheet name="Sheet6" sheetId="19" state="hidden" r:id="rId7"/>
    <sheet name="Sheet10" sheetId="18" state="hidden" r:id="rId8"/>
    <sheet name="Sheet8" sheetId="20" state="hidden" r:id="rId9"/>
    <sheet name="Sheet9" sheetId="21" state="hidden" r:id="rId10"/>
    <sheet name="Sheet4" sheetId="10" state="hidden" r:id="rId11"/>
    <sheet name="ส่งจัดซื้อ" sheetId="30" state="hidden" r:id="rId12"/>
    <sheet name="Sheet3" sheetId="9" state="hidden" r:id="rId13"/>
    <sheet name="สุ่งอุ๊" sheetId="7" state="hidden" r:id="rId14"/>
    <sheet name="Sheet5" sheetId="11" state="hidden" r:id="rId15"/>
    <sheet name="ขออนุมัติเดินไฟก่อน" sheetId="8" state="hidden" r:id="rId16"/>
    <sheet name="ยันยงค์" sheetId="15" state="hidden" r:id="rId17"/>
    <sheet name="สเตฟานี่" sheetId="17" state="hidden" r:id="rId18"/>
    <sheet name="สุพรรณ" sheetId="16" state="hidden" r:id="rId19"/>
    <sheet name="จั้มไฟ" sheetId="12" state="hidden" r:id="rId20"/>
    <sheet name="ขอไฟครั้งที่ 14" sheetId="13" state="hidden" r:id="rId21"/>
    <sheet name="Sheet12" sheetId="23" state="hidden" r:id="rId22"/>
    <sheet name="Sheet7" sheetId="14" state="hidden" r:id="rId23"/>
    <sheet name="Sheet1" sheetId="5" state="hidden" r:id="rId24"/>
    <sheet name="Sheet2" sheetId="6" state="hidden" r:id="rId25"/>
  </sheets>
  <externalReferences>
    <externalReference r:id="rId26"/>
  </externalReferences>
  <definedNames>
    <definedName name="_xlnm._FilterDatabase" localSheetId="0" hidden="1">'2021'!$B$1:$E$16</definedName>
    <definedName name="_xlnm._FilterDatabase" localSheetId="4" hidden="1">Sheet14!$A$1:$J$1</definedName>
    <definedName name="_xlnm._FilterDatabase" localSheetId="15" hidden="1">ขออนุมัติเดินไฟก่อน!$A$1:$T$1</definedName>
    <definedName name="_xlnm._FilterDatabase" localSheetId="3" hidden="1">ขออนุมัติป้ายเอียง!$A$2:$AK$1195</definedName>
    <definedName name="_xlnm.Print_Area" localSheetId="7">Sheet10!$A$1:$E$42</definedName>
    <definedName name="_xlnm.Print_Area" localSheetId="6">Sheet6!$A$1:$P$4</definedName>
    <definedName name="_xlnm.Print_Area" localSheetId="8">Sheet8!$A$1:$I$3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195" i="24" l="1"/>
  <c r="X1195" i="24"/>
  <c r="Z1195" i="24" s="1"/>
  <c r="AH1194" i="24"/>
  <c r="X1194" i="24"/>
  <c r="Z1194" i="24" s="1"/>
  <c r="AH1193" i="24"/>
  <c r="X1193" i="24"/>
  <c r="Z1193" i="24" s="1"/>
  <c r="AH1192" i="24"/>
  <c r="X1192" i="24"/>
  <c r="Z1192" i="24" s="1"/>
  <c r="AH1191" i="24"/>
  <c r="X1191" i="24"/>
  <c r="Z1191" i="24" s="1"/>
  <c r="AH1190" i="24"/>
  <c r="X1190" i="24"/>
  <c r="Z1190" i="24" s="1"/>
  <c r="AH1189" i="24"/>
  <c r="X1189" i="24"/>
  <c r="Z1189" i="24" s="1"/>
  <c r="AH1188" i="24"/>
  <c r="X1188" i="24"/>
  <c r="Z1188" i="24" s="1"/>
  <c r="AH1187" i="24"/>
  <c r="X1187" i="24"/>
  <c r="Z1187" i="24" s="1"/>
  <c r="AH1186" i="24"/>
  <c r="X1186" i="24"/>
  <c r="Z1186" i="24" s="1"/>
  <c r="AH1185" i="24"/>
  <c r="X1185" i="24"/>
  <c r="Z1185" i="24" s="1"/>
  <c r="AH1184" i="24"/>
  <c r="X1184" i="24"/>
  <c r="Z1184" i="24" s="1"/>
  <c r="AH1183" i="24"/>
  <c r="X1183" i="24"/>
  <c r="Z1183" i="24" s="1"/>
  <c r="AH1182" i="24"/>
  <c r="X1182" i="24"/>
  <c r="Z1182" i="24" s="1"/>
  <c r="AH1181" i="24"/>
  <c r="X1181" i="24"/>
  <c r="Z1181" i="24" s="1"/>
  <c r="AH1180" i="24"/>
  <c r="X1180" i="24"/>
  <c r="Z1180" i="24" s="1"/>
  <c r="AH1179" i="24"/>
  <c r="X1179" i="24"/>
  <c r="Z1179" i="24" s="1"/>
  <c r="AH1178" i="24"/>
  <c r="X1178" i="24"/>
  <c r="Z1178" i="24" s="1"/>
  <c r="AH1177" i="24"/>
  <c r="X1177" i="24"/>
  <c r="Z1177" i="24" s="1"/>
  <c r="AH1176" i="24"/>
  <c r="X1176" i="24"/>
  <c r="Z1176" i="24" s="1"/>
  <c r="AH1175" i="24"/>
  <c r="X1175" i="24"/>
  <c r="Z1175" i="24" s="1"/>
  <c r="AH1174" i="24"/>
  <c r="X1174" i="24"/>
  <c r="Z1174" i="24" s="1"/>
  <c r="AH1173" i="24"/>
  <c r="X1173" i="24"/>
  <c r="Z1173" i="24" s="1"/>
  <c r="AH1172" i="24"/>
  <c r="X1172" i="24"/>
  <c r="Z1172" i="24" s="1"/>
  <c r="AH1171" i="24"/>
  <c r="X1171" i="24"/>
  <c r="Z1171" i="24" s="1"/>
  <c r="AH1170" i="24"/>
  <c r="X1170" i="24"/>
  <c r="Z1170" i="24" s="1"/>
  <c r="AH1169" i="24"/>
  <c r="X1169" i="24"/>
  <c r="Z1169" i="24" s="1"/>
  <c r="AH1168" i="24"/>
  <c r="X1168" i="24"/>
  <c r="Z1168" i="24" s="1"/>
  <c r="AH1167" i="24"/>
  <c r="X1167" i="24"/>
  <c r="Z1167" i="24" s="1"/>
  <c r="AH1166" i="24"/>
  <c r="X1166" i="24"/>
  <c r="Z1166" i="24" s="1"/>
  <c r="AH1165" i="24"/>
  <c r="X1165" i="24"/>
  <c r="Z1165" i="24" s="1"/>
  <c r="AH1164" i="24"/>
  <c r="X1164" i="24"/>
  <c r="Z1164" i="24" s="1"/>
  <c r="AH1163" i="24"/>
  <c r="X1163" i="24"/>
  <c r="Z1163" i="24" s="1"/>
  <c r="AH1162" i="24"/>
  <c r="X1162" i="24"/>
  <c r="Z1162" i="24" s="1"/>
  <c r="AH1161" i="24"/>
  <c r="X1161" i="24"/>
  <c r="Z1161" i="24" s="1"/>
  <c r="AH1160" i="24"/>
  <c r="X1160" i="24"/>
  <c r="Z1160" i="24" s="1"/>
  <c r="AH1159" i="24"/>
  <c r="X1159" i="24"/>
  <c r="Z1159" i="24" s="1"/>
  <c r="AH1158" i="24"/>
  <c r="X1158" i="24"/>
  <c r="Z1158" i="24" s="1"/>
  <c r="AH1157" i="24"/>
  <c r="X1157" i="24"/>
  <c r="Z1157" i="24" s="1"/>
  <c r="AH1156" i="24"/>
  <c r="X1156" i="24"/>
  <c r="Z1156" i="24" s="1"/>
  <c r="AH1155" i="24"/>
  <c r="X1155" i="24"/>
  <c r="Z1155" i="24" s="1"/>
  <c r="AH1154" i="24"/>
  <c r="X1154" i="24"/>
  <c r="Z1154" i="24" s="1"/>
  <c r="AH1153" i="24"/>
  <c r="X1153" i="24"/>
  <c r="Z1153" i="24" s="1"/>
  <c r="AH1152" i="24"/>
  <c r="X1152" i="24"/>
  <c r="Z1152" i="24" s="1"/>
  <c r="AH1151" i="24"/>
  <c r="X1151" i="24"/>
  <c r="Z1151" i="24" s="1"/>
  <c r="AH1150" i="24"/>
  <c r="X1150" i="24"/>
  <c r="Z1150" i="24" s="1"/>
  <c r="AH1149" i="24"/>
  <c r="X1149" i="24"/>
  <c r="Z1149" i="24" s="1"/>
  <c r="AH1148" i="24"/>
  <c r="X1148" i="24"/>
  <c r="Z1148" i="24" s="1"/>
  <c r="AH1147" i="24"/>
  <c r="X1147" i="24"/>
  <c r="Z1147" i="24" s="1"/>
  <c r="AH1146" i="24"/>
  <c r="X1146" i="24"/>
  <c r="Z1146" i="24" s="1"/>
  <c r="AH1145" i="24"/>
  <c r="X1145" i="24"/>
  <c r="Z1145" i="24" s="1"/>
  <c r="AH1144" i="24"/>
  <c r="X1144" i="24"/>
  <c r="Z1144" i="24" s="1"/>
  <c r="AH1143" i="24"/>
  <c r="X1143" i="24"/>
  <c r="Z1143" i="24" s="1"/>
  <c r="AH1142" i="24"/>
  <c r="X1142" i="24"/>
  <c r="Z1142" i="24" s="1"/>
  <c r="AH1141" i="24"/>
  <c r="X1141" i="24"/>
  <c r="Z1141" i="24" s="1"/>
  <c r="AH1140" i="24"/>
  <c r="X1140" i="24"/>
  <c r="Z1140" i="24" s="1"/>
  <c r="AH1139" i="24"/>
  <c r="X1139" i="24"/>
  <c r="Z1139" i="24" s="1"/>
  <c r="AH1138" i="24"/>
  <c r="X1138" i="24"/>
  <c r="Z1138" i="24" s="1"/>
  <c r="AH1137" i="24"/>
  <c r="X1137" i="24"/>
  <c r="Z1137" i="24" s="1"/>
  <c r="AH1136" i="24"/>
  <c r="X1136" i="24"/>
  <c r="Z1136" i="24" s="1"/>
  <c r="AH1135" i="24"/>
  <c r="X1135" i="24"/>
  <c r="Z1135" i="24" s="1"/>
  <c r="AH1134" i="24"/>
  <c r="X1134" i="24"/>
  <c r="Z1134" i="24" s="1"/>
  <c r="AH1133" i="24"/>
  <c r="X1133" i="24"/>
  <c r="Z1133" i="24" s="1"/>
  <c r="AH1132" i="24"/>
  <c r="X1132" i="24"/>
  <c r="Z1132" i="24" s="1"/>
  <c r="AH1131" i="24"/>
  <c r="X1131" i="24"/>
  <c r="Z1131" i="24" s="1"/>
  <c r="AH1130" i="24"/>
  <c r="X1130" i="24"/>
  <c r="Z1130" i="24" s="1"/>
  <c r="AH1129" i="24"/>
  <c r="X1129" i="24"/>
  <c r="Z1129" i="24" s="1"/>
  <c r="AH1128" i="24"/>
  <c r="X1128" i="24"/>
  <c r="Z1128" i="24" s="1"/>
  <c r="AH1127" i="24"/>
  <c r="X1127" i="24"/>
  <c r="Z1127" i="24" s="1"/>
  <c r="AH1126" i="24"/>
  <c r="X1126" i="24"/>
  <c r="Z1126" i="24" s="1"/>
  <c r="AH1125" i="24"/>
  <c r="X1125" i="24"/>
  <c r="Z1125" i="24" s="1"/>
  <c r="AH1124" i="24"/>
  <c r="X1124" i="24"/>
  <c r="Z1124" i="24" s="1"/>
  <c r="AH1123" i="24"/>
  <c r="X1123" i="24"/>
  <c r="Z1123" i="24" s="1"/>
  <c r="AH1122" i="24"/>
  <c r="X1122" i="24"/>
  <c r="Z1122" i="24" s="1"/>
  <c r="AH1121" i="24"/>
  <c r="X1121" i="24"/>
  <c r="Z1121" i="24" s="1"/>
  <c r="AH1120" i="24"/>
  <c r="X1120" i="24"/>
  <c r="Z1120" i="24" s="1"/>
  <c r="AH1119" i="24"/>
  <c r="X1119" i="24"/>
  <c r="Z1119" i="24" s="1"/>
  <c r="AH1118" i="24"/>
  <c r="X1118" i="24"/>
  <c r="Z1118" i="24" s="1"/>
  <c r="AH1117" i="24"/>
  <c r="X1117" i="24"/>
  <c r="Z1117" i="24" s="1"/>
  <c r="AH1116" i="24"/>
  <c r="X1116" i="24"/>
  <c r="Z1116" i="24" s="1"/>
  <c r="AH1115" i="24"/>
  <c r="X1115" i="24"/>
  <c r="Z1115" i="24" s="1"/>
  <c r="AH1114" i="24"/>
  <c r="X1114" i="24"/>
  <c r="Z1114" i="24" s="1"/>
  <c r="AH1113" i="24"/>
  <c r="X1113" i="24"/>
  <c r="Z1113" i="24" s="1"/>
  <c r="AH1112" i="24"/>
  <c r="X1112" i="24"/>
  <c r="Z1112" i="24" s="1"/>
  <c r="AH1111" i="24"/>
  <c r="X1111" i="24"/>
  <c r="Z1111" i="24" s="1"/>
  <c r="AH1110" i="24"/>
  <c r="X1110" i="24"/>
  <c r="Z1110" i="24" s="1"/>
  <c r="AH1109" i="24"/>
  <c r="X1109" i="24"/>
  <c r="Z1109" i="24" s="1"/>
  <c r="AH1108" i="24"/>
  <c r="X1108" i="24"/>
  <c r="Z1108" i="24" s="1"/>
  <c r="AH1107" i="24"/>
  <c r="X1107" i="24"/>
  <c r="Z1107" i="24" s="1"/>
  <c r="AH1106" i="24"/>
  <c r="X1106" i="24"/>
  <c r="Z1106" i="24" s="1"/>
  <c r="AH1105" i="24"/>
  <c r="X1105" i="24"/>
  <c r="Z1105" i="24" s="1"/>
  <c r="AH1104" i="24"/>
  <c r="X1104" i="24"/>
  <c r="Z1104" i="24" s="1"/>
  <c r="AH1103" i="24"/>
  <c r="X1103" i="24"/>
  <c r="Z1103" i="24" s="1"/>
  <c r="AH1102" i="24"/>
  <c r="X1102" i="24"/>
  <c r="Z1102" i="24" s="1"/>
  <c r="AH1101" i="24"/>
  <c r="X1101" i="24"/>
  <c r="Z1101" i="24" s="1"/>
  <c r="AH1100" i="24"/>
  <c r="X1100" i="24"/>
  <c r="Z1100" i="24" s="1"/>
  <c r="AH1099" i="24"/>
  <c r="X1099" i="24"/>
  <c r="Z1099" i="24" s="1"/>
  <c r="AH1098" i="24"/>
  <c r="X1098" i="24"/>
  <c r="Z1098" i="24" s="1"/>
  <c r="AH1097" i="24"/>
  <c r="X1097" i="24"/>
  <c r="Z1097" i="24" s="1"/>
  <c r="AH1096" i="24"/>
  <c r="X1096" i="24"/>
  <c r="Z1096" i="24" s="1"/>
  <c r="AH1095" i="24"/>
  <c r="X1095" i="24"/>
  <c r="Z1095" i="24" s="1"/>
  <c r="AH1094" i="24"/>
  <c r="X1094" i="24"/>
  <c r="Z1094" i="24" s="1"/>
  <c r="AH1093" i="24"/>
  <c r="X1093" i="24"/>
  <c r="Z1093" i="24" s="1"/>
  <c r="AH1092" i="24"/>
  <c r="X1092" i="24"/>
  <c r="Z1092" i="24" s="1"/>
  <c r="AH1091" i="24"/>
  <c r="X1091" i="24"/>
  <c r="Z1091" i="24" s="1"/>
  <c r="AH1090" i="24"/>
  <c r="X1090" i="24"/>
  <c r="Z1090" i="24" s="1"/>
  <c r="AH1089" i="24"/>
  <c r="X1089" i="24"/>
  <c r="Z1089" i="24" s="1"/>
  <c r="AH1088" i="24"/>
  <c r="X1088" i="24"/>
  <c r="Z1088" i="24" s="1"/>
  <c r="AH1087" i="24"/>
  <c r="X1087" i="24"/>
  <c r="Z1087" i="24" s="1"/>
  <c r="AH1086" i="24"/>
  <c r="X1086" i="24"/>
  <c r="Z1086" i="24" s="1"/>
  <c r="AH1085" i="24"/>
  <c r="X1085" i="24"/>
  <c r="Z1085" i="24" s="1"/>
  <c r="AH1084" i="24"/>
  <c r="X1084" i="24"/>
  <c r="Z1084" i="24" s="1"/>
  <c r="AH1083" i="24"/>
  <c r="X1083" i="24"/>
  <c r="Z1083" i="24" s="1"/>
  <c r="AH1082" i="24"/>
  <c r="X1082" i="24"/>
  <c r="Z1082" i="24" s="1"/>
  <c r="AH1081" i="24"/>
  <c r="X1081" i="24"/>
  <c r="Z1081" i="24" s="1"/>
  <c r="AH1080" i="24"/>
  <c r="X1080" i="24"/>
  <c r="Z1080" i="24" s="1"/>
  <c r="AH1079" i="24"/>
  <c r="X1079" i="24"/>
  <c r="Z1079" i="24" s="1"/>
  <c r="AH1078" i="24"/>
  <c r="X1078" i="24"/>
  <c r="Z1078" i="24" s="1"/>
  <c r="AH1077" i="24"/>
  <c r="X1077" i="24"/>
  <c r="Z1077" i="24" s="1"/>
  <c r="AH1076" i="24"/>
  <c r="X1076" i="24"/>
  <c r="Z1076" i="24" s="1"/>
  <c r="AH1075" i="24"/>
  <c r="X1075" i="24"/>
  <c r="Z1075" i="24" s="1"/>
  <c r="AH1074" i="24"/>
  <c r="X1074" i="24"/>
  <c r="Z1074" i="24" s="1"/>
  <c r="AH1073" i="24"/>
  <c r="X1073" i="24"/>
  <c r="Z1073" i="24" s="1"/>
  <c r="AH1072" i="24"/>
  <c r="X1072" i="24"/>
  <c r="Z1072" i="24" s="1"/>
  <c r="AH1071" i="24"/>
  <c r="X1071" i="24"/>
  <c r="Z1071" i="24" s="1"/>
  <c r="AH1070" i="24"/>
  <c r="X1070" i="24"/>
  <c r="Z1070" i="24" s="1"/>
  <c r="AH1069" i="24"/>
  <c r="X1069" i="24"/>
  <c r="Z1069" i="24" s="1"/>
  <c r="AH1068" i="24"/>
  <c r="X1068" i="24"/>
  <c r="Z1068" i="24" s="1"/>
  <c r="AH1067" i="24"/>
  <c r="X1067" i="24"/>
  <c r="Z1067" i="24" s="1"/>
  <c r="AH1066" i="24"/>
  <c r="X1066" i="24"/>
  <c r="Z1066" i="24" s="1"/>
  <c r="AH1065" i="24"/>
  <c r="X1065" i="24"/>
  <c r="Z1065" i="24" s="1"/>
  <c r="AH1064" i="24"/>
  <c r="X1064" i="24"/>
  <c r="Z1064" i="24" s="1"/>
  <c r="AH1063" i="24"/>
  <c r="X1063" i="24"/>
  <c r="Z1063" i="24" s="1"/>
  <c r="AH1062" i="24"/>
  <c r="X1062" i="24"/>
  <c r="Z1062" i="24" s="1"/>
  <c r="AH1061" i="24"/>
  <c r="X1061" i="24"/>
  <c r="Z1061" i="24" s="1"/>
  <c r="AH1060" i="24"/>
  <c r="X1060" i="24"/>
  <c r="Z1060" i="24" s="1"/>
  <c r="AH1059" i="24"/>
  <c r="X1059" i="24"/>
  <c r="Z1059" i="24" s="1"/>
  <c r="AH1058" i="24"/>
  <c r="X1058" i="24"/>
  <c r="Z1058" i="24" s="1"/>
  <c r="AH1057" i="24"/>
  <c r="X1057" i="24"/>
  <c r="Z1057" i="24" s="1"/>
  <c r="AH1056" i="24"/>
  <c r="X1056" i="24"/>
  <c r="Z1056" i="24" s="1"/>
  <c r="AH1055" i="24"/>
  <c r="X1055" i="24"/>
  <c r="Z1055" i="24" s="1"/>
  <c r="AH1054" i="24"/>
  <c r="X1054" i="24"/>
  <c r="Z1054" i="24" s="1"/>
  <c r="AH1053" i="24"/>
  <c r="X1053" i="24"/>
  <c r="Z1053" i="24" s="1"/>
  <c r="AH1052" i="24"/>
  <c r="X1052" i="24"/>
  <c r="Z1052" i="24" s="1"/>
  <c r="AH1051" i="24"/>
  <c r="X1051" i="24"/>
  <c r="Z1051" i="24" s="1"/>
  <c r="AH1050" i="24"/>
  <c r="X1050" i="24"/>
  <c r="Z1050" i="24" s="1"/>
  <c r="AH1049" i="24"/>
  <c r="X1049" i="24"/>
  <c r="Z1049" i="24" s="1"/>
  <c r="AH1048" i="24"/>
  <c r="X1048" i="24"/>
  <c r="Z1048" i="24" s="1"/>
  <c r="AH1047" i="24"/>
  <c r="X1047" i="24"/>
  <c r="Z1047" i="24" s="1"/>
  <c r="AH1046" i="24"/>
  <c r="X1046" i="24"/>
  <c r="Z1046" i="24" s="1"/>
  <c r="AH1045" i="24"/>
  <c r="X1045" i="24"/>
  <c r="Z1045" i="24" s="1"/>
  <c r="AH1044" i="24"/>
  <c r="X1044" i="24"/>
  <c r="Z1044" i="24" s="1"/>
  <c r="AH1043" i="24"/>
  <c r="X1043" i="24"/>
  <c r="Z1043" i="24" s="1"/>
  <c r="AH1042" i="24"/>
  <c r="X1042" i="24"/>
  <c r="Z1042" i="24" s="1"/>
  <c r="AH1041" i="24"/>
  <c r="X1041" i="24"/>
  <c r="Z1041" i="24" s="1"/>
  <c r="AH1040" i="24"/>
  <c r="X1040" i="24"/>
  <c r="Z1040" i="24" s="1"/>
  <c r="AH1039" i="24"/>
  <c r="X1039" i="24"/>
  <c r="Z1039" i="24" s="1"/>
  <c r="AH1038" i="24"/>
  <c r="X1038" i="24"/>
  <c r="Z1038" i="24" s="1"/>
  <c r="AH1037" i="24"/>
  <c r="X1037" i="24"/>
  <c r="Z1037" i="24" s="1"/>
  <c r="AH1036" i="24"/>
  <c r="X1036" i="24"/>
  <c r="Z1036" i="24" s="1"/>
  <c r="AH1035" i="24"/>
  <c r="X1035" i="24"/>
  <c r="Z1035" i="24" s="1"/>
  <c r="AH1034" i="24"/>
  <c r="X1034" i="24"/>
  <c r="Z1034" i="24" s="1"/>
  <c r="AH1033" i="24"/>
  <c r="X1033" i="24"/>
  <c r="Z1033" i="24" s="1"/>
  <c r="AH1032" i="24"/>
  <c r="X1032" i="24"/>
  <c r="Z1032" i="24" s="1"/>
  <c r="AH1031" i="24"/>
  <c r="X1031" i="24"/>
  <c r="Z1031" i="24" s="1"/>
  <c r="AH1030" i="24"/>
  <c r="X1030" i="24"/>
  <c r="Z1030" i="24" s="1"/>
  <c r="AH1029" i="24"/>
  <c r="X1029" i="24"/>
  <c r="Z1029" i="24" s="1"/>
  <c r="AH1028" i="24"/>
  <c r="X1028" i="24"/>
  <c r="Z1028" i="24" s="1"/>
  <c r="AH1027" i="24"/>
  <c r="X1027" i="24"/>
  <c r="Z1027" i="24" s="1"/>
  <c r="AH1026" i="24"/>
  <c r="X1026" i="24"/>
  <c r="Z1026" i="24" s="1"/>
  <c r="AH1025" i="24"/>
  <c r="X1025" i="24"/>
  <c r="Z1025" i="24" s="1"/>
  <c r="AH1024" i="24"/>
  <c r="X1024" i="24"/>
  <c r="Z1024" i="24" s="1"/>
  <c r="AH1023" i="24"/>
  <c r="X1023" i="24"/>
  <c r="Z1023" i="24" s="1"/>
  <c r="AH1022" i="24"/>
  <c r="X1022" i="24"/>
  <c r="Z1022" i="24" s="1"/>
  <c r="AH1021" i="24"/>
  <c r="X1021" i="24"/>
  <c r="Z1021" i="24" s="1"/>
  <c r="AH1020" i="24"/>
  <c r="X1020" i="24"/>
  <c r="Z1020" i="24" s="1"/>
  <c r="AH1019" i="24"/>
  <c r="X1019" i="24"/>
  <c r="Z1019" i="24" s="1"/>
  <c r="AH1018" i="24"/>
  <c r="X1018" i="24"/>
  <c r="Z1018" i="24" s="1"/>
  <c r="AH1017" i="24"/>
  <c r="X1017" i="24"/>
  <c r="Z1017" i="24" s="1"/>
  <c r="AH1016" i="24"/>
  <c r="X1016" i="24"/>
  <c r="Z1016" i="24" s="1"/>
  <c r="AH1015" i="24"/>
  <c r="X1015" i="24"/>
  <c r="Z1015" i="24" s="1"/>
  <c r="AH1014" i="24"/>
  <c r="X1014" i="24"/>
  <c r="Z1014" i="24" s="1"/>
  <c r="AH1013" i="24"/>
  <c r="X1013" i="24"/>
  <c r="Z1013" i="24" s="1"/>
  <c r="AH1012" i="24"/>
  <c r="X1012" i="24"/>
  <c r="Z1012" i="24" s="1"/>
  <c r="AH1011" i="24"/>
  <c r="X1011" i="24"/>
  <c r="Z1011" i="24" s="1"/>
  <c r="AH1010" i="24"/>
  <c r="X1010" i="24"/>
  <c r="Z1010" i="24" s="1"/>
  <c r="AH1009" i="24"/>
  <c r="X1009" i="24"/>
  <c r="Z1009" i="24" s="1"/>
  <c r="AH1008" i="24"/>
  <c r="X1008" i="24"/>
  <c r="Z1008" i="24" s="1"/>
  <c r="AH1007" i="24"/>
  <c r="X1007" i="24"/>
  <c r="Z1007" i="24" s="1"/>
  <c r="AH1006" i="24"/>
  <c r="X1006" i="24"/>
  <c r="Z1006" i="24" s="1"/>
  <c r="AH1005" i="24"/>
  <c r="X1005" i="24"/>
  <c r="Z1005" i="24" s="1"/>
  <c r="AH1004" i="24"/>
  <c r="X1004" i="24"/>
  <c r="Z1004" i="24" s="1"/>
  <c r="AH1003" i="24"/>
  <c r="X1003" i="24"/>
  <c r="Z1003" i="24" s="1"/>
  <c r="AH1002" i="24"/>
  <c r="X1002" i="24"/>
  <c r="Z1002" i="24" s="1"/>
  <c r="AH1001" i="24"/>
  <c r="X1001" i="24"/>
  <c r="Z1001" i="24" s="1"/>
  <c r="AH1000" i="24"/>
  <c r="X1000" i="24"/>
  <c r="Z1000" i="24" s="1"/>
  <c r="AH999" i="24"/>
  <c r="X999" i="24"/>
  <c r="Z999" i="24" s="1"/>
  <c r="AH998" i="24"/>
  <c r="X998" i="24"/>
  <c r="Z998" i="24" s="1"/>
  <c r="AH997" i="24"/>
  <c r="X997" i="24"/>
  <c r="Z997" i="24" s="1"/>
  <c r="AH996" i="24"/>
  <c r="X996" i="24"/>
  <c r="Z996" i="24" s="1"/>
  <c r="AH995" i="24"/>
  <c r="X995" i="24"/>
  <c r="Z995" i="24" s="1"/>
  <c r="AH994" i="24"/>
  <c r="X994" i="24"/>
  <c r="Z994" i="24" s="1"/>
  <c r="AH993" i="24"/>
  <c r="X993" i="24"/>
  <c r="Z993" i="24" s="1"/>
  <c r="AH992" i="24"/>
  <c r="X992" i="24"/>
  <c r="Z992" i="24" s="1"/>
  <c r="AH991" i="24"/>
  <c r="X991" i="24"/>
  <c r="Z991" i="24" s="1"/>
  <c r="AH990" i="24"/>
  <c r="X990" i="24"/>
  <c r="Z990" i="24" s="1"/>
  <c r="AH989" i="24"/>
  <c r="X989" i="24"/>
  <c r="Z989" i="24" s="1"/>
  <c r="AH988" i="24"/>
  <c r="X988" i="24"/>
  <c r="Z988" i="24" s="1"/>
  <c r="AH987" i="24"/>
  <c r="X987" i="24"/>
  <c r="Z987" i="24" s="1"/>
  <c r="AH986" i="24"/>
  <c r="X986" i="24"/>
  <c r="Z986" i="24" s="1"/>
  <c r="AH985" i="24"/>
  <c r="X985" i="24"/>
  <c r="Z985" i="24" s="1"/>
  <c r="AH984" i="24"/>
  <c r="X984" i="24"/>
  <c r="Z984" i="24" s="1"/>
  <c r="AH983" i="24"/>
  <c r="X983" i="24"/>
  <c r="Z983" i="24" s="1"/>
  <c r="AH982" i="24"/>
  <c r="X982" i="24"/>
  <c r="Z982" i="24" s="1"/>
  <c r="AH981" i="24"/>
  <c r="X981" i="24"/>
  <c r="Z981" i="24" s="1"/>
  <c r="AH980" i="24"/>
  <c r="X980" i="24"/>
  <c r="Z980" i="24" s="1"/>
  <c r="AH979" i="24"/>
  <c r="X979" i="24"/>
  <c r="Z979" i="24" s="1"/>
  <c r="AH978" i="24"/>
  <c r="X978" i="24"/>
  <c r="Z978" i="24" s="1"/>
  <c r="AH977" i="24"/>
  <c r="X977" i="24"/>
  <c r="Z977" i="24" s="1"/>
  <c r="AH976" i="24"/>
  <c r="X976" i="24"/>
  <c r="Z976" i="24" s="1"/>
  <c r="AH975" i="24"/>
  <c r="X975" i="24"/>
  <c r="Z975" i="24" s="1"/>
  <c r="AH974" i="24"/>
  <c r="X974" i="24"/>
  <c r="Z974" i="24" s="1"/>
  <c r="AH973" i="24"/>
  <c r="X973" i="24"/>
  <c r="Z973" i="24" s="1"/>
  <c r="AH972" i="24"/>
  <c r="X972" i="24"/>
  <c r="Z972" i="24" s="1"/>
  <c r="AH971" i="24"/>
  <c r="X971" i="24"/>
  <c r="Z971" i="24" s="1"/>
  <c r="AH970" i="24"/>
  <c r="X970" i="24"/>
  <c r="Z970" i="24" s="1"/>
  <c r="AH969" i="24"/>
  <c r="X969" i="24"/>
  <c r="Z969" i="24" s="1"/>
  <c r="AH968" i="24"/>
  <c r="X968" i="24"/>
  <c r="Z968" i="24" s="1"/>
  <c r="AH967" i="24"/>
  <c r="X967" i="24"/>
  <c r="Z967" i="24" s="1"/>
  <c r="AH966" i="24"/>
  <c r="X966" i="24"/>
  <c r="Z966" i="24" s="1"/>
  <c r="AH965" i="24"/>
  <c r="X965" i="24"/>
  <c r="Z965" i="24" s="1"/>
  <c r="AH964" i="24"/>
  <c r="X964" i="24"/>
  <c r="Z964" i="24" s="1"/>
  <c r="AH963" i="24"/>
  <c r="X963" i="24"/>
  <c r="Z963" i="24" s="1"/>
  <c r="AH962" i="24"/>
  <c r="X962" i="24"/>
  <c r="Z962" i="24" s="1"/>
  <c r="AH961" i="24"/>
  <c r="X961" i="24"/>
  <c r="Z961" i="24" s="1"/>
  <c r="AH960" i="24"/>
  <c r="X960" i="24"/>
  <c r="Z960" i="24" s="1"/>
  <c r="AH959" i="24"/>
  <c r="X959" i="24"/>
  <c r="Z959" i="24" s="1"/>
  <c r="AH958" i="24"/>
  <c r="X958" i="24"/>
  <c r="Z958" i="24" s="1"/>
  <c r="AH957" i="24"/>
  <c r="X957" i="24"/>
  <c r="Z957" i="24" s="1"/>
  <c r="AH956" i="24"/>
  <c r="X956" i="24"/>
  <c r="Z956" i="24" s="1"/>
  <c r="AH955" i="24"/>
  <c r="X955" i="24"/>
  <c r="Z955" i="24" s="1"/>
  <c r="AH954" i="24"/>
  <c r="X954" i="24"/>
  <c r="Z954" i="24" s="1"/>
  <c r="AH953" i="24"/>
  <c r="X953" i="24"/>
  <c r="Z953" i="24" s="1"/>
  <c r="AH952" i="24"/>
  <c r="X952" i="24"/>
  <c r="Z952" i="24" s="1"/>
  <c r="AH951" i="24"/>
  <c r="X951" i="24"/>
  <c r="Z951" i="24" s="1"/>
  <c r="AH950" i="24"/>
  <c r="X950" i="24"/>
  <c r="Z950" i="24" s="1"/>
  <c r="AH949" i="24"/>
  <c r="X949" i="24"/>
  <c r="Z949" i="24" s="1"/>
  <c r="AH948" i="24"/>
  <c r="X948" i="24"/>
  <c r="Z948" i="24" s="1"/>
  <c r="AH947" i="24"/>
  <c r="X947" i="24"/>
  <c r="Z947" i="24" s="1"/>
  <c r="AH946" i="24"/>
  <c r="X946" i="24"/>
  <c r="Z946" i="24" s="1"/>
  <c r="AH945" i="24"/>
  <c r="X945" i="24"/>
  <c r="Z945" i="24" s="1"/>
  <c r="AH944" i="24"/>
  <c r="X944" i="24"/>
  <c r="Z944" i="24" s="1"/>
  <c r="AH943" i="24"/>
  <c r="X943" i="24"/>
  <c r="Z943" i="24" s="1"/>
  <c r="AH942" i="24"/>
  <c r="X942" i="24"/>
  <c r="Z942" i="24" s="1"/>
  <c r="AH941" i="24"/>
  <c r="X941" i="24"/>
  <c r="Z941" i="24" s="1"/>
  <c r="AH940" i="24"/>
  <c r="X940" i="24"/>
  <c r="Z940" i="24" s="1"/>
  <c r="AH939" i="24"/>
  <c r="X939" i="24"/>
  <c r="Z939" i="24" s="1"/>
  <c r="AH938" i="24"/>
  <c r="X938" i="24"/>
  <c r="Z938" i="24" s="1"/>
  <c r="AH937" i="24"/>
  <c r="X937" i="24"/>
  <c r="Z937" i="24" s="1"/>
  <c r="AH936" i="24"/>
  <c r="X936" i="24"/>
  <c r="Z936" i="24" s="1"/>
  <c r="AH935" i="24"/>
  <c r="X935" i="24"/>
  <c r="Z935" i="24" s="1"/>
  <c r="AH934" i="24"/>
  <c r="X934" i="24"/>
  <c r="Z934" i="24" s="1"/>
  <c r="AH933" i="24"/>
  <c r="X933" i="24"/>
  <c r="Z933" i="24" s="1"/>
  <c r="AH932" i="24"/>
  <c r="X932" i="24"/>
  <c r="Z932" i="24" s="1"/>
  <c r="AH931" i="24"/>
  <c r="X931" i="24"/>
  <c r="Z931" i="24" s="1"/>
  <c r="AH930" i="24"/>
  <c r="X930" i="24"/>
  <c r="Z930" i="24" s="1"/>
  <c r="AH929" i="24"/>
  <c r="X929" i="24"/>
  <c r="Z929" i="24" s="1"/>
  <c r="AH928" i="24"/>
  <c r="X928" i="24"/>
  <c r="Z928" i="24" s="1"/>
  <c r="AH927" i="24"/>
  <c r="X927" i="24"/>
  <c r="Z927" i="24" s="1"/>
  <c r="AH926" i="24"/>
  <c r="X926" i="24"/>
  <c r="Z926" i="24" s="1"/>
  <c r="AH925" i="24"/>
  <c r="X925" i="24"/>
  <c r="Z925" i="24" s="1"/>
  <c r="AH924" i="24"/>
  <c r="X924" i="24"/>
  <c r="Z924" i="24" s="1"/>
  <c r="AH923" i="24"/>
  <c r="X923" i="24"/>
  <c r="Z923" i="24" s="1"/>
  <c r="AH922" i="24"/>
  <c r="X922" i="24"/>
  <c r="Z922" i="24" s="1"/>
  <c r="AH921" i="24"/>
  <c r="X921" i="24"/>
  <c r="Z921" i="24" s="1"/>
  <c r="AH920" i="24"/>
  <c r="X920" i="24"/>
  <c r="Z920" i="24" s="1"/>
  <c r="AH919" i="24"/>
  <c r="X919" i="24"/>
  <c r="Z919" i="24" s="1"/>
  <c r="AH918" i="24"/>
  <c r="X918" i="24"/>
  <c r="Z918" i="24" s="1"/>
  <c r="AH917" i="24"/>
  <c r="X917" i="24"/>
  <c r="Z917" i="24" s="1"/>
  <c r="AH916" i="24"/>
  <c r="X916" i="24"/>
  <c r="Z916" i="24" s="1"/>
  <c r="AH915" i="24"/>
  <c r="X915" i="24"/>
  <c r="Z915" i="24" s="1"/>
  <c r="AH914" i="24"/>
  <c r="X914" i="24"/>
  <c r="Z914" i="24" s="1"/>
  <c r="AH913" i="24"/>
  <c r="X913" i="24"/>
  <c r="Z913" i="24" s="1"/>
  <c r="AH912" i="24"/>
  <c r="X912" i="24"/>
  <c r="Z912" i="24" s="1"/>
  <c r="AH911" i="24"/>
  <c r="X911" i="24"/>
  <c r="Z911" i="24" s="1"/>
  <c r="AH910" i="24"/>
  <c r="X910" i="24"/>
  <c r="Z910" i="24" s="1"/>
  <c r="AH909" i="24"/>
  <c r="X909" i="24"/>
  <c r="Z909" i="24" s="1"/>
  <c r="AH908" i="24"/>
  <c r="X908" i="24"/>
  <c r="Z908" i="24" s="1"/>
  <c r="AH907" i="24"/>
  <c r="X907" i="24"/>
  <c r="Z907" i="24" s="1"/>
  <c r="AH906" i="24"/>
  <c r="X906" i="24"/>
  <c r="Z906" i="24" s="1"/>
  <c r="AH905" i="24"/>
  <c r="X905" i="24"/>
  <c r="Z905" i="24" s="1"/>
  <c r="AH904" i="24"/>
  <c r="X904" i="24"/>
  <c r="Z904" i="24" s="1"/>
  <c r="AH903" i="24"/>
  <c r="X903" i="24"/>
  <c r="Z903" i="24" s="1"/>
  <c r="AH902" i="24"/>
  <c r="X902" i="24"/>
  <c r="Z902" i="24" s="1"/>
  <c r="AH901" i="24"/>
  <c r="X901" i="24"/>
  <c r="Z901" i="24" s="1"/>
  <c r="AH900" i="24"/>
  <c r="X900" i="24"/>
  <c r="Z900" i="24" s="1"/>
  <c r="AH899" i="24"/>
  <c r="X899" i="24"/>
  <c r="Z899" i="24" s="1"/>
  <c r="AH898" i="24"/>
  <c r="X898" i="24"/>
  <c r="Z898" i="24" s="1"/>
  <c r="AH897" i="24"/>
  <c r="X897" i="24"/>
  <c r="Z897" i="24" s="1"/>
  <c r="AH896" i="24"/>
  <c r="X896" i="24"/>
  <c r="Z896" i="24" s="1"/>
  <c r="AH895" i="24"/>
  <c r="X895" i="24"/>
  <c r="Z895" i="24" s="1"/>
  <c r="AH894" i="24"/>
  <c r="X894" i="24"/>
  <c r="Z894" i="24" s="1"/>
  <c r="AH893" i="24"/>
  <c r="X893" i="24"/>
  <c r="Z893" i="24" s="1"/>
  <c r="AH892" i="24"/>
  <c r="X892" i="24"/>
  <c r="Z892" i="24" s="1"/>
  <c r="AH891" i="24"/>
  <c r="X891" i="24"/>
  <c r="Z891" i="24" s="1"/>
  <c r="AH890" i="24"/>
  <c r="X890" i="24"/>
  <c r="Z890" i="24" s="1"/>
  <c r="AH889" i="24"/>
  <c r="X889" i="24"/>
  <c r="Z889" i="24" s="1"/>
  <c r="AH888" i="24"/>
  <c r="X888" i="24"/>
  <c r="Z888" i="24" s="1"/>
  <c r="AH887" i="24"/>
  <c r="X887" i="24"/>
  <c r="Z887" i="24" s="1"/>
  <c r="AH886" i="24"/>
  <c r="X886" i="24"/>
  <c r="Z886" i="24" s="1"/>
  <c r="AH885" i="24"/>
  <c r="X885" i="24"/>
  <c r="Z885" i="24" s="1"/>
  <c r="AH884" i="24"/>
  <c r="X884" i="24"/>
  <c r="Z884" i="24" s="1"/>
  <c r="AH883" i="24"/>
  <c r="X883" i="24"/>
  <c r="Z883" i="24" s="1"/>
  <c r="AH882" i="24"/>
  <c r="X882" i="24"/>
  <c r="Z882" i="24" s="1"/>
  <c r="AH881" i="24"/>
  <c r="X881" i="24"/>
  <c r="Z881" i="24" s="1"/>
  <c r="AH880" i="24"/>
  <c r="X880" i="24"/>
  <c r="Z880" i="24" s="1"/>
  <c r="AH879" i="24"/>
  <c r="X879" i="24"/>
  <c r="Z879" i="24" s="1"/>
  <c r="AH878" i="24"/>
  <c r="X878" i="24"/>
  <c r="Z878" i="24" s="1"/>
  <c r="AH877" i="24"/>
  <c r="X877" i="24"/>
  <c r="Z877" i="24" s="1"/>
  <c r="AH876" i="24"/>
  <c r="X876" i="24"/>
  <c r="Z876" i="24" s="1"/>
  <c r="AH875" i="24"/>
  <c r="X875" i="24"/>
  <c r="Z875" i="24" s="1"/>
  <c r="AH874" i="24"/>
  <c r="X874" i="24"/>
  <c r="Z874" i="24" s="1"/>
  <c r="AH873" i="24"/>
  <c r="X873" i="24"/>
  <c r="Z873" i="24" s="1"/>
  <c r="AH872" i="24"/>
  <c r="X872" i="24"/>
  <c r="Z872" i="24" s="1"/>
  <c r="AH871" i="24"/>
  <c r="X871" i="24"/>
  <c r="Z871" i="24" s="1"/>
  <c r="AH870" i="24"/>
  <c r="X870" i="24"/>
  <c r="Z870" i="24" s="1"/>
  <c r="AH869" i="24"/>
  <c r="X869" i="24"/>
  <c r="Z869" i="24" s="1"/>
  <c r="AH868" i="24"/>
  <c r="X868" i="24"/>
  <c r="Z868" i="24" s="1"/>
  <c r="AH867" i="24"/>
  <c r="X867" i="24"/>
  <c r="Z867" i="24" s="1"/>
  <c r="AH866" i="24"/>
  <c r="X866" i="24"/>
  <c r="Z866" i="24" s="1"/>
  <c r="AH865" i="24"/>
  <c r="X865" i="24"/>
  <c r="Z865" i="24" s="1"/>
  <c r="AH864" i="24"/>
  <c r="X864" i="24"/>
  <c r="Z864" i="24" s="1"/>
  <c r="AH863" i="24"/>
  <c r="X863" i="24"/>
  <c r="Z863" i="24" s="1"/>
  <c r="AH862" i="24"/>
  <c r="X862" i="24"/>
  <c r="Z862" i="24" s="1"/>
  <c r="AH861" i="24"/>
  <c r="X861" i="24"/>
  <c r="Z861" i="24" s="1"/>
  <c r="AH860" i="24"/>
  <c r="X860" i="24"/>
  <c r="Z860" i="24" s="1"/>
  <c r="AH859" i="24"/>
  <c r="X859" i="24"/>
  <c r="Z859" i="24" s="1"/>
  <c r="AH858" i="24"/>
  <c r="X858" i="24"/>
  <c r="Z858" i="24" s="1"/>
  <c r="AH857" i="24"/>
  <c r="X857" i="24"/>
  <c r="Z857" i="24" s="1"/>
  <c r="AH856" i="24"/>
  <c r="X856" i="24"/>
  <c r="Z856" i="24" s="1"/>
  <c r="AH855" i="24"/>
  <c r="X855" i="24"/>
  <c r="Z855" i="24" s="1"/>
  <c r="AH854" i="24"/>
  <c r="X854" i="24"/>
  <c r="Z854" i="24" s="1"/>
  <c r="AH853" i="24"/>
  <c r="X853" i="24"/>
  <c r="Z853" i="24" s="1"/>
  <c r="AH852" i="24"/>
  <c r="X852" i="24"/>
  <c r="Z852" i="24" s="1"/>
  <c r="AH851" i="24"/>
  <c r="X851" i="24"/>
  <c r="Z851" i="24" s="1"/>
  <c r="AH850" i="24"/>
  <c r="X850" i="24"/>
  <c r="Z850" i="24" s="1"/>
  <c r="AH849" i="24"/>
  <c r="X849" i="24"/>
  <c r="Z849" i="24" s="1"/>
  <c r="AH848" i="24"/>
  <c r="X848" i="24"/>
  <c r="Z848" i="24" s="1"/>
  <c r="AH847" i="24"/>
  <c r="X847" i="24"/>
  <c r="Z847" i="24" s="1"/>
  <c r="AH846" i="24"/>
  <c r="X846" i="24"/>
  <c r="Z846" i="24" s="1"/>
  <c r="AH845" i="24"/>
  <c r="X845" i="24"/>
  <c r="Z845" i="24" s="1"/>
  <c r="AH844" i="24"/>
  <c r="X844" i="24"/>
  <c r="Z844" i="24" s="1"/>
  <c r="AH843" i="24"/>
  <c r="X843" i="24"/>
  <c r="Z843" i="24" s="1"/>
  <c r="AH842" i="24"/>
  <c r="X842" i="24"/>
  <c r="Z842" i="24" s="1"/>
  <c r="AH841" i="24"/>
  <c r="X841" i="24"/>
  <c r="Z841" i="24" s="1"/>
  <c r="AH840" i="24"/>
  <c r="X840" i="24"/>
  <c r="Z840" i="24" s="1"/>
  <c r="AH839" i="24"/>
  <c r="X839" i="24"/>
  <c r="Z839" i="24" s="1"/>
  <c r="AH838" i="24"/>
  <c r="X838" i="24"/>
  <c r="Z838" i="24" s="1"/>
  <c r="AH837" i="24"/>
  <c r="X837" i="24"/>
  <c r="Z837" i="24" s="1"/>
  <c r="AH836" i="24"/>
  <c r="X836" i="24"/>
  <c r="Z836" i="24" s="1"/>
  <c r="AH835" i="24"/>
  <c r="X835" i="24"/>
  <c r="Z835" i="24" s="1"/>
  <c r="AH834" i="24"/>
  <c r="X834" i="24"/>
  <c r="Z834" i="24" s="1"/>
  <c r="AH833" i="24"/>
  <c r="X833" i="24"/>
  <c r="Z833" i="24" s="1"/>
  <c r="AH832" i="24"/>
  <c r="X832" i="24"/>
  <c r="Z832" i="24" s="1"/>
  <c r="AH831" i="24"/>
  <c r="X831" i="24"/>
  <c r="Z831" i="24" s="1"/>
  <c r="AH830" i="24"/>
  <c r="X830" i="24"/>
  <c r="Z830" i="24" s="1"/>
  <c r="AH829" i="24"/>
  <c r="X829" i="24"/>
  <c r="Z829" i="24" s="1"/>
  <c r="AH828" i="24"/>
  <c r="X828" i="24"/>
  <c r="Z828" i="24" s="1"/>
  <c r="AH827" i="24"/>
  <c r="X827" i="24"/>
  <c r="Z827" i="24" s="1"/>
  <c r="AH826" i="24"/>
  <c r="X826" i="24"/>
  <c r="Z826" i="24" s="1"/>
  <c r="AH825" i="24"/>
  <c r="X825" i="24"/>
  <c r="Z825" i="24" s="1"/>
  <c r="AH824" i="24"/>
  <c r="X824" i="24"/>
  <c r="Z824" i="24" s="1"/>
  <c r="AH823" i="24"/>
  <c r="X823" i="24"/>
  <c r="Z823" i="24" s="1"/>
  <c r="AH822" i="24"/>
  <c r="X822" i="24"/>
  <c r="Z822" i="24" s="1"/>
  <c r="AH821" i="24"/>
  <c r="X821" i="24"/>
  <c r="Z821" i="24" s="1"/>
  <c r="AH820" i="24"/>
  <c r="X820" i="24"/>
  <c r="Z820" i="24" s="1"/>
  <c r="AH819" i="24"/>
  <c r="X819" i="24"/>
  <c r="Z819" i="24" s="1"/>
  <c r="AH818" i="24"/>
  <c r="X818" i="24"/>
  <c r="Z818" i="24" s="1"/>
  <c r="AH817" i="24"/>
  <c r="X817" i="24"/>
  <c r="Z817" i="24" s="1"/>
  <c r="AH816" i="24"/>
  <c r="X816" i="24"/>
  <c r="Z816" i="24" s="1"/>
  <c r="AH815" i="24"/>
  <c r="X815" i="24"/>
  <c r="Z815" i="24" s="1"/>
  <c r="AH814" i="24"/>
  <c r="X814" i="24"/>
  <c r="Z814" i="24" s="1"/>
  <c r="AH813" i="24"/>
  <c r="X813" i="24"/>
  <c r="Z813" i="24" s="1"/>
  <c r="AH812" i="24"/>
  <c r="X812" i="24"/>
  <c r="Z812" i="24" s="1"/>
  <c r="AH811" i="24"/>
  <c r="X811" i="24"/>
  <c r="Z811" i="24" s="1"/>
  <c r="AH810" i="24"/>
  <c r="X810" i="24"/>
  <c r="Z810" i="24" s="1"/>
  <c r="AH809" i="24"/>
  <c r="X809" i="24"/>
  <c r="Z809" i="24" s="1"/>
  <c r="AH808" i="24"/>
  <c r="X808" i="24"/>
  <c r="Z808" i="24" s="1"/>
  <c r="AH807" i="24"/>
  <c r="X807" i="24"/>
  <c r="Z807" i="24" s="1"/>
  <c r="AH806" i="24"/>
  <c r="X806" i="24"/>
  <c r="Z806" i="24" s="1"/>
  <c r="AH805" i="24"/>
  <c r="X805" i="24"/>
  <c r="Z805" i="24" s="1"/>
  <c r="AH804" i="24"/>
  <c r="X804" i="24"/>
  <c r="Z804" i="24" s="1"/>
  <c r="AH803" i="24"/>
  <c r="X803" i="24"/>
  <c r="Z803" i="24" s="1"/>
  <c r="AH802" i="24"/>
  <c r="X802" i="24"/>
  <c r="Z802" i="24" s="1"/>
  <c r="AH801" i="24"/>
  <c r="X801" i="24"/>
  <c r="Z801" i="24" s="1"/>
  <c r="AH800" i="24"/>
  <c r="X800" i="24"/>
  <c r="Z800" i="24" s="1"/>
  <c r="AH799" i="24"/>
  <c r="X799" i="24"/>
  <c r="Z799" i="24" s="1"/>
  <c r="AH798" i="24"/>
  <c r="X798" i="24"/>
  <c r="Z798" i="24" s="1"/>
  <c r="AH797" i="24"/>
  <c r="X797" i="24"/>
  <c r="Z797" i="24" s="1"/>
  <c r="AH796" i="24"/>
  <c r="X796" i="24"/>
  <c r="Z796" i="24" s="1"/>
  <c r="AH795" i="24"/>
  <c r="X795" i="24"/>
  <c r="Z795" i="24" s="1"/>
  <c r="AH794" i="24"/>
  <c r="X794" i="24"/>
  <c r="Z794" i="24" s="1"/>
  <c r="AH793" i="24"/>
  <c r="X793" i="24"/>
  <c r="Z793" i="24" s="1"/>
  <c r="AH792" i="24"/>
  <c r="X792" i="24"/>
  <c r="Z792" i="24" s="1"/>
  <c r="AH791" i="24"/>
  <c r="X791" i="24"/>
  <c r="Z791" i="24" s="1"/>
  <c r="AH790" i="24"/>
  <c r="X790" i="24"/>
  <c r="Z790" i="24" s="1"/>
  <c r="AH789" i="24"/>
  <c r="X789" i="24"/>
  <c r="Z789" i="24" s="1"/>
  <c r="AH788" i="24"/>
  <c r="X788" i="24"/>
  <c r="Z788" i="24" s="1"/>
  <c r="AH787" i="24"/>
  <c r="X787" i="24"/>
  <c r="Z787" i="24" s="1"/>
  <c r="AH786" i="24"/>
  <c r="X786" i="24"/>
  <c r="Z786" i="24" s="1"/>
  <c r="AH785" i="24"/>
  <c r="X785" i="24"/>
  <c r="Z785" i="24" s="1"/>
  <c r="AH784" i="24"/>
  <c r="X784" i="24"/>
  <c r="Z784" i="24" s="1"/>
  <c r="AH783" i="24"/>
  <c r="X783" i="24"/>
  <c r="Z783" i="24" s="1"/>
  <c r="AH782" i="24"/>
  <c r="X782" i="24"/>
  <c r="Z782" i="24" s="1"/>
  <c r="AH781" i="24"/>
  <c r="X781" i="24"/>
  <c r="Z781" i="24" s="1"/>
  <c r="AH780" i="24"/>
  <c r="X780" i="24"/>
  <c r="Z780" i="24" s="1"/>
  <c r="AH779" i="24"/>
  <c r="X779" i="24"/>
  <c r="Z779" i="24" s="1"/>
  <c r="AH778" i="24"/>
  <c r="X778" i="24"/>
  <c r="Z778" i="24" s="1"/>
  <c r="AH777" i="24"/>
  <c r="X777" i="24"/>
  <c r="Z777" i="24" s="1"/>
  <c r="AH776" i="24"/>
  <c r="X776" i="24"/>
  <c r="Z776" i="24" s="1"/>
  <c r="AH775" i="24"/>
  <c r="X775" i="24"/>
  <c r="Z775" i="24" s="1"/>
  <c r="AH774" i="24"/>
  <c r="X774" i="24"/>
  <c r="Z774" i="24" s="1"/>
  <c r="AH773" i="24"/>
  <c r="X773" i="24"/>
  <c r="Z773" i="24" s="1"/>
  <c r="AH772" i="24"/>
  <c r="X772" i="24"/>
  <c r="Z772" i="24" s="1"/>
  <c r="AH771" i="24"/>
  <c r="X771" i="24"/>
  <c r="Z771" i="24" s="1"/>
  <c r="AH770" i="24"/>
  <c r="X770" i="24"/>
  <c r="Z770" i="24" s="1"/>
  <c r="AH769" i="24"/>
  <c r="X769" i="24"/>
  <c r="Z769" i="24" s="1"/>
  <c r="AH768" i="24"/>
  <c r="X768" i="24"/>
  <c r="Z768" i="24" s="1"/>
  <c r="AH767" i="24"/>
  <c r="X767" i="24"/>
  <c r="Z767" i="24" s="1"/>
  <c r="AH766" i="24"/>
  <c r="X766" i="24"/>
  <c r="Z766" i="24" s="1"/>
  <c r="AH765" i="24"/>
  <c r="X765" i="24"/>
  <c r="Z765" i="24" s="1"/>
  <c r="AH764" i="24"/>
  <c r="X764" i="24"/>
  <c r="Z764" i="24" s="1"/>
  <c r="AH763" i="24"/>
  <c r="X763" i="24"/>
  <c r="Z763" i="24" s="1"/>
  <c r="AH762" i="24"/>
  <c r="X762" i="24"/>
  <c r="Z762" i="24" s="1"/>
  <c r="AH761" i="24"/>
  <c r="X761" i="24"/>
  <c r="Z761" i="24" s="1"/>
  <c r="AH760" i="24"/>
  <c r="X760" i="24"/>
  <c r="Z760" i="24" s="1"/>
  <c r="AH759" i="24"/>
  <c r="X759" i="24"/>
  <c r="Z759" i="24" s="1"/>
  <c r="AH758" i="24"/>
  <c r="X758" i="24"/>
  <c r="Z758" i="24" s="1"/>
  <c r="AH757" i="24"/>
  <c r="X757" i="24"/>
  <c r="Z757" i="24" s="1"/>
  <c r="AH756" i="24"/>
  <c r="X756" i="24"/>
  <c r="Z756" i="24" s="1"/>
  <c r="AH755" i="24"/>
  <c r="X755" i="24"/>
  <c r="Z755" i="24" s="1"/>
  <c r="AH754" i="24"/>
  <c r="X754" i="24"/>
  <c r="Z754" i="24" s="1"/>
  <c r="AH753" i="24"/>
  <c r="X753" i="24"/>
  <c r="Z753" i="24" s="1"/>
  <c r="AH752" i="24"/>
  <c r="X752" i="24"/>
  <c r="Z752" i="24" s="1"/>
  <c r="AH751" i="24"/>
  <c r="X751" i="24"/>
  <c r="Z751" i="24" s="1"/>
  <c r="AH750" i="24"/>
  <c r="X750" i="24"/>
  <c r="Z750" i="24" s="1"/>
  <c r="AH749" i="24"/>
  <c r="X749" i="24"/>
  <c r="Z749" i="24" s="1"/>
  <c r="AH748" i="24"/>
  <c r="X748" i="24"/>
  <c r="Z748" i="24" s="1"/>
  <c r="AH747" i="24"/>
  <c r="X747" i="24"/>
  <c r="Z747" i="24" s="1"/>
  <c r="AH746" i="24"/>
  <c r="X746" i="24"/>
  <c r="Z746" i="24" s="1"/>
  <c r="AH745" i="24"/>
  <c r="X745" i="24"/>
  <c r="Z745" i="24" s="1"/>
  <c r="AH744" i="24"/>
  <c r="X744" i="24"/>
  <c r="Z744" i="24" s="1"/>
  <c r="AH743" i="24"/>
  <c r="X743" i="24"/>
  <c r="Z743" i="24" s="1"/>
  <c r="AH742" i="24"/>
  <c r="X742" i="24"/>
  <c r="Z742" i="24" s="1"/>
  <c r="AH741" i="24"/>
  <c r="X741" i="24"/>
  <c r="Z741" i="24" s="1"/>
  <c r="AH740" i="24"/>
  <c r="X740" i="24"/>
  <c r="Z740" i="24" s="1"/>
  <c r="AH739" i="24"/>
  <c r="X739" i="24"/>
  <c r="Z739" i="24" s="1"/>
  <c r="AH738" i="24"/>
  <c r="X738" i="24"/>
  <c r="Z738" i="24" s="1"/>
  <c r="AH737" i="24"/>
  <c r="X737" i="24"/>
  <c r="Z737" i="24" s="1"/>
  <c r="AH736" i="24"/>
  <c r="X736" i="24"/>
  <c r="Z736" i="24" s="1"/>
  <c r="AH735" i="24"/>
  <c r="X735" i="24"/>
  <c r="Z735" i="24" s="1"/>
  <c r="AH734" i="24"/>
  <c r="X734" i="24"/>
  <c r="Z734" i="24" s="1"/>
  <c r="AH733" i="24"/>
  <c r="X733" i="24"/>
  <c r="Z733" i="24" s="1"/>
  <c r="AH732" i="24"/>
  <c r="X732" i="24"/>
  <c r="Z732" i="24" s="1"/>
  <c r="AH731" i="24"/>
  <c r="X731" i="24"/>
  <c r="Z731" i="24" s="1"/>
  <c r="AH730" i="24"/>
  <c r="X730" i="24"/>
  <c r="Z730" i="24" s="1"/>
  <c r="AH729" i="24"/>
  <c r="X729" i="24"/>
  <c r="Z729" i="24" s="1"/>
  <c r="AH728" i="24"/>
  <c r="X728" i="24"/>
  <c r="Z728" i="24" s="1"/>
  <c r="AH727" i="24"/>
  <c r="X727" i="24"/>
  <c r="Z727" i="24" s="1"/>
  <c r="AH726" i="24"/>
  <c r="X726" i="24"/>
  <c r="Z726" i="24" s="1"/>
  <c r="AH725" i="24"/>
  <c r="X725" i="24"/>
  <c r="Z725" i="24" s="1"/>
  <c r="AH724" i="24"/>
  <c r="X724" i="24"/>
  <c r="Z724" i="24" s="1"/>
  <c r="AH723" i="24"/>
  <c r="X723" i="24"/>
  <c r="Z723" i="24" s="1"/>
  <c r="AH722" i="24"/>
  <c r="X722" i="24"/>
  <c r="Z722" i="24" s="1"/>
  <c r="AH721" i="24"/>
  <c r="X721" i="24"/>
  <c r="Z721" i="24" s="1"/>
  <c r="AH720" i="24"/>
  <c r="X720" i="24"/>
  <c r="Z720" i="24" s="1"/>
  <c r="AH719" i="24"/>
  <c r="X719" i="24"/>
  <c r="Z719" i="24" s="1"/>
  <c r="AH718" i="24"/>
  <c r="X718" i="24"/>
  <c r="Z718" i="24" s="1"/>
  <c r="AH717" i="24"/>
  <c r="X717" i="24"/>
  <c r="Z717" i="24" s="1"/>
  <c r="AH716" i="24"/>
  <c r="X716" i="24"/>
  <c r="Z716" i="24" s="1"/>
  <c r="AH715" i="24"/>
  <c r="X715" i="24"/>
  <c r="Z715" i="24" s="1"/>
  <c r="AH714" i="24"/>
  <c r="X714" i="24"/>
  <c r="Z714" i="24" s="1"/>
  <c r="AH713" i="24"/>
  <c r="X713" i="24"/>
  <c r="Z713" i="24" s="1"/>
  <c r="AH712" i="24"/>
  <c r="X712" i="24"/>
  <c r="Z712" i="24" s="1"/>
  <c r="AH711" i="24"/>
  <c r="X711" i="24"/>
  <c r="Z711" i="24" s="1"/>
  <c r="AH710" i="24"/>
  <c r="X710" i="24"/>
  <c r="Z710" i="24" s="1"/>
  <c r="AH709" i="24"/>
  <c r="X709" i="24"/>
  <c r="Z709" i="24" s="1"/>
  <c r="AH708" i="24"/>
  <c r="X708" i="24"/>
  <c r="Z708" i="24" s="1"/>
  <c r="AH707" i="24"/>
  <c r="X707" i="24"/>
  <c r="Z707" i="24" s="1"/>
  <c r="AH706" i="24"/>
  <c r="X706" i="24"/>
  <c r="Z706" i="24" s="1"/>
  <c r="AH705" i="24"/>
  <c r="X705" i="24"/>
  <c r="Z705" i="24" s="1"/>
  <c r="AH704" i="24"/>
  <c r="X704" i="24"/>
  <c r="Z704" i="24" s="1"/>
  <c r="AH703" i="24"/>
  <c r="X703" i="24"/>
  <c r="Z703" i="24" s="1"/>
  <c r="AH702" i="24"/>
  <c r="X702" i="24"/>
  <c r="Z702" i="24" s="1"/>
  <c r="AH701" i="24"/>
  <c r="X701" i="24"/>
  <c r="Z701" i="24" s="1"/>
  <c r="AH700" i="24"/>
  <c r="X700" i="24"/>
  <c r="Z700" i="24" s="1"/>
  <c r="AH699" i="24"/>
  <c r="X699" i="24"/>
  <c r="Z699" i="24" s="1"/>
  <c r="AH698" i="24"/>
  <c r="X698" i="24"/>
  <c r="Z698" i="24" s="1"/>
  <c r="AH697" i="24"/>
  <c r="X697" i="24"/>
  <c r="Z697" i="24" s="1"/>
  <c r="AH696" i="24"/>
  <c r="X696" i="24"/>
  <c r="Z696" i="24" s="1"/>
  <c r="AH695" i="24"/>
  <c r="X695" i="24"/>
  <c r="Z695" i="24" s="1"/>
  <c r="AH694" i="24"/>
  <c r="X694" i="24"/>
  <c r="Z694" i="24" s="1"/>
  <c r="AH693" i="24"/>
  <c r="X693" i="24"/>
  <c r="Z693" i="24" s="1"/>
  <c r="AH692" i="24"/>
  <c r="X692" i="24"/>
  <c r="Z692" i="24" s="1"/>
  <c r="AH691" i="24"/>
  <c r="X691" i="24"/>
  <c r="Z691" i="24" s="1"/>
  <c r="AH690" i="24"/>
  <c r="X690" i="24"/>
  <c r="Z690" i="24" s="1"/>
  <c r="AH689" i="24"/>
  <c r="X689" i="24"/>
  <c r="Z689" i="24" s="1"/>
  <c r="AH688" i="24"/>
  <c r="X688" i="24"/>
  <c r="Z688" i="24" s="1"/>
  <c r="AH687" i="24"/>
  <c r="X687" i="24"/>
  <c r="Z687" i="24" s="1"/>
  <c r="AH686" i="24"/>
  <c r="X686" i="24"/>
  <c r="Z686" i="24" s="1"/>
  <c r="AH685" i="24"/>
  <c r="X685" i="24"/>
  <c r="Z685" i="24" s="1"/>
  <c r="AH684" i="24"/>
  <c r="X684" i="24"/>
  <c r="Z684" i="24" s="1"/>
  <c r="AH683" i="24"/>
  <c r="X683" i="24"/>
  <c r="Z683" i="24" s="1"/>
  <c r="AH682" i="24"/>
  <c r="X682" i="24"/>
  <c r="Z682" i="24" s="1"/>
  <c r="AH681" i="24"/>
  <c r="X681" i="24"/>
  <c r="Z681" i="24" s="1"/>
  <c r="AH680" i="24"/>
  <c r="X680" i="24"/>
  <c r="Z680" i="24" s="1"/>
  <c r="AH679" i="24"/>
  <c r="X679" i="24"/>
  <c r="Z679" i="24" s="1"/>
  <c r="AH678" i="24"/>
  <c r="X678" i="24"/>
  <c r="Z678" i="24" s="1"/>
  <c r="AH677" i="24"/>
  <c r="X677" i="24"/>
  <c r="Z677" i="24" s="1"/>
  <c r="AH676" i="24"/>
  <c r="X676" i="24"/>
  <c r="Z676" i="24" s="1"/>
  <c r="AH675" i="24"/>
  <c r="X675" i="24"/>
  <c r="Z675" i="24" s="1"/>
  <c r="AH674" i="24"/>
  <c r="X674" i="24"/>
  <c r="Z674" i="24" s="1"/>
  <c r="AH673" i="24"/>
  <c r="X673" i="24"/>
  <c r="Z673" i="24" s="1"/>
  <c r="AH672" i="24"/>
  <c r="X672" i="24"/>
  <c r="Z672" i="24" s="1"/>
  <c r="AH671" i="24"/>
  <c r="X671" i="24"/>
  <c r="Z671" i="24" s="1"/>
  <c r="AH670" i="24"/>
  <c r="X670" i="24"/>
  <c r="Z670" i="24" s="1"/>
  <c r="AH669" i="24"/>
  <c r="X669" i="24"/>
  <c r="Z669" i="24" s="1"/>
  <c r="AH668" i="24"/>
  <c r="X668" i="24"/>
  <c r="Z668" i="24" s="1"/>
  <c r="AH667" i="24"/>
  <c r="X667" i="24"/>
  <c r="Z667" i="24" s="1"/>
  <c r="AH666" i="24"/>
  <c r="X666" i="24"/>
  <c r="Z666" i="24" s="1"/>
  <c r="AH665" i="24"/>
  <c r="X665" i="24"/>
  <c r="Z665" i="24" s="1"/>
  <c r="AH664" i="24"/>
  <c r="X664" i="24"/>
  <c r="Z664" i="24" s="1"/>
  <c r="AH663" i="24"/>
  <c r="X663" i="24"/>
  <c r="Z663" i="24" s="1"/>
  <c r="AH662" i="24"/>
  <c r="X662" i="24"/>
  <c r="Z662" i="24" s="1"/>
  <c r="AH661" i="24"/>
  <c r="X661" i="24"/>
  <c r="Z661" i="24" s="1"/>
  <c r="AH660" i="24"/>
  <c r="X660" i="24"/>
  <c r="Z660" i="24" s="1"/>
  <c r="AH659" i="24"/>
  <c r="X659" i="24"/>
  <c r="Z659" i="24" s="1"/>
  <c r="AH658" i="24"/>
  <c r="X658" i="24"/>
  <c r="Z658" i="24" s="1"/>
  <c r="AH657" i="24"/>
  <c r="X657" i="24"/>
  <c r="Z657" i="24" s="1"/>
  <c r="AH656" i="24"/>
  <c r="X656" i="24"/>
  <c r="Z656" i="24" s="1"/>
  <c r="AH655" i="24"/>
  <c r="X655" i="24"/>
  <c r="Z655" i="24" s="1"/>
  <c r="AH654" i="24"/>
  <c r="X654" i="24"/>
  <c r="Z654" i="24" s="1"/>
  <c r="AH653" i="24"/>
  <c r="X653" i="24"/>
  <c r="Z653" i="24" s="1"/>
  <c r="AH652" i="24"/>
  <c r="X652" i="24"/>
  <c r="Z652" i="24" s="1"/>
  <c r="AH651" i="24"/>
  <c r="X651" i="24"/>
  <c r="Z651" i="24" s="1"/>
  <c r="AH650" i="24"/>
  <c r="X650" i="24"/>
  <c r="Z650" i="24" s="1"/>
  <c r="AH649" i="24"/>
  <c r="X649" i="24"/>
  <c r="Z649" i="24" s="1"/>
  <c r="AH648" i="24"/>
  <c r="X648" i="24"/>
  <c r="Z648" i="24" s="1"/>
  <c r="AH647" i="24"/>
  <c r="X647" i="24"/>
  <c r="Z647" i="24" s="1"/>
  <c r="AH646" i="24"/>
  <c r="X646" i="24"/>
  <c r="Z646" i="24" s="1"/>
  <c r="AH645" i="24"/>
  <c r="X645" i="24"/>
  <c r="Z645" i="24" s="1"/>
  <c r="AH644" i="24"/>
  <c r="X644" i="24"/>
  <c r="Z644" i="24" s="1"/>
  <c r="AH643" i="24"/>
  <c r="X643" i="24"/>
  <c r="Z643" i="24" s="1"/>
  <c r="AH642" i="24"/>
  <c r="X642" i="24"/>
  <c r="Z642" i="24" s="1"/>
  <c r="AH641" i="24"/>
  <c r="X641" i="24"/>
  <c r="Z641" i="24" s="1"/>
  <c r="AH640" i="24"/>
  <c r="X640" i="24"/>
  <c r="Z640" i="24" s="1"/>
  <c r="AH639" i="24"/>
  <c r="X639" i="24"/>
  <c r="Z639" i="24" s="1"/>
  <c r="AH638" i="24"/>
  <c r="X638" i="24"/>
  <c r="Z638" i="24" s="1"/>
  <c r="AH637" i="24"/>
  <c r="X637" i="24"/>
  <c r="Z637" i="24" s="1"/>
  <c r="AH636" i="24"/>
  <c r="X636" i="24"/>
  <c r="Z636" i="24" s="1"/>
  <c r="AH635" i="24"/>
  <c r="X635" i="24"/>
  <c r="Z635" i="24" s="1"/>
  <c r="AH634" i="24"/>
  <c r="X634" i="24"/>
  <c r="Z634" i="24" s="1"/>
  <c r="AH633" i="24"/>
  <c r="X633" i="24"/>
  <c r="Z633" i="24" s="1"/>
  <c r="AH632" i="24"/>
  <c r="X632" i="24"/>
  <c r="Z632" i="24" s="1"/>
  <c r="AH631" i="24"/>
  <c r="X631" i="24"/>
  <c r="Z631" i="24" s="1"/>
  <c r="AH630" i="24"/>
  <c r="X630" i="24"/>
  <c r="Z630" i="24" s="1"/>
  <c r="AH629" i="24"/>
  <c r="X629" i="24"/>
  <c r="Z629" i="24" s="1"/>
  <c r="AH628" i="24"/>
  <c r="X628" i="24"/>
  <c r="Z628" i="24" s="1"/>
  <c r="AH627" i="24"/>
  <c r="X627" i="24"/>
  <c r="Z627" i="24" s="1"/>
  <c r="AH626" i="24"/>
  <c r="X626" i="24"/>
  <c r="Z626" i="24" s="1"/>
  <c r="AH625" i="24"/>
  <c r="X625" i="24"/>
  <c r="Z625" i="24" s="1"/>
  <c r="AH624" i="24"/>
  <c r="X624" i="24"/>
  <c r="Z624" i="24" s="1"/>
  <c r="AH623" i="24"/>
  <c r="X623" i="24"/>
  <c r="Z623" i="24" s="1"/>
  <c r="AH622" i="24"/>
  <c r="X622" i="24"/>
  <c r="Z622" i="24" s="1"/>
  <c r="AH621" i="24"/>
  <c r="X621" i="24"/>
  <c r="Z621" i="24" s="1"/>
  <c r="AH620" i="24"/>
  <c r="X620" i="24"/>
  <c r="Z620" i="24" s="1"/>
  <c r="AH619" i="24"/>
  <c r="X619" i="24"/>
  <c r="Z619" i="24" s="1"/>
  <c r="AH618" i="24"/>
  <c r="X618" i="24"/>
  <c r="Z618" i="24" s="1"/>
  <c r="AH617" i="24"/>
  <c r="X617" i="24"/>
  <c r="Z617" i="24" s="1"/>
  <c r="AH616" i="24"/>
  <c r="X616" i="24"/>
  <c r="Z616" i="24" s="1"/>
  <c r="AH615" i="24"/>
  <c r="X615" i="24"/>
  <c r="Z615" i="24" s="1"/>
  <c r="AH614" i="24"/>
  <c r="X614" i="24"/>
  <c r="Z614" i="24" s="1"/>
  <c r="AH613" i="24"/>
  <c r="X613" i="24"/>
  <c r="Z613" i="24" s="1"/>
  <c r="AH612" i="24"/>
  <c r="X612" i="24"/>
  <c r="Z612" i="24" s="1"/>
  <c r="AH611" i="24"/>
  <c r="X611" i="24"/>
  <c r="Z611" i="24" s="1"/>
  <c r="AH610" i="24"/>
  <c r="X610" i="24"/>
  <c r="Z610" i="24" s="1"/>
  <c r="AH609" i="24"/>
  <c r="X609" i="24"/>
  <c r="Z609" i="24" s="1"/>
  <c r="AH608" i="24"/>
  <c r="X608" i="24"/>
  <c r="Z608" i="24" s="1"/>
  <c r="AH607" i="24"/>
  <c r="X607" i="24"/>
  <c r="Z607" i="24" s="1"/>
  <c r="AH606" i="24"/>
  <c r="X606" i="24"/>
  <c r="Z606" i="24" s="1"/>
  <c r="AH605" i="24"/>
  <c r="X605" i="24"/>
  <c r="Z605" i="24" s="1"/>
  <c r="AH604" i="24"/>
  <c r="X604" i="24"/>
  <c r="Z604" i="24" s="1"/>
  <c r="AH603" i="24"/>
  <c r="X603" i="24"/>
  <c r="Z603" i="24" s="1"/>
  <c r="AH602" i="24"/>
  <c r="X602" i="24"/>
  <c r="Z602" i="24" s="1"/>
  <c r="AH601" i="24"/>
  <c r="X601" i="24"/>
  <c r="Z601" i="24" s="1"/>
  <c r="AH600" i="24"/>
  <c r="X600" i="24"/>
  <c r="Z600" i="24" s="1"/>
  <c r="AH599" i="24"/>
  <c r="X599" i="24"/>
  <c r="Z599" i="24" s="1"/>
  <c r="AH598" i="24"/>
  <c r="X598" i="24"/>
  <c r="Z598" i="24" s="1"/>
  <c r="AH597" i="24"/>
  <c r="X597" i="24"/>
  <c r="Z597" i="24" s="1"/>
  <c r="AH596" i="24"/>
  <c r="X596" i="24"/>
  <c r="Z596" i="24" s="1"/>
  <c r="AH595" i="24"/>
  <c r="X595" i="24"/>
  <c r="Z595" i="24" s="1"/>
  <c r="AH594" i="24"/>
  <c r="X594" i="24"/>
  <c r="Z594" i="24" s="1"/>
  <c r="AH593" i="24"/>
  <c r="X593" i="24"/>
  <c r="Z593" i="24" s="1"/>
  <c r="AH592" i="24"/>
  <c r="X592" i="24"/>
  <c r="Z592" i="24" s="1"/>
  <c r="AH591" i="24"/>
  <c r="X591" i="24"/>
  <c r="Z591" i="24" s="1"/>
  <c r="AH590" i="24"/>
  <c r="X590" i="24"/>
  <c r="Z590" i="24" s="1"/>
  <c r="AH589" i="24"/>
  <c r="X589" i="24"/>
  <c r="Z589" i="24" s="1"/>
  <c r="AH588" i="24"/>
  <c r="X588" i="24"/>
  <c r="Z588" i="24" s="1"/>
  <c r="AH587" i="24"/>
  <c r="X587" i="24"/>
  <c r="Z587" i="24" s="1"/>
  <c r="AH586" i="24"/>
  <c r="X586" i="24"/>
  <c r="Z586" i="24" s="1"/>
  <c r="AH585" i="24"/>
  <c r="X585" i="24"/>
  <c r="Z585" i="24" s="1"/>
  <c r="AH584" i="24"/>
  <c r="X584" i="24"/>
  <c r="Z584" i="24" s="1"/>
  <c r="AH583" i="24"/>
  <c r="X583" i="24"/>
  <c r="Z583" i="24" s="1"/>
  <c r="AH582" i="24"/>
  <c r="X582" i="24"/>
  <c r="Z582" i="24" s="1"/>
  <c r="AH581" i="24"/>
  <c r="X581" i="24"/>
  <c r="Z581" i="24" s="1"/>
  <c r="AH580" i="24"/>
  <c r="X580" i="24"/>
  <c r="Z580" i="24" s="1"/>
  <c r="AH579" i="24"/>
  <c r="X579" i="24"/>
  <c r="Z579" i="24" s="1"/>
  <c r="AH578" i="24"/>
  <c r="X578" i="24"/>
  <c r="Z578" i="24" s="1"/>
  <c r="AH577" i="24"/>
  <c r="X577" i="24"/>
  <c r="Z577" i="24" s="1"/>
  <c r="AH576" i="24"/>
  <c r="X576" i="24"/>
  <c r="Z576" i="24" s="1"/>
  <c r="AH575" i="24"/>
  <c r="X575" i="24"/>
  <c r="Z575" i="24" s="1"/>
  <c r="AH574" i="24"/>
  <c r="X574" i="24"/>
  <c r="Z574" i="24" s="1"/>
  <c r="AH573" i="24"/>
  <c r="X573" i="24"/>
  <c r="Z573" i="24" s="1"/>
  <c r="AH572" i="24"/>
  <c r="X572" i="24"/>
  <c r="Z572" i="24" s="1"/>
  <c r="AH571" i="24"/>
  <c r="X571" i="24"/>
  <c r="Z571" i="24" s="1"/>
  <c r="AH570" i="24"/>
  <c r="X570" i="24"/>
  <c r="Z570" i="24" s="1"/>
  <c r="AH569" i="24"/>
  <c r="X569" i="24"/>
  <c r="Z569" i="24" s="1"/>
  <c r="AH568" i="24"/>
  <c r="X568" i="24"/>
  <c r="Z568" i="24" s="1"/>
  <c r="AH567" i="24"/>
  <c r="X567" i="24"/>
  <c r="Z567" i="24" s="1"/>
  <c r="AH566" i="24"/>
  <c r="X566" i="24"/>
  <c r="Z566" i="24" s="1"/>
  <c r="AH565" i="24"/>
  <c r="X565" i="24"/>
  <c r="Z565" i="24" s="1"/>
  <c r="AH564" i="24"/>
  <c r="X564" i="24"/>
  <c r="Z564" i="24" s="1"/>
  <c r="AH563" i="24"/>
  <c r="X563" i="24"/>
  <c r="Z563" i="24" s="1"/>
  <c r="AH562" i="24"/>
  <c r="X562" i="24"/>
  <c r="Z562" i="24" s="1"/>
  <c r="AH561" i="24"/>
  <c r="X561" i="24"/>
  <c r="Z561" i="24" s="1"/>
  <c r="AH560" i="24"/>
  <c r="X560" i="24"/>
  <c r="Z560" i="24" s="1"/>
  <c r="AH559" i="24"/>
  <c r="X559" i="24"/>
  <c r="Z559" i="24" s="1"/>
  <c r="AH558" i="24"/>
  <c r="X558" i="24"/>
  <c r="Z558" i="24" s="1"/>
  <c r="AH557" i="24"/>
  <c r="X557" i="24"/>
  <c r="Z557" i="24" s="1"/>
  <c r="AH556" i="24"/>
  <c r="X556" i="24"/>
  <c r="Z556" i="24" s="1"/>
  <c r="AH555" i="24"/>
  <c r="X555" i="24"/>
  <c r="Z555" i="24" s="1"/>
  <c r="AH554" i="24"/>
  <c r="X554" i="24"/>
  <c r="Z554" i="24" s="1"/>
  <c r="AH553" i="24"/>
  <c r="X553" i="24"/>
  <c r="Z553" i="24" s="1"/>
  <c r="AH552" i="24"/>
  <c r="X552" i="24"/>
  <c r="Z552" i="24" s="1"/>
  <c r="AH551" i="24"/>
  <c r="X551" i="24"/>
  <c r="Z551" i="24" s="1"/>
  <c r="AH550" i="24"/>
  <c r="X550" i="24"/>
  <c r="Z550" i="24" s="1"/>
  <c r="AH549" i="24"/>
  <c r="X549" i="24"/>
  <c r="Z549" i="24" s="1"/>
  <c r="AH548" i="24"/>
  <c r="X548" i="24"/>
  <c r="Z548" i="24" s="1"/>
  <c r="AH547" i="24"/>
  <c r="X547" i="24"/>
  <c r="Z547" i="24" s="1"/>
  <c r="AH546" i="24"/>
  <c r="X546" i="24"/>
  <c r="Z546" i="24" s="1"/>
  <c r="AH545" i="24"/>
  <c r="X545" i="24"/>
  <c r="Z545" i="24" s="1"/>
  <c r="AH544" i="24"/>
  <c r="X544" i="24"/>
  <c r="Z544" i="24" s="1"/>
  <c r="AH543" i="24"/>
  <c r="X543" i="24"/>
  <c r="Z543" i="24" s="1"/>
  <c r="AH542" i="24"/>
  <c r="X542" i="24"/>
  <c r="Z542" i="24" s="1"/>
  <c r="AH541" i="24"/>
  <c r="X541" i="24"/>
  <c r="Z541" i="24" s="1"/>
  <c r="AH540" i="24"/>
  <c r="X540" i="24"/>
  <c r="Z540" i="24" s="1"/>
  <c r="AH539" i="24"/>
  <c r="X539" i="24"/>
  <c r="Z539" i="24" s="1"/>
  <c r="AH538" i="24"/>
  <c r="X538" i="24"/>
  <c r="Z538" i="24" s="1"/>
  <c r="AH537" i="24"/>
  <c r="X537" i="24"/>
  <c r="Z537" i="24" s="1"/>
  <c r="AH536" i="24"/>
  <c r="X536" i="24"/>
  <c r="Z536" i="24" s="1"/>
  <c r="AH535" i="24"/>
  <c r="X535" i="24"/>
  <c r="Z535" i="24" s="1"/>
  <c r="AH534" i="24"/>
  <c r="X534" i="24"/>
  <c r="Z534" i="24" s="1"/>
  <c r="AH533" i="24"/>
  <c r="X533" i="24"/>
  <c r="Z533" i="24" s="1"/>
  <c r="AH532" i="24"/>
  <c r="X532" i="24"/>
  <c r="Z532" i="24" s="1"/>
  <c r="AH531" i="24"/>
  <c r="X531" i="24"/>
  <c r="Z531" i="24" s="1"/>
  <c r="AH530" i="24"/>
  <c r="X530" i="24"/>
  <c r="Z530" i="24" s="1"/>
  <c r="AH529" i="24"/>
  <c r="X529" i="24"/>
  <c r="Z529" i="24" s="1"/>
  <c r="AH528" i="24"/>
  <c r="X528" i="24"/>
  <c r="Z528" i="24" s="1"/>
  <c r="AH527" i="24"/>
  <c r="X527" i="24"/>
  <c r="Z527" i="24" s="1"/>
  <c r="AH526" i="24"/>
  <c r="X526" i="24"/>
  <c r="Z526" i="24" s="1"/>
  <c r="AH525" i="24"/>
  <c r="X525" i="24"/>
  <c r="Z525" i="24" s="1"/>
  <c r="AH524" i="24"/>
  <c r="X524" i="24"/>
  <c r="Z524" i="24" s="1"/>
  <c r="AH523" i="24"/>
  <c r="X523" i="24"/>
  <c r="Z523" i="24" s="1"/>
  <c r="AH522" i="24"/>
  <c r="X522" i="24"/>
  <c r="Z522" i="24" s="1"/>
  <c r="AH521" i="24"/>
  <c r="X521" i="24"/>
  <c r="Z521" i="24" s="1"/>
  <c r="AH520" i="24"/>
  <c r="X520" i="24"/>
  <c r="Z520" i="24" s="1"/>
  <c r="AH519" i="24"/>
  <c r="X519" i="24"/>
  <c r="Z519" i="24" s="1"/>
  <c r="AH518" i="24"/>
  <c r="X518" i="24"/>
  <c r="Z518" i="24" s="1"/>
  <c r="AH517" i="24"/>
  <c r="X517" i="24"/>
  <c r="Z517" i="24" s="1"/>
  <c r="AH516" i="24"/>
  <c r="X516" i="24"/>
  <c r="Z516" i="24" s="1"/>
  <c r="AH515" i="24"/>
  <c r="X515" i="24"/>
  <c r="Z515" i="24" s="1"/>
  <c r="AH514" i="24"/>
  <c r="X514" i="24"/>
  <c r="Z514" i="24" s="1"/>
  <c r="AH513" i="24"/>
  <c r="X513" i="24"/>
  <c r="Z513" i="24" s="1"/>
  <c r="AH512" i="24"/>
  <c r="X512" i="24"/>
  <c r="Z512" i="24" s="1"/>
  <c r="AH511" i="24"/>
  <c r="X511" i="24"/>
  <c r="Z511" i="24" s="1"/>
  <c r="AH510" i="24"/>
  <c r="X510" i="24"/>
  <c r="Z510" i="24" s="1"/>
  <c r="AH509" i="24"/>
  <c r="X509" i="24"/>
  <c r="Z509" i="24" s="1"/>
  <c r="AH508" i="24"/>
  <c r="X508" i="24"/>
  <c r="Z508" i="24" s="1"/>
  <c r="AH507" i="24"/>
  <c r="X507" i="24"/>
  <c r="Z507" i="24" s="1"/>
  <c r="AH506" i="24"/>
  <c r="X506" i="24"/>
  <c r="Z506" i="24" s="1"/>
  <c r="AH505" i="24"/>
  <c r="X505" i="24"/>
  <c r="Z505" i="24" s="1"/>
  <c r="AH504" i="24"/>
  <c r="X504" i="24"/>
  <c r="Z504" i="24" s="1"/>
  <c r="AH503" i="24"/>
  <c r="X503" i="24"/>
  <c r="Z503" i="24" s="1"/>
  <c r="AH502" i="24"/>
  <c r="X502" i="24"/>
  <c r="Z502" i="24" s="1"/>
  <c r="AH501" i="24"/>
  <c r="X501" i="24"/>
  <c r="Z501" i="24" s="1"/>
  <c r="AH500" i="24"/>
  <c r="X500" i="24"/>
  <c r="Z500" i="24" s="1"/>
  <c r="AH499" i="24"/>
  <c r="X499" i="24"/>
  <c r="Z499" i="24" s="1"/>
  <c r="AH498" i="24"/>
  <c r="X498" i="24"/>
  <c r="Z498" i="24" s="1"/>
  <c r="AH497" i="24"/>
  <c r="X497" i="24"/>
  <c r="Z497" i="24" s="1"/>
  <c r="AH496" i="24"/>
  <c r="X496" i="24"/>
  <c r="Z496" i="24" s="1"/>
  <c r="AH495" i="24"/>
  <c r="X495" i="24"/>
  <c r="Z495" i="24" s="1"/>
  <c r="AH494" i="24"/>
  <c r="X494" i="24"/>
  <c r="Z494" i="24" s="1"/>
  <c r="AH493" i="24"/>
  <c r="X493" i="24"/>
  <c r="Z493" i="24" s="1"/>
  <c r="AH492" i="24"/>
  <c r="X492" i="24"/>
  <c r="Z492" i="24" s="1"/>
  <c r="AH491" i="24"/>
  <c r="X491" i="24"/>
  <c r="Z491" i="24" s="1"/>
  <c r="AH490" i="24"/>
  <c r="X490" i="24"/>
  <c r="Z490" i="24" s="1"/>
  <c r="AH489" i="24"/>
  <c r="X489" i="24"/>
  <c r="Z489" i="24" s="1"/>
  <c r="AH488" i="24"/>
  <c r="X488" i="24"/>
  <c r="Z488" i="24" s="1"/>
  <c r="AH487" i="24"/>
  <c r="X487" i="24"/>
  <c r="Z487" i="24" s="1"/>
  <c r="AH486" i="24"/>
  <c r="X486" i="24"/>
  <c r="Z486" i="24" s="1"/>
  <c r="AH485" i="24"/>
  <c r="X485" i="24"/>
  <c r="Z485" i="24" s="1"/>
  <c r="AH484" i="24"/>
  <c r="X484" i="24"/>
  <c r="Z484" i="24" s="1"/>
  <c r="AH483" i="24"/>
  <c r="X483" i="24"/>
  <c r="Z483" i="24" s="1"/>
  <c r="AH482" i="24"/>
  <c r="X482" i="24"/>
  <c r="Z482" i="24" s="1"/>
  <c r="AH481" i="24"/>
  <c r="X481" i="24"/>
  <c r="Z481" i="24" s="1"/>
  <c r="AH480" i="24"/>
  <c r="X480" i="24"/>
  <c r="Z480" i="24" s="1"/>
  <c r="AH479" i="24"/>
  <c r="X479" i="24"/>
  <c r="Z479" i="24" s="1"/>
  <c r="AH478" i="24"/>
  <c r="X478" i="24"/>
  <c r="Z478" i="24" s="1"/>
  <c r="AH477" i="24"/>
  <c r="X477" i="24"/>
  <c r="Z477" i="24" s="1"/>
  <c r="AH476" i="24"/>
  <c r="X476" i="24"/>
  <c r="Z476" i="24" s="1"/>
  <c r="AH475" i="24"/>
  <c r="X475" i="24"/>
  <c r="Z475" i="24" s="1"/>
  <c r="AH474" i="24"/>
  <c r="X474" i="24"/>
  <c r="Z474" i="24" s="1"/>
  <c r="AH473" i="24"/>
  <c r="X473" i="24"/>
  <c r="Z473" i="24" s="1"/>
  <c r="AH472" i="24"/>
  <c r="X472" i="24"/>
  <c r="Z472" i="24" s="1"/>
  <c r="AH471" i="24"/>
  <c r="X471" i="24"/>
  <c r="Z471" i="24" s="1"/>
  <c r="AH470" i="24"/>
  <c r="X470" i="24"/>
  <c r="Z470" i="24" s="1"/>
  <c r="AH469" i="24"/>
  <c r="X469" i="24"/>
  <c r="Z469" i="24" s="1"/>
  <c r="AH468" i="24"/>
  <c r="X468" i="24"/>
  <c r="Z468" i="24" s="1"/>
  <c r="AH467" i="24"/>
  <c r="X467" i="24"/>
  <c r="Z467" i="24" s="1"/>
  <c r="AH466" i="24"/>
  <c r="X466" i="24"/>
  <c r="Z466" i="24" s="1"/>
  <c r="AH465" i="24"/>
  <c r="X465" i="24"/>
  <c r="Z465" i="24" s="1"/>
  <c r="AH464" i="24"/>
  <c r="X464" i="24"/>
  <c r="Z464" i="24" s="1"/>
  <c r="AH463" i="24"/>
  <c r="X463" i="24"/>
  <c r="Z463" i="24" s="1"/>
  <c r="AH462" i="24"/>
  <c r="X462" i="24"/>
  <c r="Z462" i="24" s="1"/>
  <c r="AH461" i="24"/>
  <c r="X461" i="24"/>
  <c r="Z461" i="24" s="1"/>
  <c r="AH460" i="24"/>
  <c r="X460" i="24"/>
  <c r="Z460" i="24" s="1"/>
  <c r="AH459" i="24"/>
  <c r="X459" i="24"/>
  <c r="Z459" i="24" s="1"/>
  <c r="AH458" i="24"/>
  <c r="X458" i="24"/>
  <c r="Z458" i="24" s="1"/>
  <c r="AH457" i="24"/>
  <c r="X457" i="24"/>
  <c r="Z457" i="24" s="1"/>
  <c r="AH456" i="24"/>
  <c r="X456" i="24"/>
  <c r="Z456" i="24" s="1"/>
  <c r="AH455" i="24"/>
  <c r="X455" i="24"/>
  <c r="Z455" i="24" s="1"/>
  <c r="AH454" i="24"/>
  <c r="X454" i="24"/>
  <c r="Z454" i="24" s="1"/>
  <c r="AH453" i="24"/>
  <c r="X453" i="24"/>
  <c r="Z453" i="24" s="1"/>
  <c r="AH452" i="24"/>
  <c r="X452" i="24"/>
  <c r="Z452" i="24" s="1"/>
  <c r="AH451" i="24"/>
  <c r="X451" i="24"/>
  <c r="Z451" i="24" s="1"/>
  <c r="AH450" i="24"/>
  <c r="X450" i="24"/>
  <c r="Z450" i="24" s="1"/>
  <c r="AH449" i="24"/>
  <c r="X449" i="24"/>
  <c r="Z449" i="24" s="1"/>
  <c r="AH448" i="24"/>
  <c r="X448" i="24"/>
  <c r="Z448" i="24" s="1"/>
  <c r="AH447" i="24"/>
  <c r="X447" i="24"/>
  <c r="Z447" i="24" s="1"/>
  <c r="AH446" i="24"/>
  <c r="X446" i="24"/>
  <c r="Z446" i="24" s="1"/>
  <c r="AH445" i="24"/>
  <c r="X445" i="24"/>
  <c r="Z445" i="24" s="1"/>
  <c r="AH444" i="24"/>
  <c r="X444" i="24"/>
  <c r="Z444" i="24" s="1"/>
  <c r="AH443" i="24"/>
  <c r="X443" i="24"/>
  <c r="Z443" i="24" s="1"/>
  <c r="AH442" i="24"/>
  <c r="X442" i="24"/>
  <c r="Z442" i="24" s="1"/>
  <c r="AH441" i="24"/>
  <c r="X441" i="24"/>
  <c r="Z441" i="24" s="1"/>
  <c r="AH440" i="24"/>
  <c r="X440" i="24"/>
  <c r="Z440" i="24" s="1"/>
  <c r="AH439" i="24"/>
  <c r="X439" i="24"/>
  <c r="Z439" i="24" s="1"/>
  <c r="AH438" i="24"/>
  <c r="X438" i="24"/>
  <c r="Z438" i="24" s="1"/>
  <c r="AH437" i="24"/>
  <c r="X437" i="24"/>
  <c r="Z437" i="24" s="1"/>
  <c r="AH436" i="24"/>
  <c r="X436" i="24"/>
  <c r="Z436" i="24" s="1"/>
  <c r="AH435" i="24"/>
  <c r="X435" i="24"/>
  <c r="Z435" i="24" s="1"/>
  <c r="AH434" i="24"/>
  <c r="X434" i="24"/>
  <c r="Z434" i="24" s="1"/>
  <c r="AH433" i="24"/>
  <c r="X433" i="24"/>
  <c r="Z433" i="24" s="1"/>
  <c r="AH432" i="24"/>
  <c r="X432" i="24"/>
  <c r="Z432" i="24" s="1"/>
  <c r="AH431" i="24"/>
  <c r="X431" i="24"/>
  <c r="Z431" i="24" s="1"/>
  <c r="AH430" i="24"/>
  <c r="X430" i="24"/>
  <c r="Z430" i="24" s="1"/>
  <c r="AH429" i="24"/>
  <c r="X429" i="24"/>
  <c r="Z429" i="24" s="1"/>
  <c r="AH428" i="24"/>
  <c r="X428" i="24"/>
  <c r="Z428" i="24" s="1"/>
  <c r="AH427" i="24"/>
  <c r="X427" i="24"/>
  <c r="Z427" i="24" s="1"/>
  <c r="AH426" i="24"/>
  <c r="X426" i="24"/>
  <c r="Z426" i="24" s="1"/>
  <c r="AH425" i="24"/>
  <c r="X425" i="24"/>
  <c r="Z425" i="24" s="1"/>
  <c r="AH424" i="24"/>
  <c r="X424" i="24"/>
  <c r="Z424" i="24" s="1"/>
  <c r="AH423" i="24"/>
  <c r="X423" i="24"/>
  <c r="Z423" i="24" s="1"/>
  <c r="AH422" i="24"/>
  <c r="X422" i="24"/>
  <c r="Z422" i="24" s="1"/>
  <c r="AH421" i="24"/>
  <c r="X421" i="24"/>
  <c r="Z421" i="24" s="1"/>
  <c r="AH420" i="24"/>
  <c r="X420" i="24"/>
  <c r="Z420" i="24" s="1"/>
  <c r="AH419" i="24"/>
  <c r="X419" i="24"/>
  <c r="Z419" i="24" s="1"/>
  <c r="AH418" i="24"/>
  <c r="X418" i="24"/>
  <c r="Z418" i="24" s="1"/>
  <c r="AH417" i="24"/>
  <c r="X417" i="24"/>
  <c r="Z417" i="24" s="1"/>
  <c r="AH416" i="24"/>
  <c r="X416" i="24"/>
  <c r="Z416" i="24" s="1"/>
  <c r="AH415" i="24"/>
  <c r="X415" i="24"/>
  <c r="Z415" i="24" s="1"/>
  <c r="AH414" i="24"/>
  <c r="X414" i="24"/>
  <c r="Z414" i="24" s="1"/>
  <c r="AH413" i="24"/>
  <c r="X413" i="24"/>
  <c r="Z413" i="24" s="1"/>
  <c r="AH412" i="24"/>
  <c r="X412" i="24"/>
  <c r="Z412" i="24" s="1"/>
  <c r="AH411" i="24"/>
  <c r="X411" i="24"/>
  <c r="Z411" i="24" s="1"/>
  <c r="AH410" i="24"/>
  <c r="X410" i="24"/>
  <c r="Z410" i="24" s="1"/>
  <c r="AH409" i="24"/>
  <c r="X409" i="24"/>
  <c r="Z409" i="24" s="1"/>
  <c r="AH408" i="24"/>
  <c r="X408" i="24"/>
  <c r="Z408" i="24" s="1"/>
  <c r="AH407" i="24"/>
  <c r="X407" i="24"/>
  <c r="Z407" i="24" s="1"/>
  <c r="AH406" i="24"/>
  <c r="X406" i="24"/>
  <c r="Z406" i="24" s="1"/>
  <c r="AH405" i="24"/>
  <c r="X405" i="24"/>
  <c r="Z405" i="24" s="1"/>
  <c r="AH404" i="24"/>
  <c r="X404" i="24"/>
  <c r="Z404" i="24" s="1"/>
  <c r="AH403" i="24"/>
  <c r="X403" i="24"/>
  <c r="Z403" i="24" s="1"/>
  <c r="AH402" i="24"/>
  <c r="X402" i="24"/>
  <c r="Z402" i="24" s="1"/>
  <c r="AH401" i="24"/>
  <c r="X401" i="24"/>
  <c r="Z401" i="24" s="1"/>
  <c r="AH400" i="24"/>
  <c r="X400" i="24"/>
  <c r="Z400" i="24" s="1"/>
  <c r="AH399" i="24"/>
  <c r="X399" i="24"/>
  <c r="Z399" i="24" s="1"/>
  <c r="AH398" i="24"/>
  <c r="X398" i="24"/>
  <c r="Z398" i="24" s="1"/>
  <c r="AH397" i="24"/>
  <c r="X397" i="24"/>
  <c r="Z397" i="24" s="1"/>
  <c r="AH396" i="24"/>
  <c r="X396" i="24"/>
  <c r="Z396" i="24" s="1"/>
  <c r="AH395" i="24"/>
  <c r="X395" i="24"/>
  <c r="Z395" i="24" s="1"/>
  <c r="AH394" i="24"/>
  <c r="X394" i="24"/>
  <c r="Z394" i="24" s="1"/>
  <c r="AH393" i="24"/>
  <c r="X393" i="24"/>
  <c r="Z393" i="24" s="1"/>
  <c r="AH392" i="24"/>
  <c r="X392" i="24"/>
  <c r="Z392" i="24" s="1"/>
  <c r="AH391" i="24"/>
  <c r="X391" i="24"/>
  <c r="Z391" i="24" s="1"/>
  <c r="AH390" i="24"/>
  <c r="X390" i="24"/>
  <c r="Z390" i="24" s="1"/>
  <c r="AH389" i="24"/>
  <c r="X389" i="24"/>
  <c r="Z389" i="24" s="1"/>
  <c r="AH388" i="24"/>
  <c r="X388" i="24"/>
  <c r="Z388" i="24" s="1"/>
  <c r="AH387" i="24"/>
  <c r="X387" i="24"/>
  <c r="Z387" i="24" s="1"/>
  <c r="AH386" i="24"/>
  <c r="X386" i="24"/>
  <c r="Z386" i="24" s="1"/>
  <c r="AH385" i="24"/>
  <c r="X385" i="24"/>
  <c r="Z385" i="24" s="1"/>
  <c r="AH384" i="24"/>
  <c r="X384" i="24"/>
  <c r="Z384" i="24" s="1"/>
  <c r="AH383" i="24"/>
  <c r="X383" i="24"/>
  <c r="Z383" i="24" s="1"/>
  <c r="AH382" i="24"/>
  <c r="X382" i="24"/>
  <c r="Z382" i="24" s="1"/>
  <c r="AH381" i="24"/>
  <c r="X381" i="24"/>
  <c r="Z381" i="24" s="1"/>
  <c r="AH380" i="24"/>
  <c r="X380" i="24"/>
  <c r="Z380" i="24" s="1"/>
  <c r="AH379" i="24"/>
  <c r="X379" i="24"/>
  <c r="Z379" i="24" s="1"/>
  <c r="AH378" i="24"/>
  <c r="X378" i="24"/>
  <c r="Z378" i="24" s="1"/>
  <c r="AH377" i="24"/>
  <c r="X377" i="24"/>
  <c r="Z377" i="24" s="1"/>
  <c r="AH376" i="24"/>
  <c r="X376" i="24"/>
  <c r="Z376" i="24" s="1"/>
  <c r="AH375" i="24"/>
  <c r="X375" i="24"/>
  <c r="Z375" i="24" s="1"/>
  <c r="AH374" i="24"/>
  <c r="X374" i="24"/>
  <c r="Z374" i="24" s="1"/>
  <c r="AH373" i="24"/>
  <c r="X373" i="24"/>
  <c r="Z373" i="24" s="1"/>
  <c r="AH372" i="24"/>
  <c r="X372" i="24"/>
  <c r="Z372" i="24" s="1"/>
  <c r="AH371" i="24"/>
  <c r="X371" i="24"/>
  <c r="Z371" i="24" s="1"/>
  <c r="AH370" i="24"/>
  <c r="X370" i="24"/>
  <c r="Z370" i="24" s="1"/>
  <c r="AH369" i="24"/>
  <c r="X369" i="24"/>
  <c r="Z369" i="24" s="1"/>
  <c r="AH368" i="24"/>
  <c r="X368" i="24"/>
  <c r="Z368" i="24" s="1"/>
  <c r="AH367" i="24"/>
  <c r="X367" i="24"/>
  <c r="Z367" i="24" s="1"/>
  <c r="AH366" i="24"/>
  <c r="X366" i="24"/>
  <c r="Z366" i="24" s="1"/>
  <c r="AH365" i="24"/>
  <c r="X365" i="24"/>
  <c r="Z365" i="24" s="1"/>
  <c r="AH364" i="24"/>
  <c r="X364" i="24"/>
  <c r="Z364" i="24" s="1"/>
  <c r="AH363" i="24"/>
  <c r="X363" i="24"/>
  <c r="Z363" i="24" s="1"/>
  <c r="AH362" i="24"/>
  <c r="X362" i="24"/>
  <c r="Z362" i="24" s="1"/>
  <c r="AH361" i="24"/>
  <c r="X361" i="24"/>
  <c r="Z361" i="24" s="1"/>
  <c r="AH360" i="24"/>
  <c r="X360" i="24"/>
  <c r="Z360" i="24" s="1"/>
  <c r="AH359" i="24"/>
  <c r="X359" i="24"/>
  <c r="Z359" i="24" s="1"/>
  <c r="AH358" i="24"/>
  <c r="X358" i="24"/>
  <c r="Z358" i="24" s="1"/>
  <c r="AH357" i="24"/>
  <c r="X357" i="24"/>
  <c r="Z357" i="24" s="1"/>
  <c r="AH356" i="24"/>
  <c r="X356" i="24"/>
  <c r="Z356" i="24" s="1"/>
  <c r="AH355" i="24"/>
  <c r="X355" i="24"/>
  <c r="Z355" i="24" s="1"/>
  <c r="AH354" i="24"/>
  <c r="X354" i="24"/>
  <c r="Z354" i="24" s="1"/>
  <c r="AH353" i="24"/>
  <c r="X353" i="24"/>
  <c r="Z353" i="24" s="1"/>
  <c r="AH352" i="24"/>
  <c r="X352" i="24"/>
  <c r="Z352" i="24" s="1"/>
  <c r="AH351" i="24"/>
  <c r="X351" i="24"/>
  <c r="Z351" i="24" s="1"/>
  <c r="AH350" i="24"/>
  <c r="X350" i="24"/>
  <c r="Z350" i="24" s="1"/>
  <c r="AH349" i="24"/>
  <c r="X349" i="24"/>
  <c r="Z349" i="24" s="1"/>
  <c r="AH348" i="24"/>
  <c r="X348" i="24"/>
  <c r="Z348" i="24" s="1"/>
  <c r="AH347" i="24"/>
  <c r="X347" i="24"/>
  <c r="Z347" i="24" s="1"/>
  <c r="AH346" i="24"/>
  <c r="X346" i="24"/>
  <c r="Z346" i="24" s="1"/>
  <c r="AH345" i="24"/>
  <c r="X345" i="24"/>
  <c r="Z345" i="24" s="1"/>
  <c r="AH344" i="24"/>
  <c r="X344" i="24"/>
  <c r="Z344" i="24" s="1"/>
  <c r="AH343" i="24"/>
  <c r="X343" i="24"/>
  <c r="Z343" i="24" s="1"/>
  <c r="AH342" i="24"/>
  <c r="X342" i="24"/>
  <c r="Z342" i="24" s="1"/>
  <c r="AH341" i="24"/>
  <c r="X341" i="24"/>
  <c r="Z341" i="24" s="1"/>
  <c r="AH340" i="24"/>
  <c r="X340" i="24"/>
  <c r="Z340" i="24" s="1"/>
  <c r="AH339" i="24"/>
  <c r="X339" i="24"/>
  <c r="Z339" i="24" s="1"/>
  <c r="AH338" i="24"/>
  <c r="X338" i="24"/>
  <c r="Z338" i="24" s="1"/>
  <c r="AH337" i="24"/>
  <c r="X337" i="24"/>
  <c r="Z337" i="24" s="1"/>
  <c r="AH336" i="24"/>
  <c r="X336" i="24"/>
  <c r="Z336" i="24" s="1"/>
  <c r="AH335" i="24"/>
  <c r="X335" i="24"/>
  <c r="Z335" i="24" s="1"/>
  <c r="AH334" i="24"/>
  <c r="X334" i="24"/>
  <c r="Z334" i="24" s="1"/>
  <c r="AH333" i="24"/>
  <c r="X333" i="24"/>
  <c r="Z333" i="24" s="1"/>
  <c r="AH332" i="24"/>
  <c r="X332" i="24"/>
  <c r="Z332" i="24" s="1"/>
  <c r="AH331" i="24"/>
  <c r="X331" i="24"/>
  <c r="Z331" i="24" s="1"/>
  <c r="AH330" i="24"/>
  <c r="X330" i="24"/>
  <c r="Z330" i="24" s="1"/>
  <c r="AH329" i="24"/>
  <c r="X329" i="24"/>
  <c r="Z329" i="24" s="1"/>
  <c r="AH328" i="24"/>
  <c r="X328" i="24"/>
  <c r="Z328" i="24" s="1"/>
  <c r="AH327" i="24"/>
  <c r="X327" i="24"/>
  <c r="Z327" i="24" s="1"/>
  <c r="AH326" i="24"/>
  <c r="X326" i="24"/>
  <c r="Z326" i="24" s="1"/>
  <c r="AH325" i="24"/>
  <c r="X325" i="24"/>
  <c r="Z325" i="24" s="1"/>
  <c r="AH324" i="24"/>
  <c r="X324" i="24"/>
  <c r="Z324" i="24" s="1"/>
  <c r="AH323" i="24"/>
  <c r="X323" i="24"/>
  <c r="Z323" i="24" s="1"/>
  <c r="AH322" i="24"/>
  <c r="X322" i="24"/>
  <c r="Z322" i="24" s="1"/>
  <c r="AH321" i="24"/>
  <c r="X321" i="24"/>
  <c r="Z321" i="24" s="1"/>
  <c r="AH320" i="24"/>
  <c r="X320" i="24"/>
  <c r="Z320" i="24" s="1"/>
  <c r="AH319" i="24"/>
  <c r="X319" i="24"/>
  <c r="Z319" i="24" s="1"/>
  <c r="AH318" i="24"/>
  <c r="X318" i="24"/>
  <c r="Z318" i="24" s="1"/>
  <c r="AH317" i="24"/>
  <c r="X317" i="24"/>
  <c r="Z317" i="24" s="1"/>
  <c r="AH316" i="24"/>
  <c r="X316" i="24"/>
  <c r="Z316" i="24" s="1"/>
  <c r="AH315" i="24"/>
  <c r="X315" i="24"/>
  <c r="Z315" i="24" s="1"/>
  <c r="AH314" i="24"/>
  <c r="X314" i="24"/>
  <c r="Z314" i="24" s="1"/>
  <c r="AH313" i="24"/>
  <c r="X313" i="24"/>
  <c r="Z313" i="24" s="1"/>
  <c r="AH312" i="24"/>
  <c r="X312" i="24"/>
  <c r="Z312" i="24" s="1"/>
  <c r="AH311" i="24"/>
  <c r="X311" i="24"/>
  <c r="Z311" i="24" s="1"/>
  <c r="AH310" i="24"/>
  <c r="X310" i="24"/>
  <c r="Z310" i="24" s="1"/>
  <c r="AH309" i="24"/>
  <c r="X309" i="24"/>
  <c r="Z309" i="24" s="1"/>
  <c r="AH308" i="24"/>
  <c r="X308" i="24"/>
  <c r="Z308" i="24" s="1"/>
  <c r="AH307" i="24"/>
  <c r="X307" i="24"/>
  <c r="Z307" i="24" s="1"/>
  <c r="AH306" i="24"/>
  <c r="X306" i="24"/>
  <c r="Z306" i="24" s="1"/>
  <c r="AH305" i="24"/>
  <c r="X305" i="24"/>
  <c r="Z305" i="24" s="1"/>
  <c r="AH304" i="24"/>
  <c r="X304" i="24"/>
  <c r="Z304" i="24" s="1"/>
  <c r="AH303" i="24"/>
  <c r="X303" i="24"/>
  <c r="Z303" i="24" s="1"/>
  <c r="AH302" i="24"/>
  <c r="X302" i="24"/>
  <c r="Z302" i="24" s="1"/>
  <c r="AH301" i="24"/>
  <c r="X301" i="24"/>
  <c r="Z301" i="24" s="1"/>
  <c r="AH300" i="24"/>
  <c r="X300" i="24"/>
  <c r="Z300" i="24" s="1"/>
  <c r="AH299" i="24"/>
  <c r="X299" i="24"/>
  <c r="Z299" i="24" s="1"/>
  <c r="AH298" i="24"/>
  <c r="X298" i="24"/>
  <c r="Z298" i="24" s="1"/>
  <c r="AH297" i="24"/>
  <c r="X297" i="24"/>
  <c r="Z297" i="24" s="1"/>
  <c r="AH296" i="24"/>
  <c r="X296" i="24"/>
  <c r="Z296" i="24" s="1"/>
  <c r="AH295" i="24"/>
  <c r="X295" i="24"/>
  <c r="Z295" i="24" s="1"/>
  <c r="AH294" i="24"/>
  <c r="X294" i="24"/>
  <c r="Z294" i="24" s="1"/>
  <c r="AH293" i="24"/>
  <c r="X293" i="24"/>
  <c r="Z293" i="24" s="1"/>
  <c r="AH292" i="24"/>
  <c r="X292" i="24"/>
  <c r="Z292" i="24" s="1"/>
  <c r="AH291" i="24"/>
  <c r="X291" i="24"/>
  <c r="Z291" i="24" s="1"/>
  <c r="AH290" i="24"/>
  <c r="X290" i="24"/>
  <c r="Z290" i="24" s="1"/>
  <c r="AH289" i="24"/>
  <c r="X289" i="24"/>
  <c r="Z289" i="24" s="1"/>
  <c r="AH288" i="24"/>
  <c r="X288" i="24"/>
  <c r="Z288" i="24" s="1"/>
  <c r="AH287" i="24"/>
  <c r="X287" i="24"/>
  <c r="Z287" i="24" s="1"/>
  <c r="AH286" i="24"/>
  <c r="X286" i="24"/>
  <c r="Z286" i="24" s="1"/>
  <c r="AH285" i="24"/>
  <c r="X285" i="24"/>
  <c r="Z285" i="24" s="1"/>
  <c r="AH284" i="24"/>
  <c r="X284" i="24"/>
  <c r="Z284" i="24" s="1"/>
  <c r="AH283" i="24"/>
  <c r="X283" i="24"/>
  <c r="Z283" i="24" s="1"/>
  <c r="AH282" i="24"/>
  <c r="X282" i="24"/>
  <c r="Z282" i="24" s="1"/>
  <c r="AH281" i="24"/>
  <c r="X281" i="24"/>
  <c r="Z281" i="24" s="1"/>
  <c r="AH280" i="24"/>
  <c r="X280" i="24"/>
  <c r="Z280" i="24" s="1"/>
  <c r="AH279" i="24"/>
  <c r="X279" i="24"/>
  <c r="Z279" i="24" s="1"/>
  <c r="AH278" i="24"/>
  <c r="X278" i="24"/>
  <c r="Z278" i="24" s="1"/>
  <c r="AH277" i="24"/>
  <c r="X277" i="24"/>
  <c r="Z277" i="24" s="1"/>
  <c r="AH276" i="24"/>
  <c r="X276" i="24"/>
  <c r="Z276" i="24" s="1"/>
  <c r="AH275" i="24"/>
  <c r="X275" i="24"/>
  <c r="Z275" i="24" s="1"/>
  <c r="AH274" i="24"/>
  <c r="X274" i="24"/>
  <c r="Z274" i="24" s="1"/>
  <c r="AH273" i="24"/>
  <c r="X273" i="24"/>
  <c r="Z273" i="24" s="1"/>
  <c r="AH272" i="24"/>
  <c r="X272" i="24"/>
  <c r="Z272" i="24" s="1"/>
  <c r="AH271" i="24"/>
  <c r="X271" i="24"/>
  <c r="Z271" i="24" s="1"/>
  <c r="AH270" i="24"/>
  <c r="X270" i="24"/>
  <c r="Z270" i="24" s="1"/>
  <c r="AH269" i="24"/>
  <c r="X269" i="24"/>
  <c r="Z269" i="24" s="1"/>
  <c r="AH268" i="24"/>
  <c r="X268" i="24"/>
  <c r="Z268" i="24" s="1"/>
  <c r="AH267" i="24"/>
  <c r="X267" i="24"/>
  <c r="Z267" i="24" s="1"/>
  <c r="AH266" i="24"/>
  <c r="X266" i="24"/>
  <c r="Z266" i="24" s="1"/>
  <c r="AH265" i="24"/>
  <c r="X265" i="24"/>
  <c r="Z265" i="24" s="1"/>
  <c r="AH264" i="24"/>
  <c r="X264" i="24"/>
  <c r="Z264" i="24" s="1"/>
  <c r="AH263" i="24"/>
  <c r="X263" i="24"/>
  <c r="Z263" i="24" s="1"/>
  <c r="AH262" i="24"/>
  <c r="X262" i="24"/>
  <c r="Z262" i="24" s="1"/>
  <c r="AH261" i="24"/>
  <c r="X261" i="24"/>
  <c r="Z261" i="24" s="1"/>
  <c r="AH260" i="24"/>
  <c r="X260" i="24"/>
  <c r="Z260" i="24" s="1"/>
  <c r="AH259" i="24"/>
  <c r="X259" i="24"/>
  <c r="Z259" i="24" s="1"/>
  <c r="AH258" i="24"/>
  <c r="X258" i="24"/>
  <c r="Z258" i="24" s="1"/>
  <c r="AH257" i="24"/>
  <c r="X257" i="24"/>
  <c r="Z257" i="24" s="1"/>
  <c r="AH256" i="24"/>
  <c r="X256" i="24"/>
  <c r="Z256" i="24" s="1"/>
  <c r="AH255" i="24"/>
  <c r="X255" i="24"/>
  <c r="Z255" i="24" s="1"/>
  <c r="AH254" i="24"/>
  <c r="X254" i="24"/>
  <c r="Z254" i="24" s="1"/>
  <c r="AH253" i="24"/>
  <c r="X253" i="24"/>
  <c r="Z253" i="24" s="1"/>
  <c r="AH252" i="24"/>
  <c r="X252" i="24"/>
  <c r="Z252" i="24" s="1"/>
  <c r="AH251" i="24"/>
  <c r="X251" i="24"/>
  <c r="Z251" i="24" s="1"/>
  <c r="AH250" i="24"/>
  <c r="X250" i="24"/>
  <c r="Z250" i="24" s="1"/>
  <c r="AH249" i="24"/>
  <c r="X249" i="24"/>
  <c r="Z249" i="24" s="1"/>
  <c r="AH248" i="24"/>
  <c r="X248" i="24"/>
  <c r="Z248" i="24" s="1"/>
  <c r="AH247" i="24"/>
  <c r="X247" i="24"/>
  <c r="Z247" i="24" s="1"/>
  <c r="AH246" i="24"/>
  <c r="X246" i="24"/>
  <c r="Z246" i="24" s="1"/>
  <c r="AH245" i="24"/>
  <c r="X245" i="24"/>
  <c r="Z245" i="24" s="1"/>
  <c r="AH244" i="24"/>
  <c r="X244" i="24"/>
  <c r="Z244" i="24" s="1"/>
  <c r="AH243" i="24"/>
  <c r="X243" i="24"/>
  <c r="Z243" i="24" s="1"/>
  <c r="AH242" i="24"/>
  <c r="X242" i="24"/>
  <c r="Z242" i="24" s="1"/>
  <c r="AH241" i="24"/>
  <c r="X241" i="24"/>
  <c r="Z241" i="24" s="1"/>
  <c r="AH240" i="24"/>
  <c r="X240" i="24"/>
  <c r="Z240" i="24" s="1"/>
  <c r="AH239" i="24"/>
  <c r="X239" i="24"/>
  <c r="Z239" i="24" s="1"/>
  <c r="AH238" i="24"/>
  <c r="X238" i="24"/>
  <c r="Z238" i="24" s="1"/>
  <c r="AH237" i="24"/>
  <c r="X237" i="24"/>
  <c r="Z237" i="24" s="1"/>
  <c r="AH236" i="24"/>
  <c r="X236" i="24"/>
  <c r="Z236" i="24" s="1"/>
  <c r="AH235" i="24"/>
  <c r="X235" i="24"/>
  <c r="Z235" i="24" s="1"/>
  <c r="AH234" i="24"/>
  <c r="X234" i="24"/>
  <c r="Z234" i="24" s="1"/>
  <c r="AH233" i="24"/>
  <c r="X233" i="24"/>
  <c r="Z233" i="24" s="1"/>
  <c r="AH232" i="24"/>
  <c r="X232" i="24"/>
  <c r="Z232" i="24" s="1"/>
  <c r="AH231" i="24"/>
  <c r="X231" i="24"/>
  <c r="Z231" i="24" s="1"/>
  <c r="AH230" i="24"/>
  <c r="X230" i="24"/>
  <c r="Z230" i="24" s="1"/>
  <c r="AH229" i="24"/>
  <c r="X229" i="24"/>
  <c r="Z229" i="24" s="1"/>
  <c r="AH228" i="24"/>
  <c r="X228" i="24"/>
  <c r="Z228" i="24" s="1"/>
  <c r="AH227" i="24"/>
  <c r="X227" i="24"/>
  <c r="Z227" i="24" s="1"/>
  <c r="AH226" i="24"/>
  <c r="X226" i="24"/>
  <c r="Z226" i="24" s="1"/>
  <c r="AH225" i="24"/>
  <c r="X225" i="24"/>
  <c r="Z225" i="24" s="1"/>
  <c r="AH224" i="24"/>
  <c r="X224" i="24"/>
  <c r="Z224" i="24" s="1"/>
  <c r="AH223" i="24"/>
  <c r="X223" i="24"/>
  <c r="Z223" i="24" s="1"/>
  <c r="AH222" i="24"/>
  <c r="X222" i="24"/>
  <c r="Z222" i="24" s="1"/>
  <c r="AH221" i="24"/>
  <c r="X221" i="24"/>
  <c r="Z221" i="24" s="1"/>
  <c r="AH220" i="24"/>
  <c r="X220" i="24"/>
  <c r="Z220" i="24" s="1"/>
  <c r="AH219" i="24"/>
  <c r="X219" i="24"/>
  <c r="Z219" i="24" s="1"/>
  <c r="AH218" i="24"/>
  <c r="X218" i="24"/>
  <c r="Z218" i="24" s="1"/>
  <c r="AH217" i="24"/>
  <c r="X217" i="24"/>
  <c r="Z217" i="24" s="1"/>
  <c r="AH216" i="24"/>
  <c r="X216" i="24"/>
  <c r="Z216" i="24" s="1"/>
  <c r="AH215" i="24"/>
  <c r="X215" i="24"/>
  <c r="Z215" i="24" s="1"/>
  <c r="AH214" i="24"/>
  <c r="X214" i="24"/>
  <c r="Z214" i="24" s="1"/>
  <c r="AH213" i="24"/>
  <c r="X213" i="24"/>
  <c r="Z213" i="24" s="1"/>
  <c r="AH212" i="24"/>
  <c r="X212" i="24"/>
  <c r="Z212" i="24" s="1"/>
  <c r="AH211" i="24"/>
  <c r="X211" i="24"/>
  <c r="Z211" i="24" s="1"/>
  <c r="AH210" i="24"/>
  <c r="X210" i="24"/>
  <c r="Z210" i="24" s="1"/>
  <c r="AH209" i="24"/>
  <c r="X209" i="24"/>
  <c r="Z209" i="24" s="1"/>
  <c r="AH208" i="24"/>
  <c r="X208" i="24"/>
  <c r="Z208" i="24" s="1"/>
  <c r="AH207" i="24"/>
  <c r="X207" i="24"/>
  <c r="Z207" i="24" s="1"/>
  <c r="AH206" i="24"/>
  <c r="X206" i="24"/>
  <c r="Z206" i="24" s="1"/>
  <c r="AH205" i="24"/>
  <c r="X205" i="24"/>
  <c r="Z205" i="24" s="1"/>
  <c r="AH204" i="24"/>
  <c r="X204" i="24"/>
  <c r="Z204" i="24" s="1"/>
  <c r="AH203" i="24"/>
  <c r="X203" i="24"/>
  <c r="Z203" i="24" s="1"/>
  <c r="AH202" i="24"/>
  <c r="X202" i="24"/>
  <c r="Z202" i="24" s="1"/>
  <c r="AH201" i="24"/>
  <c r="X201" i="24"/>
  <c r="Z201" i="24" s="1"/>
  <c r="AH200" i="24"/>
  <c r="X200" i="24"/>
  <c r="Z200" i="24" s="1"/>
  <c r="AH199" i="24"/>
  <c r="X199" i="24"/>
  <c r="Z199" i="24" s="1"/>
  <c r="AH198" i="24"/>
  <c r="X198" i="24"/>
  <c r="Z198" i="24" s="1"/>
  <c r="AH197" i="24"/>
  <c r="X197" i="24"/>
  <c r="Z197" i="24" s="1"/>
  <c r="AH196" i="24"/>
  <c r="X196" i="24"/>
  <c r="Z196" i="24" s="1"/>
  <c r="AH195" i="24"/>
  <c r="X195" i="24"/>
  <c r="Z195" i="24" s="1"/>
  <c r="AH194" i="24"/>
  <c r="X194" i="24"/>
  <c r="Z194" i="24" s="1"/>
  <c r="AH193" i="24"/>
  <c r="X193" i="24"/>
  <c r="Z193" i="24" s="1"/>
  <c r="AH192" i="24"/>
  <c r="X192" i="24"/>
  <c r="Z192" i="24" s="1"/>
  <c r="AH191" i="24"/>
  <c r="X191" i="24"/>
  <c r="Z191" i="24" s="1"/>
  <c r="AH190" i="24"/>
  <c r="X190" i="24"/>
  <c r="Z190" i="24" s="1"/>
  <c r="AH189" i="24"/>
  <c r="X189" i="24"/>
  <c r="Z189" i="24" s="1"/>
  <c r="AH188" i="24"/>
  <c r="X188" i="24"/>
  <c r="Z188" i="24" s="1"/>
  <c r="AH187" i="24"/>
  <c r="X187" i="24"/>
  <c r="Z187" i="24" s="1"/>
  <c r="AH186" i="24"/>
  <c r="X186" i="24"/>
  <c r="Z186" i="24" s="1"/>
  <c r="AH185" i="24"/>
  <c r="X185" i="24"/>
  <c r="Z185" i="24" s="1"/>
  <c r="AH184" i="24"/>
  <c r="X184" i="24"/>
  <c r="Z184" i="24" s="1"/>
  <c r="AH183" i="24"/>
  <c r="X183" i="24"/>
  <c r="Z183" i="24" s="1"/>
  <c r="AH182" i="24"/>
  <c r="X182" i="24"/>
  <c r="Z182" i="24" s="1"/>
  <c r="AH181" i="24"/>
  <c r="X181" i="24"/>
  <c r="Z181" i="24" s="1"/>
  <c r="AH180" i="24"/>
  <c r="X180" i="24"/>
  <c r="Z180" i="24" s="1"/>
  <c r="AH179" i="24"/>
  <c r="X179" i="24"/>
  <c r="Z179" i="24" s="1"/>
  <c r="AH178" i="24"/>
  <c r="X178" i="24"/>
  <c r="Z178" i="24" s="1"/>
  <c r="AH177" i="24"/>
  <c r="X177" i="24"/>
  <c r="Z177" i="24" s="1"/>
  <c r="AH176" i="24"/>
  <c r="X176" i="24"/>
  <c r="Z176" i="24" s="1"/>
  <c r="AH175" i="24"/>
  <c r="X175" i="24"/>
  <c r="Z175" i="24" s="1"/>
  <c r="AH174" i="24"/>
  <c r="X174" i="24"/>
  <c r="Z174" i="24" s="1"/>
  <c r="AH173" i="24"/>
  <c r="X173" i="24"/>
  <c r="Z173" i="24" s="1"/>
  <c r="AH172" i="24"/>
  <c r="X172" i="24"/>
  <c r="Z172" i="24" s="1"/>
  <c r="AH171" i="24"/>
  <c r="X171" i="24"/>
  <c r="Z171" i="24" s="1"/>
  <c r="AH170" i="24"/>
  <c r="X170" i="24"/>
  <c r="Z170" i="24" s="1"/>
  <c r="AH169" i="24"/>
  <c r="X169" i="24"/>
  <c r="Z169" i="24" s="1"/>
  <c r="AH168" i="24"/>
  <c r="X168" i="24"/>
  <c r="Z168" i="24" s="1"/>
  <c r="AH167" i="24"/>
  <c r="X167" i="24"/>
  <c r="Z167" i="24" s="1"/>
  <c r="AH166" i="24"/>
  <c r="X166" i="24"/>
  <c r="Z166" i="24" s="1"/>
  <c r="AH165" i="24"/>
  <c r="X165" i="24"/>
  <c r="Z165" i="24" s="1"/>
  <c r="AH164" i="24"/>
  <c r="X164" i="24"/>
  <c r="Z164" i="24" s="1"/>
  <c r="AH163" i="24"/>
  <c r="X163" i="24"/>
  <c r="Z163" i="24" s="1"/>
  <c r="AH162" i="24"/>
  <c r="X162" i="24"/>
  <c r="Z162" i="24" s="1"/>
  <c r="AH161" i="24"/>
  <c r="X161" i="24"/>
  <c r="Z161" i="24" s="1"/>
  <c r="AH160" i="24"/>
  <c r="X160" i="24"/>
  <c r="Z160" i="24" s="1"/>
  <c r="AH159" i="24"/>
  <c r="X159" i="24"/>
  <c r="Z159" i="24" s="1"/>
  <c r="AH158" i="24"/>
  <c r="X158" i="24"/>
  <c r="Z158" i="24" s="1"/>
  <c r="AH157" i="24"/>
  <c r="X157" i="24"/>
  <c r="Z157" i="24" s="1"/>
  <c r="AH156" i="24"/>
  <c r="X156" i="24"/>
  <c r="Z156" i="24" s="1"/>
  <c r="AH155" i="24"/>
  <c r="X155" i="24"/>
  <c r="Z155" i="24" s="1"/>
  <c r="AH154" i="24"/>
  <c r="X154" i="24"/>
  <c r="Z154" i="24" s="1"/>
  <c r="AH153" i="24"/>
  <c r="X153" i="24"/>
  <c r="Z153" i="24" s="1"/>
  <c r="AH152" i="24"/>
  <c r="X152" i="24"/>
  <c r="Z152" i="24" s="1"/>
  <c r="AH151" i="24"/>
  <c r="X151" i="24"/>
  <c r="Z151" i="24" s="1"/>
  <c r="AH150" i="24"/>
  <c r="X150" i="24"/>
  <c r="Z150" i="24" s="1"/>
  <c r="AH149" i="24"/>
  <c r="X149" i="24"/>
  <c r="Z149" i="24" s="1"/>
  <c r="AH148" i="24"/>
  <c r="X148" i="24"/>
  <c r="Z148" i="24" s="1"/>
  <c r="AH147" i="24"/>
  <c r="X147" i="24"/>
  <c r="Z147" i="24" s="1"/>
  <c r="AH146" i="24"/>
  <c r="X146" i="24"/>
  <c r="Z146" i="24" s="1"/>
  <c r="AH145" i="24"/>
  <c r="X145" i="24"/>
  <c r="Z145" i="24" s="1"/>
  <c r="AH144" i="24"/>
  <c r="X144" i="24"/>
  <c r="Z144" i="24" s="1"/>
  <c r="AH143" i="24"/>
  <c r="X143" i="24"/>
  <c r="Z143" i="24" s="1"/>
  <c r="AH142" i="24"/>
  <c r="X142" i="24"/>
  <c r="Z142" i="24" s="1"/>
  <c r="AH141" i="24"/>
  <c r="X141" i="24"/>
  <c r="Z141" i="24" s="1"/>
  <c r="AH140" i="24"/>
  <c r="X140" i="24"/>
  <c r="Z140" i="24" s="1"/>
  <c r="AH139" i="24"/>
  <c r="X139" i="24"/>
  <c r="Z139" i="24" s="1"/>
  <c r="AH138" i="24"/>
  <c r="X138" i="24"/>
  <c r="Z138" i="24" s="1"/>
  <c r="AH137" i="24"/>
  <c r="X137" i="24"/>
  <c r="Z137" i="24" s="1"/>
  <c r="AH136" i="24"/>
  <c r="X136" i="24"/>
  <c r="Z136" i="24" s="1"/>
  <c r="AH135" i="24"/>
  <c r="X135" i="24"/>
  <c r="Z135" i="24" s="1"/>
  <c r="AH134" i="24"/>
  <c r="X134" i="24"/>
  <c r="Z134" i="24" s="1"/>
  <c r="AH133" i="24"/>
  <c r="X133" i="24"/>
  <c r="Z133" i="24" s="1"/>
  <c r="AH132" i="24"/>
  <c r="X132" i="24"/>
  <c r="Z132" i="24" s="1"/>
  <c r="AH131" i="24"/>
  <c r="X131" i="24"/>
  <c r="Z131" i="24" s="1"/>
  <c r="AH130" i="24"/>
  <c r="X130" i="24"/>
  <c r="Z130" i="24" s="1"/>
  <c r="AH129" i="24"/>
  <c r="X129" i="24"/>
  <c r="Z129" i="24" s="1"/>
  <c r="AH128" i="24"/>
  <c r="X128" i="24"/>
  <c r="Z128" i="24" s="1"/>
  <c r="AH127" i="24"/>
  <c r="X127" i="24"/>
  <c r="Z127" i="24" s="1"/>
  <c r="AH126" i="24"/>
  <c r="X126" i="24"/>
  <c r="Z126" i="24" s="1"/>
  <c r="AH125" i="24"/>
  <c r="X125" i="24"/>
  <c r="Z125" i="24" s="1"/>
  <c r="AH124" i="24"/>
  <c r="X124" i="24"/>
  <c r="Z124" i="24" s="1"/>
  <c r="AH123" i="24"/>
  <c r="X123" i="24"/>
  <c r="Z123" i="24" s="1"/>
  <c r="AH122" i="24"/>
  <c r="X122" i="24"/>
  <c r="Z122" i="24" s="1"/>
  <c r="AH121" i="24"/>
  <c r="X121" i="24"/>
  <c r="Z121" i="24" s="1"/>
  <c r="AH120" i="24"/>
  <c r="X120" i="24"/>
  <c r="Z120" i="24" s="1"/>
  <c r="AH119" i="24"/>
  <c r="X119" i="24"/>
  <c r="Z119" i="24" s="1"/>
  <c r="AH118" i="24"/>
  <c r="X118" i="24"/>
  <c r="Z118" i="24" s="1"/>
  <c r="AH117" i="24"/>
  <c r="X117" i="24"/>
  <c r="Z117" i="24" s="1"/>
  <c r="AH116" i="24"/>
  <c r="X116" i="24"/>
  <c r="Z116" i="24" s="1"/>
  <c r="AH115" i="24"/>
  <c r="X115" i="24"/>
  <c r="Z115" i="24" s="1"/>
  <c r="AH114" i="24"/>
  <c r="X114" i="24"/>
  <c r="Z114" i="24" s="1"/>
  <c r="AH113" i="24"/>
  <c r="X113" i="24"/>
  <c r="Z113" i="24" s="1"/>
  <c r="AH112" i="24"/>
  <c r="X112" i="24"/>
  <c r="Z112" i="24" s="1"/>
  <c r="AH111" i="24"/>
  <c r="X111" i="24"/>
  <c r="Z111" i="24" s="1"/>
  <c r="AH110" i="24"/>
  <c r="X110" i="24"/>
  <c r="Z110" i="24" s="1"/>
  <c r="AH109" i="24"/>
  <c r="X109" i="24"/>
  <c r="Z109" i="24" s="1"/>
  <c r="AH108" i="24"/>
  <c r="X108" i="24"/>
  <c r="Z108" i="24" s="1"/>
  <c r="AH107" i="24"/>
  <c r="X107" i="24"/>
  <c r="Z107" i="24" s="1"/>
  <c r="AH106" i="24"/>
  <c r="X106" i="24"/>
  <c r="Z106" i="24" s="1"/>
  <c r="AH105" i="24"/>
  <c r="X105" i="24"/>
  <c r="Z105" i="24" s="1"/>
  <c r="AH104" i="24"/>
  <c r="X104" i="24"/>
  <c r="Z104" i="24" s="1"/>
  <c r="AH103" i="24"/>
  <c r="X103" i="24"/>
  <c r="Z103" i="24" s="1"/>
  <c r="AH102" i="24"/>
  <c r="X102" i="24"/>
  <c r="Z102" i="24" s="1"/>
  <c r="AH101" i="24"/>
  <c r="X101" i="24"/>
  <c r="Z101" i="24" s="1"/>
  <c r="AH100" i="24"/>
  <c r="X100" i="24"/>
  <c r="Z100" i="24" s="1"/>
  <c r="AH99" i="24"/>
  <c r="X99" i="24"/>
  <c r="Z99" i="24" s="1"/>
  <c r="AH98" i="24"/>
  <c r="X98" i="24"/>
  <c r="Z98" i="24" s="1"/>
  <c r="AH97" i="24"/>
  <c r="X97" i="24"/>
  <c r="Z97" i="24" s="1"/>
  <c r="AH96" i="24"/>
  <c r="X96" i="24"/>
  <c r="Z96" i="24" s="1"/>
  <c r="AH95" i="24"/>
  <c r="X95" i="24"/>
  <c r="Z95" i="24" s="1"/>
  <c r="AH94" i="24"/>
  <c r="X94" i="24"/>
  <c r="Z94" i="24" s="1"/>
  <c r="AH93" i="24"/>
  <c r="X93" i="24"/>
  <c r="Z93" i="24" s="1"/>
  <c r="AH92" i="24"/>
  <c r="X92" i="24"/>
  <c r="Z92" i="24" s="1"/>
  <c r="AH91" i="24"/>
  <c r="X91" i="24"/>
  <c r="Z91" i="24" s="1"/>
  <c r="AH90" i="24"/>
  <c r="X90" i="24"/>
  <c r="Z90" i="24" s="1"/>
  <c r="AH89" i="24"/>
  <c r="X89" i="24"/>
  <c r="Z89" i="24" s="1"/>
  <c r="AH88" i="24"/>
  <c r="X88" i="24"/>
  <c r="Z88" i="24" s="1"/>
  <c r="AH87" i="24"/>
  <c r="X87" i="24"/>
  <c r="Z87" i="24" s="1"/>
  <c r="AH86" i="24"/>
  <c r="X86" i="24"/>
  <c r="Z86" i="24" s="1"/>
  <c r="AH85" i="24"/>
  <c r="X85" i="24"/>
  <c r="Z85" i="24" s="1"/>
  <c r="AH84" i="24"/>
  <c r="X84" i="24"/>
  <c r="Z84" i="24" s="1"/>
  <c r="AH83" i="24"/>
  <c r="X83" i="24"/>
  <c r="Z83" i="24" s="1"/>
  <c r="AH82" i="24"/>
  <c r="X82" i="24"/>
  <c r="Z82" i="24" s="1"/>
  <c r="AH81" i="24"/>
  <c r="X81" i="24"/>
  <c r="Z81" i="24" s="1"/>
  <c r="AH80" i="24"/>
  <c r="X80" i="24"/>
  <c r="Z80" i="24" s="1"/>
  <c r="AH79" i="24"/>
  <c r="X79" i="24"/>
  <c r="Z79" i="24" s="1"/>
  <c r="AH78" i="24"/>
  <c r="X78" i="24"/>
  <c r="Z78" i="24" s="1"/>
  <c r="AH77" i="24"/>
  <c r="X77" i="24"/>
  <c r="Z77" i="24" s="1"/>
  <c r="AH76" i="24"/>
  <c r="X76" i="24"/>
  <c r="Z76" i="24" s="1"/>
  <c r="AH75" i="24"/>
  <c r="X75" i="24"/>
  <c r="Z75" i="24" s="1"/>
  <c r="AH74" i="24"/>
  <c r="X74" i="24"/>
  <c r="Z74" i="24" s="1"/>
  <c r="AH73" i="24"/>
  <c r="X73" i="24"/>
  <c r="Z73" i="24" s="1"/>
  <c r="AH72" i="24"/>
  <c r="X72" i="24"/>
  <c r="Z72" i="24" s="1"/>
  <c r="AH71" i="24"/>
  <c r="X71" i="24"/>
  <c r="Z71" i="24" s="1"/>
  <c r="AH70" i="24"/>
  <c r="X70" i="24"/>
  <c r="Z70" i="24" s="1"/>
  <c r="AH69" i="24"/>
  <c r="X69" i="24"/>
  <c r="Z69" i="24" s="1"/>
  <c r="AH68" i="24"/>
  <c r="X68" i="24"/>
  <c r="Z68" i="24" s="1"/>
  <c r="AH67" i="24"/>
  <c r="X67" i="24"/>
  <c r="Z67" i="24" s="1"/>
  <c r="AH66" i="24"/>
  <c r="X66" i="24"/>
  <c r="Z66" i="24" s="1"/>
  <c r="AH65" i="24"/>
  <c r="X65" i="24"/>
  <c r="Z65" i="24" s="1"/>
  <c r="AH64" i="24"/>
  <c r="X64" i="24"/>
  <c r="Z64" i="24" s="1"/>
  <c r="AH63" i="24"/>
  <c r="X63" i="24"/>
  <c r="Z63" i="24" s="1"/>
  <c r="AH62" i="24"/>
  <c r="X62" i="24"/>
  <c r="Z62" i="24" s="1"/>
  <c r="AH61" i="24"/>
  <c r="X61" i="24"/>
  <c r="Z61" i="24" s="1"/>
  <c r="AH60" i="24"/>
  <c r="X60" i="24"/>
  <c r="Z60" i="24" s="1"/>
  <c r="AH59" i="24"/>
  <c r="X59" i="24"/>
  <c r="Z59" i="24" s="1"/>
  <c r="AH58" i="24"/>
  <c r="X58" i="24"/>
  <c r="Z58" i="24" s="1"/>
  <c r="AH57" i="24"/>
  <c r="X57" i="24"/>
  <c r="Z57" i="24" s="1"/>
  <c r="AH56" i="24"/>
  <c r="X56" i="24"/>
  <c r="Z56" i="24" s="1"/>
  <c r="AH55" i="24"/>
  <c r="X55" i="24"/>
  <c r="Z55" i="24" s="1"/>
  <c r="AH54" i="24"/>
  <c r="X54" i="24"/>
  <c r="Z54" i="24" s="1"/>
  <c r="AH53" i="24"/>
  <c r="X53" i="24"/>
  <c r="Z53" i="24" s="1"/>
  <c r="AH52" i="24"/>
  <c r="X52" i="24"/>
  <c r="Z52" i="24" s="1"/>
  <c r="AH51" i="24"/>
  <c r="X51" i="24"/>
  <c r="Z51" i="24" s="1"/>
  <c r="AH50" i="24"/>
  <c r="X50" i="24"/>
  <c r="Z50" i="24" s="1"/>
  <c r="AH49" i="24"/>
  <c r="X49" i="24"/>
  <c r="Z49" i="24" s="1"/>
  <c r="AH48" i="24"/>
  <c r="X48" i="24"/>
  <c r="Z48" i="24" s="1"/>
  <c r="AH47" i="24"/>
  <c r="X47" i="24"/>
  <c r="Z47" i="24" s="1"/>
  <c r="AH46" i="24"/>
  <c r="X46" i="24"/>
  <c r="Z46" i="24" s="1"/>
  <c r="AH45" i="24"/>
  <c r="X45" i="24"/>
  <c r="Z45" i="24" s="1"/>
  <c r="AH44" i="24"/>
  <c r="X44" i="24"/>
  <c r="Z44" i="24" s="1"/>
  <c r="AH43" i="24"/>
  <c r="X43" i="24"/>
  <c r="Z43" i="24" s="1"/>
  <c r="AH42" i="24"/>
  <c r="X42" i="24"/>
  <c r="Z42" i="24" s="1"/>
  <c r="AH41" i="24"/>
  <c r="X41" i="24"/>
  <c r="Z41" i="24" s="1"/>
  <c r="AH40" i="24"/>
  <c r="X40" i="24"/>
  <c r="Z40" i="24" s="1"/>
  <c r="AH39" i="24"/>
  <c r="X39" i="24"/>
  <c r="Z39" i="24" s="1"/>
  <c r="AH38" i="24"/>
  <c r="X38" i="24"/>
  <c r="Z38" i="24" s="1"/>
  <c r="AH37" i="24"/>
  <c r="X37" i="24"/>
  <c r="Z37" i="24" s="1"/>
  <c r="AH36" i="24"/>
  <c r="X36" i="24"/>
  <c r="Z36" i="24" s="1"/>
  <c r="AH35" i="24"/>
  <c r="X35" i="24"/>
  <c r="Z35" i="24" s="1"/>
  <c r="AH34" i="24"/>
  <c r="X34" i="24"/>
  <c r="Z34" i="24" s="1"/>
  <c r="AH33" i="24"/>
  <c r="X33" i="24"/>
  <c r="Z33" i="24" s="1"/>
  <c r="AH32" i="24"/>
  <c r="X32" i="24"/>
  <c r="Z32" i="24" s="1"/>
  <c r="AH31" i="24"/>
  <c r="X31" i="24"/>
  <c r="Z31" i="24" s="1"/>
  <c r="AH30" i="24"/>
  <c r="X30" i="24"/>
  <c r="Z30" i="24" s="1"/>
  <c r="AH29" i="24"/>
  <c r="X29" i="24"/>
  <c r="Z29" i="24" s="1"/>
  <c r="AH28" i="24"/>
  <c r="X28" i="24"/>
  <c r="Z28" i="24" s="1"/>
  <c r="AH27" i="24"/>
  <c r="X27" i="24"/>
  <c r="Z27" i="24" s="1"/>
  <c r="AH26" i="24"/>
  <c r="X26" i="24"/>
  <c r="Z26" i="24" s="1"/>
  <c r="AH25" i="24"/>
  <c r="X25" i="24"/>
  <c r="Z25" i="24" s="1"/>
  <c r="AH24" i="24"/>
  <c r="X24" i="24"/>
  <c r="Z24" i="24" s="1"/>
  <c r="AH23" i="24"/>
  <c r="X23" i="24"/>
  <c r="Z23" i="24" s="1"/>
  <c r="AH22" i="24"/>
  <c r="X22" i="24"/>
  <c r="Z22" i="24" s="1"/>
  <c r="AH21" i="24"/>
  <c r="X21" i="24"/>
  <c r="Z21" i="24" s="1"/>
  <c r="AH20" i="24"/>
  <c r="X20" i="24"/>
  <c r="Z20" i="24" s="1"/>
  <c r="AH19" i="24"/>
  <c r="X19" i="24"/>
  <c r="Z19" i="24" s="1"/>
  <c r="AH18" i="24"/>
  <c r="X18" i="24"/>
  <c r="Z18" i="24" s="1"/>
  <c r="AH17" i="24"/>
  <c r="X17" i="24"/>
  <c r="Z17" i="24" s="1"/>
  <c r="AH16" i="24"/>
  <c r="X16" i="24"/>
  <c r="Z16" i="24" s="1"/>
  <c r="AH15" i="24"/>
  <c r="X15" i="24"/>
  <c r="Z15" i="24" s="1"/>
  <c r="AH14" i="24"/>
  <c r="X14" i="24"/>
  <c r="Z14" i="24" s="1"/>
  <c r="AH13" i="24"/>
  <c r="X13" i="24"/>
  <c r="Z13" i="24" s="1"/>
  <c r="AH12" i="24"/>
  <c r="X12" i="24"/>
  <c r="Z12" i="24" s="1"/>
  <c r="AH11" i="24"/>
  <c r="X11" i="24"/>
  <c r="Z11" i="24" s="1"/>
  <c r="AH10" i="24"/>
  <c r="X10" i="24"/>
  <c r="Z10" i="24" s="1"/>
  <c r="AH9" i="24"/>
  <c r="X9" i="24"/>
  <c r="Z9" i="24" s="1"/>
  <c r="AH8" i="24"/>
  <c r="X8" i="24"/>
  <c r="Z8" i="24" s="1"/>
  <c r="AH7" i="24"/>
  <c r="X7" i="24"/>
  <c r="Z7" i="24" s="1"/>
  <c r="AH6" i="24"/>
  <c r="X6" i="24"/>
  <c r="Z6" i="24" s="1"/>
  <c r="AH5" i="24"/>
  <c r="X5" i="24"/>
  <c r="Z5" i="24" s="1"/>
  <c r="AH4" i="24"/>
  <c r="X4" i="24"/>
  <c r="Z4" i="24" s="1"/>
  <c r="AH3" i="24"/>
  <c r="X3" i="24"/>
  <c r="Z3" i="24" s="1"/>
  <c r="E8" i="5" l="1"/>
  <c r="E7" i="5"/>
  <c r="E6" i="5"/>
  <c r="E5" i="5"/>
  <c r="E4" i="5"/>
  <c r="E3" i="5"/>
  <c r="M7" i="12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2" i="8"/>
  <c r="R31" i="8"/>
  <c r="R30" i="8"/>
  <c r="R29" i="8"/>
  <c r="R28" i="8"/>
  <c r="R27" i="8"/>
  <c r="R26" i="8"/>
  <c r="R25" i="8"/>
  <c r="R24" i="8"/>
  <c r="R23" i="8"/>
  <c r="R22" i="8"/>
  <c r="R20" i="8"/>
  <c r="R19" i="8"/>
  <c r="R18" i="8"/>
  <c r="R17" i="8"/>
  <c r="R16" i="8"/>
  <c r="R15" i="8"/>
  <c r="R14" i="8"/>
  <c r="R10" i="8"/>
  <c r="R9" i="8"/>
  <c r="R8" i="8"/>
  <c r="R7" i="8"/>
  <c r="R6" i="8"/>
  <c r="R5" i="8"/>
  <c r="R4" i="8"/>
  <c r="R3" i="8"/>
  <c r="R2" i="8"/>
  <c r="F21" i="9"/>
  <c r="E21" i="9"/>
  <c r="D21" i="9"/>
  <c r="C21" i="9"/>
  <c r="C8" i="9"/>
  <c r="G7" i="9"/>
  <c r="N7" i="21"/>
  <c r="N6" i="21"/>
  <c r="N5" i="21"/>
  <c r="N4" i="21"/>
  <c r="N3" i="21"/>
  <c r="N2" i="21"/>
  <c r="E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Anucha Kongpetsak</author>
    <author>Windows User</author>
    <author>Umaporn Sangpet</author>
  </authors>
  <commentList>
    <comment ref="K2" authorId="0" shapeId="0" xr:uid="{8749FFDE-460F-445F-A781-88350B569B29}">
      <text>
        <r>
          <rPr>
            <sz val="14"/>
            <color indexed="81"/>
            <rFont val="Tahoma"/>
            <family val="2"/>
          </rPr>
          <t xml:space="preserve">
ไว้สำหรับหาข้อมูล</t>
        </r>
      </text>
    </comment>
    <comment ref="L202" authorId="1" shapeId="0" xr:uid="{26780C2A-73A9-4A8A-8D75-1A9F05B7079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มีการย้ายตำแหน่งไปถนนสาทร</t>
        </r>
      </text>
    </comment>
    <comment ref="P231" authorId="1" shapeId="0" xr:uid="{023874D3-74CF-4B97-9EC4-2E97A42B5DAF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รีเช็ค</t>
        </r>
      </text>
    </comment>
    <comment ref="P435" authorId="1" shapeId="0" xr:uid="{E96B8F71-7971-468B-886C-C1DC3A4072C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รอรีเช็คไฟฟ้า</t>
        </r>
      </text>
    </comment>
    <comment ref="L752" authorId="1" shapeId="0" xr:uid="{FB357140-5CF5-4125-A366-D40AB521A47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มีการขยับป้าย ช่างเสกเดินไฟฟ้า</t>
        </r>
      </text>
    </comment>
    <comment ref="P879" authorId="1" shapeId="0" xr:uid="{B42B6A2B-096B-4EBD-8325-CFEAB9A8092C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รอรีเช็ค</t>
        </r>
      </text>
    </comment>
    <comment ref="E934" authorId="2" shapeId="0" xr:uid="{7DE76B73-B74E-4477-BD16-871E79564F89}">
      <text>
        <r>
          <rPr>
            <b/>
            <sz val="9"/>
            <color indexed="81"/>
            <rFont val="Tahoma"/>
            <family val="2"/>
          </rPr>
          <t>Umaporn Sangpet:</t>
        </r>
        <r>
          <rPr>
            <sz val="9"/>
            <color indexed="81"/>
            <rFont val="Tahoma"/>
            <family val="2"/>
          </rPr>
          <t xml:space="preserve">
แก้ไขชื่อจุดใหม่ ให้เหมือน P1357/2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Anucha Kongpetsak</author>
  </authors>
  <commentList>
    <comment ref="J1" authorId="0" shapeId="0" xr:uid="{3A72752B-0DA0-4E23-A08A-B04A457A2684}">
      <text>
        <r>
          <rPr>
            <sz val="14"/>
            <color indexed="81"/>
            <rFont val="Tahoma"/>
            <family val="2"/>
          </rPr>
          <t xml:space="preserve">
ไว้สำหรับหาข้อมูล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Anucha Kongpetsak</author>
  </authors>
  <commentList>
    <comment ref="K1" authorId="0" shapeId="0" xr:uid="{03F1A62A-4122-4340-A192-F9D7F2437E99}">
      <text>
        <r>
          <rPr>
            <sz val="14"/>
            <color indexed="81"/>
            <rFont val="Tahoma"/>
            <family val="2"/>
          </rPr>
          <t xml:space="preserve">
ไว้สำหรับหาข้อมูล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Anucha Kongpetsak</author>
  </authors>
  <commentList>
    <comment ref="N1" authorId="0" shapeId="0" xr:uid="{ED8E3E0C-69E3-425C-8C17-932D4D6BC48B}">
      <text>
        <r>
          <rPr>
            <b/>
            <sz val="18"/>
            <color indexed="81"/>
            <rFont val="Tahoma"/>
            <family val="2"/>
          </rPr>
          <t>สำหรับหาข้อมูล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Wanlop</author>
  </authors>
  <commentList>
    <comment ref="E2" authorId="0" shapeId="0" xr:uid="{1E7FB30E-184D-47D4-B6BB-D170FF4776D0}">
      <text>
        <r>
          <rPr>
            <sz val="9"/>
            <color indexed="81"/>
            <rFont val="Tahoma"/>
            <family val="2"/>
          </rPr>
          <t xml:space="preserve">ทดแทน
สาทรซอย 12 หน้า Health Land
</t>
        </r>
      </text>
    </comment>
  </commentList>
</comments>
</file>

<file path=xl/sharedStrings.xml><?xml version="1.0" encoding="utf-8"?>
<sst xmlns="http://schemas.openxmlformats.org/spreadsheetml/2006/main" count="28950" uniqueCount="5404">
  <si>
    <t>ETA</t>
  </si>
  <si>
    <t>ไฟฟ้า</t>
  </si>
  <si>
    <t>ระบบ</t>
  </si>
  <si>
    <t>วิเคราะห์เบื้องต้น</t>
  </si>
  <si>
    <t>ศาลาที่ Offline</t>
  </si>
  <si>
    <t>ทีมตรวจสอบ</t>
  </si>
  <si>
    <t>PlanB</t>
  </si>
  <si>
    <t>Raya</t>
  </si>
  <si>
    <t>วันที่</t>
  </si>
  <si>
    <t>การแก้ปัญหา</t>
  </si>
  <si>
    <t>CS058</t>
  </si>
  <si>
    <t>CS069</t>
  </si>
  <si>
    <t>CS215</t>
  </si>
  <si>
    <t>DS031/CS076</t>
  </si>
  <si>
    <t>DS167/AS014</t>
  </si>
  <si>
    <t>DS186/CS008</t>
  </si>
  <si>
    <t>DS187/CS009</t>
  </si>
  <si>
    <t>DS204/CS077</t>
  </si>
  <si>
    <t>DS296/CS233</t>
  </si>
  <si>
    <t>DS305/CS235</t>
  </si>
  <si>
    <t>DS344/AS228</t>
  </si>
  <si>
    <t>DS345/AS229</t>
  </si>
  <si>
    <t>DS346/AS226</t>
  </si>
  <si>
    <t>XX009/AS028</t>
  </si>
  <si>
    <t xml:space="preserve"> โอสถศาลา</t>
  </si>
  <si>
    <t>รพ.ตำรวจ</t>
  </si>
  <si>
    <t>ตรงข้ามโรงเรียนสันติราษฎร์วิทยาลัย</t>
  </si>
  <si>
    <t>ซอยต้นสน</t>
  </si>
  <si>
    <t>ศาลแขวงพระนครเหนือ</t>
  </si>
  <si>
    <t>ศูนย์บริการสาธารณสุข4ดินแดง</t>
  </si>
  <si>
    <t>พื้นที่</t>
  </si>
  <si>
    <t>รพ.ภูมิราชนครินทร์</t>
  </si>
  <si>
    <t>สถานีมักกะสัน</t>
  </si>
  <si>
    <t>ชาญอิสสระทาวเวอร์ 2</t>
  </si>
  <si>
    <t>ตรงข้ามอาคารธนภูมิ</t>
  </si>
  <si>
    <t>ตรงข้ามโรงแรมเอสซี ปาร์ค</t>
  </si>
  <si>
    <t>มัสยิดอัสลาม</t>
  </si>
  <si>
    <t>สิ่งที่ต้อง Follow Up</t>
  </si>
  <si>
    <t>reboot ETA</t>
  </si>
  <si>
    <t>Breaker ทิป UPS ไฟหมดต้องไปเปิด UPS เอง</t>
  </si>
  <si>
    <t>สาเหตุย่อย</t>
  </si>
  <si>
    <t>สาเหตุหลัก</t>
  </si>
  <si>
    <t>เครื่อง ETA แฮ้งค์</t>
  </si>
  <si>
    <t>เครื่อง ETA</t>
  </si>
  <si>
    <t>ถอดปลั๊กเสียบใหม่</t>
  </si>
  <si>
    <t>นำปลั๊ก WIFI ไปติดตั้ง</t>
  </si>
  <si>
    <t>Breaker ทิปที่ศาลา</t>
  </si>
  <si>
    <t>เปิด Breaker /UPS ให้จ่ายไฟ</t>
  </si>
  <si>
    <t>ตรวจสอบระบบไฟฟ้า</t>
  </si>
  <si>
    <t>S 1469</t>
  </si>
  <si>
    <t>ซอยสวนเงิน</t>
  </si>
  <si>
    <t>AS073</t>
  </si>
  <si>
    <t>CS059</t>
  </si>
  <si>
    <t>CS060</t>
  </si>
  <si>
    <t>S1038</t>
  </si>
  <si>
    <t>UPS แฮ้งค์</t>
  </si>
  <si>
    <t>เปิด-ปิด UPS ใหม่</t>
  </si>
  <si>
    <t>S1473</t>
  </si>
  <si>
    <t>CS223</t>
  </si>
  <si>
    <t>AS226</t>
  </si>
  <si>
    <t>xx009/AS028</t>
  </si>
  <si>
    <t>โรงเรียนเตรียมอุดมศึกษา</t>
  </si>
  <si>
    <t>เครื่อง ETA ขึ้นจอสี</t>
  </si>
  <si>
    <t>หมู่บ้านธนะสิน</t>
  </si>
  <si>
    <t>ม.มหิดล (คณะวิทยาศาสตร์)</t>
  </si>
  <si>
    <t>xx008/CS106</t>
  </si>
  <si>
    <t>Breaker ทิปที่ตู้การไฟฟ้า</t>
  </si>
  <si>
    <t>ระบบออนมาหลัง 18.00 ดับตอนเช้า 7.33</t>
  </si>
  <si>
    <t>ระบบออนมาหลัง 18.00 ดับตอนเช้า 6.19</t>
  </si>
  <si>
    <t>ไม่มีไฟมาที่เมน</t>
  </si>
  <si>
    <t>ไม่มีไฟมาที่เมนให้ทีม inspector ตรวจสอบระบบไฟฟ้า</t>
  </si>
  <si>
    <t>ไม่มีบันทึกการซ่อมแต่ระบบ on line มาแล้ว</t>
  </si>
  <si>
    <t>ไม่มีบันทึกการซ่อม</t>
  </si>
  <si>
    <t>เปิด Breaker  ให้จ่ายไฟ</t>
  </si>
  <si>
    <t>CS089</t>
  </si>
  <si>
    <t>AS051</t>
  </si>
  <si>
    <t>AS035</t>
  </si>
  <si>
    <t>AS036</t>
  </si>
  <si>
    <t>AS026</t>
  </si>
  <si>
    <t>CS232</t>
  </si>
  <si>
    <t>AS028</t>
  </si>
  <si>
    <t>CS214</t>
  </si>
  <si>
    <t>CS106</t>
  </si>
  <si>
    <t>ตรงข้ามหลังสวนวิลเลจ</t>
  </si>
  <si>
    <t>ม.เกษตรศาสตร์ (พหลโยธิน)</t>
  </si>
  <si>
    <t>ตรงข้าม ธ.ทหารไทย สนญ.</t>
  </si>
  <si>
    <t>อุรุพงษ์ ฝั่งใต้</t>
  </si>
  <si>
    <t>ระบบออนมาหลัง 18.00 ดับตอนเช้า 6.35</t>
  </si>
  <si>
    <t>โรงเรียนสันติราษฎร์วิทยาลัย</t>
  </si>
  <si>
    <t>Router off  line</t>
  </si>
  <si>
    <t>CS066</t>
  </si>
  <si>
    <t>วัดปทุมวนาราม</t>
  </si>
  <si>
    <t>CS067</t>
  </si>
  <si>
    <t>CS129</t>
  </si>
  <si>
    <t>CS235</t>
  </si>
  <si>
    <t>CS189</t>
  </si>
  <si>
    <t>โรงเรียนมักกะสันพิทยา</t>
  </si>
  <si>
    <t>Router off  line (ไฟศาลาติดเมื่อคืน)</t>
  </si>
  <si>
    <t>CS076</t>
  </si>
  <si>
    <t>CS077</t>
  </si>
  <si>
    <t>CS126</t>
  </si>
  <si>
    <t>สนามกีฬาแห่งชาติ</t>
  </si>
  <si>
    <t>CS204</t>
  </si>
  <si>
    <t>CS094</t>
  </si>
  <si>
    <t>สวนลุมพินี (ประตู 1)</t>
  </si>
  <si>
    <t>Router สัญญาณมาๆติดๆ แจ้ง PP เช็คสัญญาณ</t>
  </si>
  <si>
    <t>AS017</t>
  </si>
  <si>
    <t>กรมส่งเสริมการค้าระหว่างประเทศ</t>
  </si>
  <si>
    <t>Router off  line ออนตอนกลางคืน</t>
  </si>
  <si>
    <t>เครื่อง ETA off line</t>
  </si>
  <si>
    <t>ไม่สามารถรีโมทเข้า Routerได้</t>
  </si>
  <si>
    <t>ระบบออนมาหลัง 18.00 ดับตอนเช้า 6.06</t>
  </si>
  <si>
    <t>CS085</t>
  </si>
  <si>
    <t>สถานีราชดำริ (ทางออก 1)</t>
  </si>
  <si>
    <t>CS216</t>
  </si>
  <si>
    <t>CS246</t>
  </si>
  <si>
    <t>กระทรวงการต่างประเทศ</t>
  </si>
  <si>
    <t>ซอยสาทร 1</t>
  </si>
  <si>
    <t>โอสถศาลา</t>
  </si>
  <si>
    <t>เครื่อง ETA Off line</t>
  </si>
  <si>
    <t>CS151</t>
  </si>
  <si>
    <t>AS014</t>
  </si>
  <si>
    <t>S1398</t>
  </si>
  <si>
    <t>เศรษฐศิริ</t>
  </si>
  <si>
    <t>รพ.จุฬาฯ (ประตู 1)</t>
  </si>
  <si>
    <t>สาทรซอย 1</t>
  </si>
  <si>
    <t>รีโมทบู๊สปลั๊กไวไฟ</t>
  </si>
  <si>
    <t>สวนจตุจักร</t>
  </si>
  <si>
    <t>CS196</t>
  </si>
  <si>
    <t>องค์การเภสัชกรรม</t>
  </si>
  <si>
    <t>ออนเบลคเกอร์</t>
  </si>
  <si>
    <t xml:space="preserve">CS069 </t>
  </si>
  <si>
    <t>S1034</t>
  </si>
  <si>
    <t>สถาบันราชานุกุล</t>
  </si>
  <si>
    <t>S1476</t>
  </si>
  <si>
    <t>กรมทางหลวง (กองการพัสดุ)</t>
  </si>
  <si>
    <t>S1677</t>
  </si>
  <si>
    <t>ตรงข้าม รร.ปัญจทรัพย์</t>
  </si>
  <si>
    <t>CS265</t>
  </si>
  <si>
    <t>ตรงข้าม รพ.พญาไท 2</t>
  </si>
  <si>
    <t>CS264</t>
  </si>
  <si>
    <t>รพ.สัตว์เล็กจุฬาฯ</t>
  </si>
  <si>
    <t>CS062</t>
  </si>
  <si>
    <t>ตรงข้ามอาคาร เอ็ม บี เค ไลฟ์</t>
  </si>
  <si>
    <t>CS090</t>
  </si>
  <si>
    <t>สถานีห้วยขวาง (ทางออก 3)</t>
  </si>
  <si>
    <t>CS001</t>
  </si>
  <si>
    <t>สวนลุมพินี (ประตู 4)</t>
  </si>
  <si>
    <t>CS146</t>
  </si>
  <si>
    <t>CS080</t>
  </si>
  <si>
    <t>CS140</t>
  </si>
  <si>
    <t>สวนลุมพินี (ประตู 5)</t>
  </si>
  <si>
    <t>CS107</t>
  </si>
  <si>
    <t>CS108</t>
  </si>
  <si>
    <t>CS135</t>
  </si>
  <si>
    <t>CS111</t>
  </si>
  <si>
    <t>CS110</t>
  </si>
  <si>
    <t xml:space="preserve"> รพ.ภูมิราชนครินทร์ฯ</t>
  </si>
  <si>
    <t>ตรงข้ามอาร์ซีเอ</t>
  </si>
  <si>
    <t>S1684</t>
  </si>
  <si>
    <t>ม.มหิดล(คณะวิทยาศาสตร์)</t>
  </si>
  <si>
    <t>CS285</t>
  </si>
  <si>
    <t xml:space="preserve">องค์การเภสัชกรรม   </t>
  </si>
  <si>
    <t>รพ.จุฬาฯ (ประตู 6)</t>
  </si>
  <si>
    <t xml:space="preserve">CS107 </t>
  </si>
  <si>
    <t>AS019</t>
  </si>
  <si>
    <t xml:space="preserve">AS020 </t>
  </si>
  <si>
    <t>CS013</t>
  </si>
  <si>
    <t xml:space="preserve">CS102 </t>
  </si>
  <si>
    <t>CS103</t>
  </si>
  <si>
    <t>CS137</t>
  </si>
  <si>
    <t>CS073</t>
  </si>
  <si>
    <t>CS074</t>
  </si>
  <si>
    <t>เอเชียทีค เดอะ ริเวอร์ฟร้อนท์</t>
  </si>
  <si>
    <t xml:space="preserve"> รีเจ้นท์เฮ้าส์</t>
  </si>
  <si>
    <t>สถานีราชดำริ ทางออก2</t>
  </si>
  <si>
    <t xml:space="preserve"> สวนจตุจรัก</t>
  </si>
  <si>
    <t xml:space="preserve"> สวนลุมพินี (ประตู 4)</t>
  </si>
  <si>
    <t xml:space="preserve"> สวนลุมพินี (ประตู 5)</t>
  </si>
  <si>
    <t>AS050</t>
  </si>
  <si>
    <t>รพ.สัตว์ ม.เกษตรศาสตร์</t>
  </si>
  <si>
    <t>สวนจตุจรัก</t>
  </si>
  <si>
    <t>CS113</t>
  </si>
  <si>
    <t>CS134</t>
  </si>
  <si>
    <t>AS209</t>
  </si>
  <si>
    <t>ตรงข้ามสวนจตุจักร</t>
  </si>
  <si>
    <t>รพ.จุฬา (ประตู1)</t>
  </si>
  <si>
    <t>สถานีราชดำริ (ทางออก 2)</t>
  </si>
  <si>
    <t>ระบบติดมาเอง</t>
  </si>
  <si>
    <t>CS123</t>
  </si>
  <si>
    <t>CS122</t>
  </si>
  <si>
    <t>ตรงข้ามสามย่าน มิตรทาวน์</t>
  </si>
  <si>
    <t>CS 060</t>
  </si>
  <si>
    <t>CS112</t>
  </si>
  <si>
    <t>สวนลุมพินี (ประตู 3)</t>
  </si>
  <si>
    <t>เบลคเกอร์ทิป รญาแก้</t>
  </si>
  <si>
    <t>CS093</t>
  </si>
  <si>
    <t>ตรงข้ามสถานทูตญี่ปุ่น</t>
  </si>
  <si>
    <t xml:space="preserve">CS113 </t>
  </si>
  <si>
    <t>AS066</t>
  </si>
  <si>
    <t>เอสพลานาด รัชดาภิเษก</t>
  </si>
  <si>
    <t>CS036</t>
  </si>
  <si>
    <t>โรงเรียนกรุงเทพคริสเตียน</t>
  </si>
  <si>
    <t>AS033</t>
  </si>
  <si>
    <t>AS 014</t>
  </si>
  <si>
    <t>ปลั๊กไวไฟโดนถอดออก</t>
  </si>
  <si>
    <t>CS044</t>
  </si>
  <si>
    <t>AS008</t>
  </si>
  <si>
    <t>CS266</t>
  </si>
  <si>
    <t>AS072</t>
  </si>
  <si>
    <t>สถานีสุรศักดิ์ (ทางออก 3)</t>
  </si>
  <si>
    <t>ศูนย์บริการสาธารณสุข 4 ดินแดง</t>
  </si>
  <si>
    <t>ซอยสายลม</t>
  </si>
  <si>
    <t>กรมการขนส่งทางบก</t>
  </si>
  <si>
    <t>รพ.ภูมิราชนครินทร์ฯ</t>
  </si>
  <si>
    <t>CS071</t>
  </si>
  <si>
    <t>เซ็นทรัลเวิลด์</t>
  </si>
  <si>
    <t xml:space="preserve">S1684 </t>
  </si>
  <si>
    <t>เอสซีบี พาร์ค พลาซา</t>
  </si>
  <si>
    <t>AS081</t>
  </si>
  <si>
    <t xml:space="preserve">รร.สามเสนวิทยาลัย </t>
  </si>
  <si>
    <t>CS153</t>
  </si>
  <si>
    <t>CS162</t>
  </si>
  <si>
    <t xml:space="preserve"> กปน. (สถานีสูบน้ำพหลฯ)</t>
  </si>
  <si>
    <t>ตรงข้ามรีเจ้นท์เฮ้าส์</t>
  </si>
  <si>
    <t>CS081</t>
  </si>
  <si>
    <t>AS080</t>
  </si>
  <si>
    <t>โรงเรียนหอวัง (พหลโยธิน)</t>
  </si>
  <si>
    <t>AS009</t>
  </si>
  <si>
    <t>AS040</t>
  </si>
  <si>
    <t>ม.ศรีปปทุม</t>
  </si>
  <si>
    <t>CS096</t>
  </si>
  <si>
    <t>วัน แบงค็อก (วิทยุ)</t>
  </si>
  <si>
    <t>CS086</t>
  </si>
  <si>
    <t>อาคารสินธร</t>
  </si>
  <si>
    <t>คปภ.</t>
  </si>
  <si>
    <t>CS011</t>
  </si>
  <si>
    <t>ซอยประชาสงเคราะห์ 16</t>
  </si>
  <si>
    <t>CS222</t>
  </si>
  <si>
    <t>สถานีราชเทวี ทางออก 3</t>
  </si>
  <si>
    <t>S1018</t>
  </si>
  <si>
    <t>สน.พหลโยธิน</t>
  </si>
  <si>
    <t>S1352</t>
  </si>
  <si>
    <t>ซอยสาทร 2</t>
  </si>
  <si>
    <t>CS021</t>
  </si>
  <si>
    <t>กปณ. สถานีสูบน้ำพหลฯ</t>
  </si>
  <si>
    <t>ท่าเรือนพวงศ์</t>
  </si>
  <si>
    <t>รพ.จุฬา ประตู 1</t>
  </si>
  <si>
    <t>CS198</t>
  </si>
  <si>
    <t>CS236</t>
  </si>
  <si>
    <t>CS206</t>
  </si>
  <si>
    <t>ตรงข้ามโรงเรียนมักกะสันพิทยา</t>
  </si>
  <si>
    <t>ใต้ทางด่วนอโศก 2</t>
  </si>
  <si>
    <t>S1550</t>
  </si>
  <si>
    <t>หลังแยกสาธุ-จันทน์</t>
  </si>
  <si>
    <t>ตรงข้ามวิทยาลัยพยาบาลกองทัพบก</t>
  </si>
  <si>
    <t>CS226</t>
  </si>
  <si>
    <t>CS208</t>
  </si>
  <si>
    <t>รร.เซนต์ดอมินิก</t>
  </si>
  <si>
    <t>CS213</t>
  </si>
  <si>
    <t>AS024</t>
  </si>
  <si>
    <t>CS030</t>
  </si>
  <si>
    <t>CS068</t>
  </si>
  <si>
    <t>วิทยาลัยพยาบาลตำรวจ</t>
  </si>
  <si>
    <t>โรงเรียนสาธิต มศว ปทุมวัน</t>
  </si>
  <si>
    <t>CS084</t>
  </si>
  <si>
    <t>CS262</t>
  </si>
  <si>
    <t>ตรงข้ามซอยลือชา</t>
  </si>
  <si>
    <t xml:space="preserve">S1679 </t>
  </si>
  <si>
    <t>เมืองไทย-ภัทร คอมเพล็กซ์</t>
  </si>
  <si>
    <t>CS120</t>
  </si>
  <si>
    <t>CS121</t>
  </si>
  <si>
    <t>จุฬาฯ (คณะวิทยาศาสตร์)</t>
  </si>
  <si>
    <t>สถานีราชดำริ ทางออก 1</t>
  </si>
  <si>
    <t>CS 252</t>
  </si>
  <si>
    <t>สวนพลู</t>
  </si>
  <si>
    <t xml:space="preserve">CS262 </t>
  </si>
  <si>
    <t>CS245</t>
  </si>
  <si>
    <t>ซอยสาทร1</t>
  </si>
  <si>
    <t>AS045</t>
  </si>
  <si>
    <t>CS247</t>
  </si>
  <si>
    <t>CS056</t>
  </si>
  <si>
    <t>CS187</t>
  </si>
  <si>
    <t>โรงแรมสุโขทัย</t>
  </si>
  <si>
    <t>S1554</t>
  </si>
  <si>
    <t>ราชมงคลกรุงเทพ (นางลิ้นจี่)</t>
  </si>
  <si>
    <t>จุฬาฯ (หอพักนิสิตจุฬาฯ)</t>
  </si>
  <si>
    <t>หน้าชุมชนซอยมั่นสิน</t>
  </si>
  <si>
    <t>กรมวิทยาศาสตร์ทหารบก</t>
  </si>
  <si>
    <t>CS038</t>
  </si>
  <si>
    <t>ตรงข้ามสาธรซิตี้ทาวเวอร์</t>
  </si>
  <si>
    <t>ซอยรัชประชา 2</t>
  </si>
  <si>
    <t>S1355</t>
  </si>
  <si>
    <t>CS228</t>
  </si>
  <si>
    <t>อาคารวานิช</t>
  </si>
  <si>
    <t>S1028</t>
  </si>
  <si>
    <t>ตรงข้ามตลาดห้วยขวาง</t>
  </si>
  <si>
    <t>CS127</t>
  </si>
  <si>
    <t>AS069</t>
  </si>
  <si>
    <t>ตรงข้ามตลาดสัตว์เลี้ยง อ.ต.ก.</t>
  </si>
  <si>
    <t>AS025</t>
  </si>
  <si>
    <t>AS021</t>
  </si>
  <si>
    <t>AS022</t>
  </si>
  <si>
    <t>AS023</t>
  </si>
  <si>
    <t>CS061</t>
  </si>
  <si>
    <t>จุฬาฯ (ลานพระบรมรูปฯ)</t>
  </si>
  <si>
    <t>CS019</t>
  </si>
  <si>
    <t>สถานีราชเทวี (ทางออก 3)</t>
  </si>
  <si>
    <t>ตรงข้ามจามจุรีสแควร์</t>
  </si>
  <si>
    <t>AS093</t>
  </si>
  <si>
    <t xml:space="preserve"> ซอยสาทร 1</t>
  </si>
  <si>
    <t xml:space="preserve"> (อยู่ระหว่างซ่อมศาลารถชน)</t>
  </si>
  <si>
    <t xml:space="preserve"> ตรงข้ามสถานทูตญี่ปุ่น</t>
  </si>
  <si>
    <t xml:space="preserve"> เอสพลานาด รัชดาภิเษก</t>
  </si>
  <si>
    <t>CS 147</t>
  </si>
  <si>
    <t>แฟลต ทบ. สามเสน</t>
  </si>
  <si>
    <t>ม.ศรีปทุม</t>
  </si>
  <si>
    <t>CS128</t>
  </si>
  <si>
    <t>CS031</t>
  </si>
  <si>
    <t>สถาบันเทคโนโลยีปทุมวัน</t>
  </si>
  <si>
    <t xml:space="preserve"> สีลม พลาซา</t>
  </si>
  <si>
    <t>CS088</t>
  </si>
  <si>
    <t>CS097</t>
  </si>
  <si>
    <t>CS190</t>
  </si>
  <si>
    <t>ตรงข้ามวัน แบงค็อก (วิทยุ)</t>
  </si>
  <si>
    <t xml:space="preserve"> ซอยสาทร 2</t>
  </si>
  <si>
    <t xml:space="preserve"> อาคารมหานครยิบซั่ม</t>
  </si>
  <si>
    <t xml:space="preserve"> สวนจตุจักร</t>
  </si>
  <si>
    <t>AS208</t>
  </si>
  <si>
    <t>AS044</t>
  </si>
  <si>
    <t>วัดใหม่ช่องลม</t>
  </si>
  <si>
    <t>กรมป่าไม้</t>
  </si>
  <si>
    <t>อาคารมหานครยิบซั่ม</t>
  </si>
  <si>
    <t>S1043</t>
  </si>
  <si>
    <t>CS166</t>
  </si>
  <si>
    <t>CS219</t>
  </si>
  <si>
    <t xml:space="preserve"> อาคารสินธร</t>
  </si>
  <si>
    <t>สถาบันประสาทวิทยา</t>
  </si>
  <si>
    <t xml:space="preserve"> รพ.ตำรวจ</t>
  </si>
  <si>
    <t>เดอะ สตรีท รัชดา</t>
  </si>
  <si>
    <t xml:space="preserve"> สถานเสาวภา</t>
  </si>
  <si>
    <t xml:space="preserve"> รร.สามเสนวิทยาลัย</t>
  </si>
  <si>
    <t>เซ็นจูรี่ เดอะมูฟวี่ พลาซา</t>
  </si>
  <si>
    <t>AS030</t>
  </si>
  <si>
    <t xml:space="preserve"> กรมทางหลวง (กองการพัสดุ)</t>
  </si>
  <si>
    <t>CS133</t>
  </si>
  <si>
    <t>S1477</t>
  </si>
  <si>
    <t xml:space="preserve"> จุฬาฯ (ลานพระบรมรูปฯ)</t>
  </si>
  <si>
    <t xml:space="preserve"> พิพิธภัณฑ์กรมทางหลวง</t>
  </si>
  <si>
    <t xml:space="preserve"> ตรงข้าม ธ.ทหารไทย สนญ.</t>
  </si>
  <si>
    <t>S1683</t>
  </si>
  <si>
    <t>ตรงข้ามบิ๊กซี เอ็กซ์ตร้า รัชดาภิเษก</t>
  </si>
  <si>
    <t>AS042</t>
  </si>
  <si>
    <t>รร.สารวิทยา</t>
  </si>
  <si>
    <t xml:space="preserve"> ตรงข้ามอาร์ซีเอ</t>
  </si>
  <si>
    <t xml:space="preserve"> ตรงข้ามสวนจตุจักร</t>
  </si>
  <si>
    <t xml:space="preserve"> สถานีสุรศักดิ์ (ทางออก 3)</t>
  </si>
  <si>
    <t xml:space="preserve"> ราชมงคลกรุงเทพ (นางลิ้นจี่)</t>
  </si>
  <si>
    <t>สายเมนที่ตู้การไฟฟ้าโดนปลดออก</t>
  </si>
  <si>
    <t>CS100</t>
  </si>
  <si>
    <t xml:space="preserve"> เซ็นจูรี่ เดอะมูฟวี่ พลาซา</t>
  </si>
  <si>
    <t>AS229</t>
  </si>
  <si>
    <t>XX 002</t>
  </si>
  <si>
    <t>ตรงข้ามอาคารมหานครยิบซั่ม</t>
  </si>
  <si>
    <t>CS229</t>
  </si>
  <si>
    <t>S1353</t>
  </si>
  <si>
    <t>ตรงข้ามอาคารวานิช</t>
  </si>
  <si>
    <t>สถาบันราชานุกูล</t>
  </si>
  <si>
    <t>ซอยรัชประชา 1</t>
  </si>
  <si>
    <t>S1685</t>
  </si>
  <si>
    <t>S1036</t>
  </si>
  <si>
    <t>S1675</t>
  </si>
  <si>
    <t>CS152</t>
  </si>
  <si>
    <t xml:space="preserve"> อิตัลไทย เฮาส์</t>
  </si>
  <si>
    <t>โรงแรม ดิ เอมเมอรัลด์</t>
  </si>
  <si>
    <t>ตรงข้ามสวนจตุจรัก</t>
  </si>
  <si>
    <t>รร.สามเสนวิทยาลัย</t>
  </si>
  <si>
    <t>ตรงข้าม รร.กุนนทีรุทธารามวิทยาคม</t>
  </si>
  <si>
    <t>ตรงข้ามอาคารทิปโก้</t>
  </si>
  <si>
    <t>ราชมงคลกรุงเทพ นางลิ้นจี่</t>
  </si>
  <si>
    <t>CS210</t>
  </si>
  <si>
    <t>CS225</t>
  </si>
  <si>
    <t>AS007</t>
  </si>
  <si>
    <t>ม.มหิดล (คณะเภสัชศาสตร์)</t>
  </si>
  <si>
    <t xml:space="preserve"> สถานีราชเทวี (ทางออก 3)</t>
  </si>
  <si>
    <t>โรงเรียนอำนวยศิลป์</t>
  </si>
  <si>
    <t xml:space="preserve"> ศาลอาญา (รัชดาภิเษก)</t>
  </si>
  <si>
    <t xml:space="preserve">CS226 </t>
  </si>
  <si>
    <t>CS263</t>
  </si>
  <si>
    <t>CS183</t>
  </si>
  <si>
    <t xml:space="preserve"> สถาบันราชานุกูล</t>
  </si>
  <si>
    <t xml:space="preserve"> ตรงข้ามซอยลือชา</t>
  </si>
  <si>
    <t xml:space="preserve"> ตรงข้าม รพ.พญาไท 2</t>
  </si>
  <si>
    <t>CS260</t>
  </si>
  <si>
    <t>AS015</t>
  </si>
  <si>
    <t>CS057</t>
  </si>
  <si>
    <t>ซอยสาทร 5</t>
  </si>
  <si>
    <t>ตรงข้ามมหาวิทยาลัยราชภัฏจันทรเกษม</t>
  </si>
  <si>
    <t>CS116</t>
  </si>
  <si>
    <t xml:space="preserve"> เดอะ สตรีท รัชดา</t>
  </si>
  <si>
    <t>พัดลมถอดปลั๊กไว้ เสียบแล้วไฟทิป</t>
  </si>
  <si>
    <t>ถอดปลั๊กพัดลมไว้ก็ยังทิปอยู่</t>
  </si>
  <si>
    <t>สถานเสาวภา</t>
  </si>
  <si>
    <t>เซ็นจูรี่ เดอะมูฟวี่พลาซา</t>
  </si>
  <si>
    <t xml:space="preserve">S1043 </t>
  </si>
  <si>
    <t>CS003</t>
  </si>
  <si>
    <t>ตรงข้าม รร.วิชูทิศ</t>
  </si>
  <si>
    <t xml:space="preserve">CS088 </t>
  </si>
  <si>
    <t xml:space="preserve">อาคารสินธร </t>
  </si>
  <si>
    <t xml:space="preserve">CS064 </t>
  </si>
  <si>
    <t>บิ๊กซีราชดำริ</t>
  </si>
  <si>
    <t xml:space="preserve">S1677 </t>
  </si>
  <si>
    <t xml:space="preserve"> ก่อนแยก รามอินทรา กม.8</t>
  </si>
  <si>
    <t>XX007</t>
  </si>
  <si>
    <t xml:space="preserve"> ม.มหิดล (คณะวิทยาศาสตร์)</t>
  </si>
  <si>
    <t xml:space="preserve">ตรงข้ามอาร์ซีเอ </t>
  </si>
  <si>
    <t>S1039</t>
  </si>
  <si>
    <t>S1682</t>
  </si>
  <si>
    <t>CS109</t>
  </si>
  <si>
    <t>CS002</t>
  </si>
  <si>
    <t>CS082</t>
  </si>
  <si>
    <t>อิตัลไทย เฮาส์</t>
  </si>
  <si>
    <t>ฟอร์จูน ทาวน์</t>
  </si>
  <si>
    <t>อาร์ เอส ทาวเวอร์</t>
  </si>
  <si>
    <t>รร.เตรียมอุดมศึกษาพัฒนาการ รัชดา</t>
  </si>
  <si>
    <t>สภากาชาดไทย</t>
  </si>
  <si>
    <t>โบสถ์แม่พระฟาติมา</t>
  </si>
  <si>
    <t>AS071</t>
  </si>
  <si>
    <t>CS211</t>
  </si>
  <si>
    <t xml:space="preserve"> โรงเรียนอำนวยศิลป์</t>
  </si>
  <si>
    <t xml:space="preserve"> ตรงข้าม รร.กุนนทีรุทธารามวิทยาคม</t>
  </si>
  <si>
    <t>AS068</t>
  </si>
  <si>
    <t>S1351</t>
  </si>
  <si>
    <t>ตลาดสัตว์เลี้ยง อ.ต.ก.</t>
  </si>
  <si>
    <t>การรถไฟแห่งประเทศไทย</t>
  </si>
  <si>
    <t xml:space="preserve"> รร.สารวิทยา</t>
  </si>
  <si>
    <t>CS072</t>
  </si>
  <si>
    <t>AS070</t>
  </si>
  <si>
    <t>S1679</t>
  </si>
  <si>
    <t>เครื่องจอ 55 ค้าง</t>
  </si>
  <si>
    <t>CS032</t>
  </si>
  <si>
    <t>บิ๊กซีราชดำริ  จอดำ</t>
  </si>
  <si>
    <t>วัดปทุม จอดำ</t>
  </si>
  <si>
    <t>เซ็นทรัล สีลม ทาวเวอร์  จอดำ</t>
  </si>
  <si>
    <t xml:space="preserve">CS165 </t>
  </si>
  <si>
    <t>โลตัส พระราม 3 (รัชดาภิเษก)</t>
  </si>
  <si>
    <t>CS257</t>
  </si>
  <si>
    <t>CS259</t>
  </si>
  <si>
    <t>วัดสุทธิวราราม</t>
  </si>
  <si>
    <t xml:space="preserve">CS222 </t>
  </si>
  <si>
    <t>CS099</t>
  </si>
  <si>
    <t>CS092</t>
  </si>
  <si>
    <t>CS139</t>
  </si>
  <si>
    <t>CS091</t>
  </si>
  <si>
    <t xml:space="preserve"> สวนลุมพินี (ประตู 1)</t>
  </si>
  <si>
    <t xml:space="preserve"> สวนลุมพินี (ประตู 3)</t>
  </si>
  <si>
    <t>CS221</t>
  </si>
  <si>
    <t>CS217</t>
  </si>
  <si>
    <t>สถาบันสุขภาพเด็กฯ</t>
  </si>
  <si>
    <t>โรงเรียนศรีอยุธยา</t>
  </si>
  <si>
    <t>S1680</t>
  </si>
  <si>
    <t>CS251</t>
  </si>
  <si>
    <t>CS185</t>
  </si>
  <si>
    <t>ซอยรัชดาภิเษก 4</t>
  </si>
  <si>
    <t xml:space="preserve"> สาธรซิตี้ทาวเวอร์</t>
  </si>
  <si>
    <t xml:space="preserve"> ตรงข้ามโรงเรียนมักกะสันพิทยา</t>
  </si>
  <si>
    <t>CS154</t>
  </si>
  <si>
    <t>กระทรวงการคลัง</t>
  </si>
  <si>
    <t>AS074</t>
  </si>
  <si>
    <t>โรงเรียนหอวัง</t>
  </si>
  <si>
    <t>CS258</t>
  </si>
  <si>
    <t>มทร.กรุงเทพ พระนครใต้</t>
  </si>
  <si>
    <t>CS138</t>
  </si>
  <si>
    <t>CS023</t>
  </si>
  <si>
    <t>CS041</t>
  </si>
  <si>
    <t>หน้าโรงพยาบาลตำรวจ</t>
  </si>
  <si>
    <t xml:space="preserve"> มทร.กรุงเทพ พระนครใต้  </t>
  </si>
  <si>
    <t xml:space="preserve">อาคารอื้อจือเหลียง  </t>
  </si>
  <si>
    <t>CS157</t>
  </si>
  <si>
    <t>รร.อนุบาลสามเสน</t>
  </si>
  <si>
    <t>CS249</t>
  </si>
  <si>
    <t>รพ.เซนต์หลุยส์</t>
  </si>
  <si>
    <t>S1033</t>
  </si>
  <si>
    <t>AS227</t>
  </si>
  <si>
    <t>AS213</t>
  </si>
  <si>
    <t>รร.พิบูลประชาสรรค์</t>
  </si>
  <si>
    <t>เคพีเอ็น ทาวเวอร์</t>
  </si>
  <si>
    <t>(การไฟฟ้าเข้าแก้ไข 23/8/64)</t>
  </si>
  <si>
    <t>AS270</t>
  </si>
  <si>
    <t>(การไฟฟ้าเข้าแก้ไข 23/8/64) ยังไม่ได้รับการแก้ไข</t>
  </si>
  <si>
    <t xml:space="preserve">เครื่อง ETA Off line </t>
  </si>
  <si>
    <t>อยู่ระหว่างประสานงานการไฟฟ้า</t>
  </si>
  <si>
    <t>AS060</t>
  </si>
  <si>
    <t>เซ็นทรัล ลาดพร้าว</t>
  </si>
  <si>
    <t>อยู่ระหว่างการไฟฟ้าดำเนินการแก้ไข</t>
  </si>
  <si>
    <t>S1681</t>
  </si>
  <si>
    <t>โรงแรมสวิสโฮเต็ล กรุงเทพฯ รัชดา</t>
  </si>
  <si>
    <t>CS042</t>
  </si>
  <si>
    <t>รพ.กรุงเทพคริสเตียน</t>
  </si>
  <si>
    <t>แก้ไขเรียบร้อย</t>
  </si>
  <si>
    <t>CS004</t>
  </si>
  <si>
    <t>ตรงข้าม รร.พิบูลประชาสรรค์</t>
  </si>
  <si>
    <t>CS220</t>
  </si>
  <si>
    <t>CS224</t>
  </si>
  <si>
    <t>วิทยาลัยพยาบาลกองทัพบก</t>
  </si>
  <si>
    <t>ซอยโยธี</t>
  </si>
  <si>
    <t xml:space="preserve">ตรงข้ามอาคาร เอ็ม บี เค ไลฟ์ </t>
  </si>
  <si>
    <t xml:space="preserve"> ตรงข้าม รร.วิชูทิศ </t>
  </si>
  <si>
    <t>S1472</t>
  </si>
  <si>
    <t>CS194</t>
  </si>
  <si>
    <t>กระทรวงอุตสาหกรรม</t>
  </si>
  <si>
    <t>CS200</t>
  </si>
  <si>
    <t xml:space="preserve"> ตรงข้ามสถาบันสุขภาพเด็กฯ</t>
  </si>
  <si>
    <t>CS248</t>
  </si>
  <si>
    <t>ตรงข้ามบ้านสาทร</t>
  </si>
  <si>
    <t>CS283</t>
  </si>
  <si>
    <t xml:space="preserve"> วัดปทุมวนาราม</t>
  </si>
  <si>
    <t>ตรงข้ามโบสถ์แม่พระฟาติมา</t>
  </si>
  <si>
    <t xml:space="preserve"> รร.พิบูลประชาสรรค์</t>
  </si>
  <si>
    <t>CS268</t>
  </si>
  <si>
    <t>ตรงข้ามซอยราชครู</t>
  </si>
  <si>
    <t>CS083</t>
  </si>
  <si>
    <t>CS012</t>
  </si>
  <si>
    <t>CS253</t>
  </si>
  <si>
    <t>ตรงข้ามบ้านปิยะสาธร</t>
  </si>
  <si>
    <t>ตู้โดนงัด</t>
  </si>
  <si>
    <t>CS193</t>
  </si>
  <si>
    <t>Cs086</t>
  </si>
  <si>
    <t xml:space="preserve"> 7 Spe 64</t>
  </si>
  <si>
    <t>CS186</t>
  </si>
  <si>
    <t>DS282</t>
  </si>
  <si>
    <t>อาคารธนภูมิ</t>
  </si>
  <si>
    <t>หน้าเซ็นทรัลพระราม 9</t>
  </si>
  <si>
    <t>CS026</t>
  </si>
  <si>
    <t>AS027</t>
  </si>
  <si>
    <t>ศาลแรงงานกลาง</t>
  </si>
  <si>
    <t>อยู่ระหว่างขอมิเตอร์ใหม่การไฟฟ้า</t>
  </si>
  <si>
    <t xml:space="preserve">CS126 </t>
  </si>
  <si>
    <t>13 Spe 64</t>
  </si>
  <si>
    <t>CS272</t>
  </si>
  <si>
    <t>สถานีสนามเป้า (ทางออก 3)</t>
  </si>
  <si>
    <t>15 Spe 64</t>
  </si>
  <si>
    <t>อยู่ระหว่างประสานงาน ผรม.เข้าจั๊มไฟใหม่</t>
  </si>
  <si>
    <t>CS145</t>
  </si>
  <si>
    <t>ตรงข้ามชุมชนบ่อนไก่</t>
  </si>
  <si>
    <t>16 Spe 64</t>
  </si>
  <si>
    <t>17 Spe 64</t>
  </si>
  <si>
    <t>18 Spe 64</t>
  </si>
  <si>
    <t>19 Spe 64</t>
  </si>
  <si>
    <t>AS049</t>
  </si>
  <si>
    <t>ตรงข้าม ม.เกษตรฯ (พหลโยธิน)</t>
  </si>
  <si>
    <t>CS199</t>
  </si>
  <si>
    <t>AS211</t>
  </si>
  <si>
    <t>รพ.พระมงกุฎเกล้า</t>
  </si>
  <si>
    <t xml:space="preserve"> ตรงข้าม มศว ประสานมิตร (เพชรบุรี)</t>
  </si>
  <si>
    <t>22 Spe 64</t>
  </si>
  <si>
    <t>อยู่ระหว่างประสานงาน มิเตอร์ถูกถอดไป</t>
  </si>
  <si>
    <t>23 Spe 64</t>
  </si>
  <si>
    <t>AS013</t>
  </si>
  <si>
    <t xml:space="preserve"> รร.เซนต์ดอมินิก</t>
  </si>
  <si>
    <t>มรภ.จันทรเกษม</t>
  </si>
  <si>
    <t>CS250</t>
  </si>
  <si>
    <t>24 Spe 64</t>
  </si>
  <si>
    <t>เครื่อง ETA Off line/upsเสีย</t>
  </si>
  <si>
    <t>25 Spe 64</t>
  </si>
  <si>
    <t>26 Spe 64</t>
  </si>
  <si>
    <t>S1083</t>
  </si>
  <si>
    <t>CS132</t>
  </si>
  <si>
    <t>CS055</t>
  </si>
  <si>
    <t xml:space="preserve"> ตรงข้ามอาคารวานิช</t>
  </si>
  <si>
    <t>เซ็นทรัล ชิดลม</t>
  </si>
  <si>
    <t xml:space="preserve">โรงแรมสุโขทัย </t>
  </si>
  <si>
    <t>27 Spe 64</t>
  </si>
  <si>
    <t>28 Spe 64</t>
  </si>
  <si>
    <t>29 Spe 64</t>
  </si>
  <si>
    <t xml:space="preserve">สวนลุมพินี (ประตู 1) </t>
  </si>
  <si>
    <t xml:space="preserve">30 Spe 64 </t>
  </si>
  <si>
    <t>S1024</t>
  </si>
  <si>
    <t xml:space="preserve"> รร.สามเสนนอก</t>
  </si>
  <si>
    <t xml:space="preserve"> ม.มหิดล (คณะเภสัชศาสตร์)</t>
  </si>
  <si>
    <t>CS063</t>
  </si>
  <si>
    <t>แยกเฉลิมเผ่า</t>
  </si>
  <si>
    <t>รร.สามเสนนอก</t>
  </si>
  <si>
    <t>AS063</t>
  </si>
  <si>
    <t>ปณ.สามแยกลาดพร้าว</t>
  </si>
  <si>
    <t>AS012</t>
  </si>
  <si>
    <t xml:space="preserve"> ซอยรัชดาภิเษก 4</t>
  </si>
  <si>
    <t xml:space="preserve"> สำนักงานอัยการสูงสุด (รัชดาฯ)</t>
  </si>
  <si>
    <t>AS031</t>
  </si>
  <si>
    <t xml:space="preserve">ตรงข้ามสวนจตุจักร </t>
  </si>
  <si>
    <t>(ไฟจากการไฟฟ้าไม่จ่ายมามิเตอร์)</t>
  </si>
  <si>
    <t xml:space="preserve">องค์การเภสัชกรรม </t>
  </si>
  <si>
    <t xml:space="preserve">รพ.จุฬาฯ (ประตู 1) </t>
  </si>
  <si>
    <t xml:space="preserve">รร.สามเสนนอก </t>
  </si>
  <si>
    <t>CS147</t>
  </si>
  <si>
    <t xml:space="preserve">เครื่อง ETA Off line  </t>
  </si>
  <si>
    <t>CS218</t>
  </si>
  <si>
    <t xml:space="preserve">บ้านราชวิถี </t>
  </si>
  <si>
    <t>AS032</t>
  </si>
  <si>
    <t>อยู่ระหว่างทีมไฟฟ้าประสานงานดำเนินการแก้ไข</t>
  </si>
  <si>
    <t>AS207</t>
  </si>
  <si>
    <t>XX002</t>
  </si>
  <si>
    <t xml:space="preserve">ตรงข้ามอาคารมหานครยิบซั่ม </t>
  </si>
  <si>
    <t xml:space="preserve">เอสพลานาด รัชดาภิเษก </t>
  </si>
  <si>
    <t xml:space="preserve">รร.สารวิทยา </t>
  </si>
  <si>
    <t xml:space="preserve">โรงเรียนหอวัง (พหลโยธิน) </t>
  </si>
  <si>
    <t>S1687</t>
  </si>
  <si>
    <t>ตรงข้ามศูนย์วิจัย (พระราม 9)</t>
  </si>
  <si>
    <t>CS231</t>
  </si>
  <si>
    <t>ตรงข้าม รพ.ภูมิราชนครินทร์ฯ</t>
  </si>
  <si>
    <t>ออนมาเมื่อตอนค่ำๆดับไปตอนห้าทุ่ม</t>
  </si>
  <si>
    <t>S1678</t>
  </si>
  <si>
    <t>S1471</t>
  </si>
  <si>
    <t>S1564</t>
  </si>
  <si>
    <t xml:space="preserve"> สะพานตากสิน</t>
  </si>
  <si>
    <t xml:space="preserve">รพ.จุฬาฯ (ประตู 1)  </t>
  </si>
  <si>
    <t xml:space="preserve">AS036 </t>
  </si>
  <si>
    <t>CS192</t>
  </si>
  <si>
    <t xml:space="preserve">ตรงข้ามชุมชนบ่อนไก่    </t>
  </si>
  <si>
    <t>ปกติ</t>
  </si>
  <si>
    <t>AS004</t>
  </si>
  <si>
    <t xml:space="preserve">ตลาดนัดจตุจักร </t>
  </si>
  <si>
    <t xml:space="preserve">ตรงข้ามสถานทูตญี่ปุ่น </t>
  </si>
  <si>
    <t xml:space="preserve">สวนลุมพินี (ประตู 3) </t>
  </si>
  <si>
    <t xml:space="preserve">อาคารธนภูมิ </t>
  </si>
  <si>
    <t>ตรงข้ามตลาดสัตว์เลี้ยง อ.ต.ก</t>
  </si>
  <si>
    <t>ตรงข้าม สน.สุทธิสาร</t>
  </si>
  <si>
    <t>CS105</t>
  </si>
  <si>
    <t xml:space="preserve">ก่อนแยก รามอินทรา กม.8 </t>
  </si>
  <si>
    <t xml:space="preserve">เอเชียทีค เดอะ ริเวอร์ฟร้อนท์  </t>
  </si>
  <si>
    <t>Cs093</t>
  </si>
  <si>
    <t>CS095</t>
  </si>
  <si>
    <t xml:space="preserve"> สน.ลุมพินี</t>
  </si>
  <si>
    <t xml:space="preserve">เอสพลานาด รัชดาภิเษก   </t>
  </si>
  <si>
    <t>CS105 ก่อนแยก รามอินทรา กม.8</t>
  </si>
  <si>
    <t>CS141</t>
  </si>
  <si>
    <t xml:space="preserve"> เดอะ เพนนินซูล่า พลาซา</t>
  </si>
  <si>
    <t xml:space="preserve"> ตรงข้ามวัน แบงค็อก (วิทยุ)</t>
  </si>
  <si>
    <t xml:space="preserve"> เอสซีบี พาร์ค พลาซา</t>
  </si>
  <si>
    <t xml:space="preserve">สวนจตุจักร </t>
  </si>
  <si>
    <t>CS227</t>
  </si>
  <si>
    <t>CS114</t>
  </si>
  <si>
    <t>วังสวนผักกาด</t>
  </si>
  <si>
    <t>อยู่ระหว่างตรวจสอบระบบไฟฟ้า</t>
  </si>
  <si>
    <t>CS144</t>
  </si>
  <si>
    <t xml:space="preserve"> จุฬาฯ (หอพักนิสิตจุฬาฯ)</t>
  </si>
  <si>
    <t>CS254</t>
  </si>
  <si>
    <t>S1350</t>
  </si>
  <si>
    <t xml:space="preserve">สองพระ </t>
  </si>
  <si>
    <t>ETA Off line</t>
  </si>
  <si>
    <t>CS037</t>
  </si>
  <si>
    <t>CS125</t>
  </si>
  <si>
    <t>จุฬาฯ (คณะรัฐศาสตร์)</t>
  </si>
  <si>
    <t>จุฬาฯ (คณะนิติศาสตร์)</t>
  </si>
  <si>
    <t>CS124</t>
  </si>
  <si>
    <t>CS252</t>
  </si>
  <si>
    <t>AS039</t>
  </si>
  <si>
    <t xml:space="preserve"> สวนพลู</t>
  </si>
  <si>
    <t xml:space="preserve"> จุฬาฯ (คณะรัฐศาสตร์) </t>
  </si>
  <si>
    <t xml:space="preserve">จุฬาฯ (คณะนิติศาสตร์) </t>
  </si>
  <si>
    <t>ตรงข้าม ม.ศรีปทุม</t>
  </si>
  <si>
    <t xml:space="preserve">โอสถศาลา  </t>
  </si>
  <si>
    <t xml:space="preserve">จุฬาฯ (คณะรัฐศาสตร์) </t>
  </si>
  <si>
    <t>AS057</t>
  </si>
  <si>
    <t>กองบังคับการปราบปราม</t>
  </si>
  <si>
    <t>CS034</t>
  </si>
  <si>
    <t xml:space="preserve">เซ็นทรัล สีลม ทาวเวอร์ </t>
  </si>
  <si>
    <t>S 1550</t>
  </si>
  <si>
    <t>ตลาดนัดจตุจักร</t>
  </si>
  <si>
    <t>เปลี่ยนเครื่อง</t>
  </si>
  <si>
    <t>AS056</t>
  </si>
  <si>
    <t>CS142</t>
  </si>
  <si>
    <t>ตรงข้ามโรงเรียนสตรีวรนาถบางเขน</t>
  </si>
  <si>
    <t xml:space="preserve"> เจริญผล</t>
  </si>
  <si>
    <t>S1470</t>
  </si>
  <si>
    <t xml:space="preserve"> ตรงข้ามซอยสวนเงิน</t>
  </si>
  <si>
    <t>CS070</t>
  </si>
  <si>
    <t>DS232</t>
  </si>
  <si>
    <t xml:space="preserve"> เซ็นทรัลเวิลด์</t>
  </si>
  <si>
    <t xml:space="preserve"> ตรงข้ามบ้านปิยะสาธร </t>
  </si>
  <si>
    <t>CS209</t>
  </si>
  <si>
    <t>กรมทางหลวง (ศรีอยุธยา)</t>
  </si>
  <si>
    <t>CS119</t>
  </si>
  <si>
    <t>AS083</t>
  </si>
  <si>
    <t xml:space="preserve">สถานีลาดพร้าว (ทางออก 3) </t>
  </si>
  <si>
    <t>CS195</t>
  </si>
  <si>
    <t xml:space="preserve"> วัน แบงค็อก (วิทยุ) </t>
  </si>
  <si>
    <t xml:space="preserve">รพ.รามาธิบดี </t>
  </si>
  <si>
    <t>AS037</t>
  </si>
  <si>
    <t>ตลาดบางเขน</t>
  </si>
  <si>
    <t xml:space="preserve">CS041 </t>
  </si>
  <si>
    <t>อาคารอื้อจือเหลียง</t>
  </si>
  <si>
    <t xml:space="preserve">เมืองไทย-ภัทร คอมเพล็กซ์ </t>
  </si>
  <si>
    <t>ตรวจสอบ UPS</t>
  </si>
  <si>
    <t>CS039</t>
  </si>
  <si>
    <t>AS214</t>
  </si>
  <si>
    <t>ถนนคอนแวนต์</t>
  </si>
  <si>
    <t>สาธรซิตี้ทาวเวอร์</t>
  </si>
  <si>
    <t>รฟม.</t>
  </si>
  <si>
    <t xml:space="preserve"> โรงแรม ดิ เอมเมอรัลด์</t>
  </si>
  <si>
    <t>CS009</t>
  </si>
  <si>
    <t>AS228</t>
  </si>
  <si>
    <t xml:space="preserve">ศูนย์บริการสาธารณสุข 4 ดินแดง </t>
  </si>
  <si>
    <t xml:space="preserve">ชาญอิสสระทาวเวอร์ 2 </t>
  </si>
  <si>
    <t xml:space="preserve">ซอยสาทร 2 </t>
  </si>
  <si>
    <t xml:space="preserve"> สองพระ </t>
  </si>
  <si>
    <t xml:space="preserve">สนามกีฬาแห่งชาติ </t>
  </si>
  <si>
    <t>มหาวิทยาลัยศรีปทุม</t>
  </si>
  <si>
    <t xml:space="preserve">ตรงข้ามรีเจ้นท์เฮ้าส์  </t>
  </si>
  <si>
    <t xml:space="preserve">รพ.ตำรวจ </t>
  </si>
  <si>
    <t xml:space="preserve">ซอยต้นสน  </t>
  </si>
  <si>
    <t xml:space="preserve">รพ.พระมงกุฎเกล้า </t>
  </si>
  <si>
    <t xml:space="preserve">ตรงข้ามโรงเรียนสันติราษฎร์วิทยาลัย </t>
  </si>
  <si>
    <t>AS082</t>
  </si>
  <si>
    <t xml:space="preserve">ตรงข้าม ม.เกษตรฯ (พหลโยธิน) </t>
  </si>
  <si>
    <t>ตรงข้ามตลาดบางเขน</t>
  </si>
  <si>
    <t>CS094 สวนลุมพินี (ประตู 1)</t>
  </si>
  <si>
    <t>AS077</t>
  </si>
  <si>
    <t>AS020</t>
  </si>
  <si>
    <t>S1475</t>
  </si>
  <si>
    <t xml:space="preserve"> อ.ต.ก</t>
  </si>
  <si>
    <t>ตรงข้าม สน.พญาไท</t>
  </si>
  <si>
    <t xml:space="preserve"> โรงเรียนหอวัง </t>
  </si>
  <si>
    <t xml:space="preserve">ซอยสาทร 5 </t>
  </si>
  <si>
    <t>สะพานตากสิน</t>
  </si>
  <si>
    <t xml:space="preserve"> ตรงข้ามมหาวิทยาลัยราชภัฏจันทรเกษม</t>
  </si>
  <si>
    <t>CS029</t>
  </si>
  <si>
    <t>คริสตจักรสะพานเหลือง</t>
  </si>
  <si>
    <t xml:space="preserve">CS163 </t>
  </si>
  <si>
    <t>เซ็นทรัล พระราม 3</t>
  </si>
  <si>
    <t>CS270</t>
  </si>
  <si>
    <t xml:space="preserve">รพ.ภูมิราชนครินทร์ฯ </t>
  </si>
  <si>
    <t>สน.บางซื่อ</t>
  </si>
  <si>
    <t>CS075</t>
  </si>
  <si>
    <t>S1029</t>
  </si>
  <si>
    <t xml:space="preserve">ตลาดสัตว์เลี้ยง อ.ต.ก </t>
  </si>
  <si>
    <t xml:space="preserve">ซอยประชาสงเคราะห์ 2 </t>
  </si>
  <si>
    <t xml:space="preserve">สะพานตากสิน </t>
  </si>
  <si>
    <t>CS040</t>
  </si>
  <si>
    <t>ตรงข้ามโรงแรมสุโขทัย</t>
  </si>
  <si>
    <t xml:space="preserve"> กระทรวงการคลัง</t>
  </si>
  <si>
    <t>CS098</t>
  </si>
  <si>
    <t>CS131</t>
  </si>
  <si>
    <t xml:space="preserve">สำนักงานตำรวจแห่งชาติ </t>
  </si>
  <si>
    <t>เร้าเตอร์ไม่มีสัญาณ แจ้ง PP เข้าตรวจสอบ</t>
  </si>
  <si>
    <t>รับแจ้งสายเมนไฟฟ้าขาดใต้ดินอยู่ระหว่างดำเดินการ</t>
  </si>
  <si>
    <t xml:space="preserve">ม.มหิดล (คณะวิทยาศาสตร์) </t>
  </si>
  <si>
    <t xml:space="preserve">ตรงข้ามโรงเรียนสตรีวรนาถบางเขน </t>
  </si>
  <si>
    <t>XX003</t>
  </si>
  <si>
    <t>ซอยศูนย์วิจัย (เพชรบุรี) ซ.47</t>
  </si>
  <si>
    <t xml:space="preserve">ตรงข้ามวิทยาลัยพยาบาลกองทัพบก </t>
  </si>
  <si>
    <t xml:space="preserve">สถานีราชเทวี (ทางออก 3) </t>
  </si>
  <si>
    <t xml:space="preserve">โรงเรียนมักกะสันพิทยา </t>
  </si>
  <si>
    <t xml:space="preserve">ตรงข้ามศูนย์วิจัย (พระราม 9) </t>
  </si>
  <si>
    <t>PP</t>
  </si>
  <si>
    <t>XX003 ซอยศูนย์วิจัย (เพชรบุรี)</t>
  </si>
  <si>
    <t>โรงเรียนกรุงเทพคริสเตียนฯ</t>
  </si>
  <si>
    <t xml:space="preserve"> กระทรวงการต่างประเทศ</t>
  </si>
  <si>
    <t xml:space="preserve">เซ็นทรัล ชิดลม </t>
  </si>
  <si>
    <t>จอ 32" จอดำ</t>
  </si>
  <si>
    <t>CS117</t>
  </si>
  <si>
    <t>CS156</t>
  </si>
  <si>
    <t>CS267</t>
  </si>
  <si>
    <t>รีเจ้นท์เฮ้าส์</t>
  </si>
  <si>
    <t>ตรงข้ามโรงเรียนสามเสนวิทยาลัย</t>
  </si>
  <si>
    <t xml:space="preserve">กระทรวงการต่างประเทศ </t>
  </si>
  <si>
    <t xml:space="preserve"> เซ็นทรัล สีลม ทาวเวอร์ </t>
  </si>
  <si>
    <t>นักงานตำรวจแห่งชาติ</t>
  </si>
  <si>
    <t>ซอยพหลโยธิน 2</t>
  </si>
  <si>
    <t xml:space="preserve">วัดปทุมวนาราม </t>
  </si>
  <si>
    <t xml:space="preserve">รพ.ภูมิราชนครินทร์ฯ  </t>
  </si>
  <si>
    <t xml:space="preserve">ศาลอาญา (รัชดาภิเษก) </t>
  </si>
  <si>
    <t xml:space="preserve">มรภ.จันทรเกษม </t>
  </si>
  <si>
    <t>CS230</t>
  </si>
  <si>
    <t xml:space="preserve"> อาคารวานิช</t>
  </si>
  <si>
    <t xml:space="preserve"> ซอยสาทร 5</t>
  </si>
  <si>
    <t>CS212</t>
  </si>
  <si>
    <t xml:space="preserve">โรงเรียนพญาไท </t>
  </si>
  <si>
    <t xml:space="preserve">วัน แบงค็อก (วิทยุ) </t>
  </si>
  <si>
    <t>CS033</t>
  </si>
  <si>
    <t xml:space="preserve">กรมส่งเสริมการค้าระหว่างประเทศ </t>
  </si>
  <si>
    <t xml:space="preserve">สีลม พลาซา  </t>
  </si>
  <si>
    <t>S1260</t>
  </si>
  <si>
    <t>S1423</t>
  </si>
  <si>
    <t>รพ.จุฬาฯ (ประตู 13)</t>
  </si>
  <si>
    <t>ตรงข้าม รพ.สัตว์เล็กจุฬาฯ</t>
  </si>
  <si>
    <t>CS136</t>
  </si>
  <si>
    <t xml:space="preserve">ตรงข้ามรีเจ้นท์เฮ้าส์ </t>
  </si>
  <si>
    <t xml:space="preserve">ปณ.สามแยกลาดพร้าว </t>
  </si>
  <si>
    <t xml:space="preserve">วัดใหม่ช่องลม </t>
  </si>
  <si>
    <t>S0144</t>
  </si>
  <si>
    <t>สถานีตำรวจนครบาลสุทธิสาร</t>
  </si>
  <si>
    <t>เซ็นทรัล สีลม ทาวเวอร์</t>
  </si>
  <si>
    <t>เซ็นทรัลลาดพร้าว</t>
  </si>
  <si>
    <t xml:space="preserve">ตรงข้ามสามย่าน มิตรทาวน์ </t>
  </si>
  <si>
    <t xml:space="preserve">ตรงข้ามบ้านสาทร </t>
  </si>
  <si>
    <t xml:space="preserve">อาร์ เอส ทาวเวอร์ </t>
  </si>
  <si>
    <t>CS104</t>
  </si>
  <si>
    <t xml:space="preserve">อาคาร เอ็ม บี เค ไลฟ์ </t>
  </si>
  <si>
    <t>S1562</t>
  </si>
  <si>
    <t xml:space="preserve">โอสถศาลา </t>
  </si>
  <si>
    <t xml:space="preserve"> หน้าชุมชนซอยมั่นสิน </t>
  </si>
  <si>
    <t xml:space="preserve">ตรงข้ามแม็คโคร สาทร </t>
  </si>
  <si>
    <t>CS065</t>
  </si>
  <si>
    <t xml:space="preserve"> บิ๊กซีราชดำริ</t>
  </si>
  <si>
    <t>สถานีลาดพร้าว (ทางออก 3)</t>
  </si>
  <si>
    <t xml:space="preserve"> บิ๊กซีราชดำริ </t>
  </si>
  <si>
    <t>สำนักงานตำรวจแห่งชาติ</t>
  </si>
  <si>
    <t xml:space="preserve">สถานีราชดำริ (ทางออก 2) </t>
  </si>
  <si>
    <t xml:space="preserve"> ตรงข้ามโรงเรียนมักกะสันพิทยา </t>
  </si>
  <si>
    <t>AS041</t>
  </si>
  <si>
    <t>AS076</t>
  </si>
  <si>
    <t>วัดบางบัว</t>
  </si>
  <si>
    <t xml:space="preserve">โรงเรียนอำนวยศิลป์  </t>
  </si>
  <si>
    <t xml:space="preserve"> อาคารสินธร </t>
  </si>
  <si>
    <t>CS027</t>
  </si>
  <si>
    <t xml:space="preserve">ศาลแรงงานกลาง </t>
  </si>
  <si>
    <t xml:space="preserve">CS184 </t>
  </si>
  <si>
    <t xml:space="preserve">ตรงข้ามโรงเรียนมักกะสันพิทยา </t>
  </si>
  <si>
    <t>CS207</t>
  </si>
  <si>
    <t xml:space="preserve"> วิทยาลัยเทคโนโลยีดอนบอสโก </t>
  </si>
  <si>
    <t xml:space="preserve">วัดบางบัว </t>
  </si>
  <si>
    <t>มิเตอร์โดนถอด อยู่ระหว่างประสานงานติดตามมิเตอร์</t>
  </si>
  <si>
    <t>อยู่ระหว่างดำเนินการย้ายสายเข้าตู้ PDCใหม่</t>
  </si>
  <si>
    <t>ระบบสายใต้ดินของการไฟฟ้ามีปัญหา อยู่ระหว่างการไฟฟ้าดำเนินการแก้ไข</t>
  </si>
  <si>
    <t>CS143</t>
  </si>
  <si>
    <t>วิทยาลัยเทคโนโลยีดอนบอสโก</t>
  </si>
  <si>
    <t xml:space="preserve">วัน แบงค็อก (พระรามที่ 4) </t>
  </si>
  <si>
    <t>14/3.2022</t>
  </si>
  <si>
    <t xml:space="preserve">CS123 </t>
  </si>
  <si>
    <t xml:space="preserve"> ตรงข้ามสามย่าน มิตรทาวน์</t>
  </si>
  <si>
    <t>raya</t>
  </si>
  <si>
    <t>S1469</t>
  </si>
  <si>
    <t>CS165</t>
  </si>
  <si>
    <t>CS010</t>
  </si>
  <si>
    <t xml:space="preserve">เซ็นจูรี่ เดอะมูฟวี่ พลาซา  </t>
  </si>
  <si>
    <t xml:space="preserve">ซอยสวนเงิน </t>
  </si>
  <si>
    <t xml:space="preserve"> รพ.ภูมิราชนครินทร์ฯ </t>
  </si>
  <si>
    <t xml:space="preserve">โลตัส พระราม 3 (รัชดาภิเษก)  </t>
  </si>
  <si>
    <t xml:space="preserve">หลังแยกเอกมัยเหนือ </t>
  </si>
  <si>
    <t>CS161</t>
  </si>
  <si>
    <t>โรงกรองน้ำ ฝั่งใต้</t>
  </si>
  <si>
    <t>ตรงข้ามแม๊คโครนราธิวาส</t>
  </si>
  <si>
    <t xml:space="preserve"> โลตัส พระราม 3 </t>
  </si>
  <si>
    <t>S1045</t>
  </si>
  <si>
    <t>รร.ปัญจทรัพย์</t>
  </si>
  <si>
    <t>สำนักงานอัยการสูงสุด</t>
  </si>
  <si>
    <t>CS102</t>
  </si>
  <si>
    <t>CS149</t>
  </si>
  <si>
    <t xml:space="preserve">รีเจ้นท์เฮ้าส์ </t>
  </si>
  <si>
    <t xml:space="preserve">ตรงข้ามพระรามที่ 6 ซอย 43 </t>
  </si>
  <si>
    <t>ระบบไฟการไฟฟ้า</t>
  </si>
  <si>
    <t>ไม่ชำระค่าไฟฟ้า</t>
  </si>
  <si>
    <t>ติดตามการไฟฟ้า</t>
  </si>
  <si>
    <t>ชำระเงินวันที่ 25/3/2022</t>
  </si>
  <si>
    <t>ติดตามการไฟฟ้าติดมิเตอร์</t>
  </si>
  <si>
    <t>การไฟฟ้าแก้ไข 28/3/2022</t>
  </si>
  <si>
    <t>การไฟฟ้าแก้ไข 28/3/2023</t>
  </si>
  <si>
    <t>การไฟฟ้าแก้ไข 28/3/2024</t>
  </si>
  <si>
    <t>การไฟฟ้าหาแหล่งจ่ายไฟฟ้า 1/4/2022</t>
  </si>
  <si>
    <t>การไฟฟ้าหาแหล่งจ่ายไฟฟ้า 1/4/2023</t>
  </si>
  <si>
    <t>ไฟฟ้าแก้ไขไฟติดแล้ว 25/3/2022</t>
  </si>
  <si>
    <t>ไฟฟ้าแก้ไขไฟติดแล้ว 25/3/2023</t>
  </si>
  <si>
    <t>ตรวจสอบหน้างาน 25/3/2022</t>
  </si>
  <si>
    <t>ตรวจสอบหน้างาน 25/3/2023</t>
  </si>
  <si>
    <t>finish</t>
  </si>
  <si>
    <t>Database Cookies 2022</t>
  </si>
  <si>
    <t>No.</t>
  </si>
  <si>
    <t xml:space="preserve">Pack </t>
  </si>
  <si>
    <t>ID (ตามสัญญา)</t>
  </si>
  <si>
    <t>New media</t>
  </si>
  <si>
    <t xml:space="preserve">Location </t>
  </si>
  <si>
    <t>Road</t>
  </si>
  <si>
    <t xml:space="preserve">District </t>
  </si>
  <si>
    <t>Co_Y (Latitude)</t>
  </si>
  <si>
    <t>Co_X (Longitude)</t>
  </si>
  <si>
    <t>ระบบไฟฟ้า</t>
  </si>
  <si>
    <t>รูปแบบไฟฟ้า</t>
  </si>
  <si>
    <t>เลขมิเตอร์</t>
  </si>
  <si>
    <t>ตำแหน่งมิเตอร์</t>
  </si>
  <si>
    <t>เขตการฟ้า</t>
  </si>
  <si>
    <t>Supplier</t>
  </si>
  <si>
    <t>บัญชีแสดงสัญญา</t>
  </si>
  <si>
    <t>Remark</t>
  </si>
  <si>
    <t>Status</t>
  </si>
  <si>
    <t>P 1002/1</t>
  </si>
  <si>
    <t>DP1006</t>
  </si>
  <si>
    <t>ก่อนถึงแยกถนนเจริญนคร - ถนนลาดหญ้า (ข้างซ.17/1)</t>
  </si>
  <si>
    <t>ลาดหญ้า</t>
  </si>
  <si>
    <t>คลองสาน</t>
  </si>
  <si>
    <t>มีมิเตอร์</t>
  </si>
  <si>
    <t>ขอมิเตอร์ใหม่</t>
  </si>
  <si>
    <t>เสาไฟ</t>
  </si>
  <si>
    <t>ธนบุรี</t>
  </si>
  <si>
    <t>success</t>
  </si>
  <si>
    <t>หักผ่านบัญชี</t>
  </si>
  <si>
    <t>P 1002/2</t>
  </si>
  <si>
    <t>DP329</t>
  </si>
  <si>
    <t>ก่อนถึงประดิษฐ์มนูธรรมซอย 17</t>
  </si>
  <si>
    <t>ประดิษฐ์มนูธรรม</t>
  </si>
  <si>
    <t>ลาดพร้าว</t>
  </si>
  <si>
    <t>บางกะปิ</t>
  </si>
  <si>
    <t>ยันยงค์</t>
  </si>
  <si>
    <t>P 1003/2</t>
  </si>
  <si>
    <t>DP330</t>
  </si>
  <si>
    <t>หน้าห้าง The Crystal Park (Outbound) (1)</t>
  </si>
  <si>
    <t>นวลจันทร์</t>
  </si>
  <si>
    <t>P 1006/2</t>
  </si>
  <si>
    <t>DP332</t>
  </si>
  <si>
    <t>หน้าปั๊มบางจาก (ก่อนถึงถนนสุคนธสวัสดิ์, Outbound)</t>
  </si>
  <si>
    <t>P 1008/1</t>
  </si>
  <si>
    <t>DP528</t>
  </si>
  <si>
    <t>ก่อนถึงแยกพระราม 9-รามคำแหง ปากซอยพระราม 9 34</t>
  </si>
  <si>
    <t>พระราม 9</t>
  </si>
  <si>
    <t>P 1009/1</t>
  </si>
  <si>
    <t>DP422</t>
  </si>
  <si>
    <t>หน้าร้านไดนาโม (แยกถ.นราธิวาส-พระราม 3) ตรงข้ามธนาคารทหารไทย สาขาช่องนนทรี</t>
  </si>
  <si>
    <t>พระราม 3</t>
  </si>
  <si>
    <t>ยานนาวา</t>
  </si>
  <si>
    <t>Mini 3</t>
  </si>
  <si>
    <t>P 1009/2</t>
  </si>
  <si>
    <t>DP423</t>
  </si>
  <si>
    <t>หน้าปั๊มน้ำมัน Esso ก่อนถึงวัดช่องนนทรี (Inbound)</t>
  </si>
  <si>
    <t>P 1010/2</t>
  </si>
  <si>
    <t>DP333</t>
  </si>
  <si>
    <t>หน้าร้าน B-Story Garden Cafe &amp; Restaurants (เลยซ.ประดิษฐ์มนูธรรม24 ประมาณ 100 เมตร)</t>
  </si>
  <si>
    <t>P 1011/1</t>
  </si>
  <si>
    <t>DP334</t>
  </si>
  <si>
    <t>ก่อนถึง SC Park ประมาณ 40 เมตร แยกศรีวรามุ่งหน้าพระราม9</t>
  </si>
  <si>
    <t>วังทองหลาง</t>
  </si>
  <si>
    <t>P 1013/2</t>
  </si>
  <si>
    <t>DP335</t>
  </si>
  <si>
    <t>ก่อนถึงทางเข้า Central Eastville มุ่งหน้ารามอินทรา</t>
  </si>
  <si>
    <t>P 1014/1</t>
  </si>
  <si>
    <t>DP336</t>
  </si>
  <si>
    <t>หน้าการทางพิเศษแห่งประเทศไทยตรงขัามด่านพระราม9-2 มุ่งหน้าพระราม 9</t>
  </si>
  <si>
    <t>ห้วยขวาง</t>
  </si>
  <si>
    <t>P 1015/1</t>
  </si>
  <si>
    <t>DP1076</t>
  </si>
  <si>
    <t>หน้าโรงพยาบาลสมเด็จเจ้าพระยา (ตรงข้ามวัดทองธรรมชาติวรวิหาร)จุดที่ 1</t>
  </si>
  <si>
    <t>สมเด็จเจ้าพระยา</t>
  </si>
  <si>
    <t>P 1021/2</t>
  </si>
  <si>
    <t>DP962</t>
  </si>
  <si>
    <t>หน้าโชว์รูมอีซูซุแสงหงส์ (ใกล้ ฟู้ดแลนด์ซุปเปอร์มาร์เก็ตอยู่ระหว่างซ.ลาดพร้าว 93/1 และ 95)</t>
  </si>
  <si>
    <t>P 1025/1</t>
  </si>
  <si>
    <t>DP929</t>
  </si>
  <si>
    <t>เชิงสะพานข้ามคลองก่อนถึงโรงเรียนถนอมบุตรเยื้องซอยรามคำแหง 62 (มุ่งหน้ามีนบุรี)</t>
  </si>
  <si>
    <t>รามคำแหง</t>
  </si>
  <si>
    <t>P 1026/2</t>
  </si>
  <si>
    <t>DP770</t>
  </si>
  <si>
    <t>หน้าตึก CS TOWER ใกล้ซอยรัชดาภิเษก16</t>
  </si>
  <si>
    <t>รัชดาภิเษก</t>
  </si>
  <si>
    <t>สุพรรณ</t>
  </si>
  <si>
    <t>P 1027/1</t>
  </si>
  <si>
    <t>DP697</t>
  </si>
  <si>
    <t>เชิงทางลงสะพานข้ามแยกอโศก-เพชรบุรี (มาจากแยกอโศก-เพชรบุรี มุ่งหน้าแยกมิตรสัมพันธ์)</t>
  </si>
  <si>
    <t>เพชรบุรี</t>
  </si>
  <si>
    <t>ราชเทวี</t>
  </si>
  <si>
    <t>สามเสน</t>
  </si>
  <si>
    <t>P 1028/1</t>
  </si>
  <si>
    <t>DP771</t>
  </si>
  <si>
    <t>หน้าบริษัทจรัญประกันภัย จำกัด (มหาชน) ฝั่งตรงข้ามโรงแรมเจ้าพระยาปาร์ค</t>
  </si>
  <si>
    <t>P 1031/1</t>
  </si>
  <si>
    <t>DP424</t>
  </si>
  <si>
    <t>ตรงข้ามทางเข้าวัดคลองภูมิ (เลยพระราม 3 ซ. 57, Inbound)</t>
  </si>
  <si>
    <t>P 1035/2</t>
  </si>
  <si>
    <t>DP774</t>
  </si>
  <si>
    <t>หน้า Hers Clinic ฝั่งตรงข้ามเมืองไทยประกันชีวิต ก่อนถึงแยกสุทธิสาร</t>
  </si>
  <si>
    <t>ดินแดง</t>
  </si>
  <si>
    <t>พ่วงสื่อในโครงการ SBS</t>
  </si>
  <si>
    <t>พ่วง Cookies</t>
  </si>
  <si>
    <t>พ่วง Cookies P 1186/2</t>
  </si>
  <si>
    <t>-</t>
  </si>
  <si>
    <t>P 1037/1</t>
  </si>
  <si>
    <t>DP425</t>
  </si>
  <si>
    <t>หน้าบริษัท สหวิริยาพาณิชย์ คอร์ปอเรชั่น จำกัด (ก่อนถึงวัดช่องลม)</t>
  </si>
  <si>
    <t>P 1037/2</t>
  </si>
  <si>
    <t>DP426</t>
  </si>
  <si>
    <t>เลยวัดช่องลม ใกล้พระรามที่ 3 ซอย 68 (มุ่งหน้าพระราม 3 ขาออก แยกนางลิ้นจี่)</t>
  </si>
  <si>
    <t>Mini 1</t>
  </si>
  <si>
    <t>P 1045/1</t>
  </si>
  <si>
    <t>DP047</t>
  </si>
  <si>
    <t>หน้าสำนักงานปปส. ตรงข้ามโรงแรมเซ็นจูรี่ปาร์ค (มาจากถ.ราชวิถี)</t>
  </si>
  <si>
    <t>พญาไท</t>
  </si>
  <si>
    <t>คลองเตย</t>
  </si>
  <si>
    <t>Mini 7</t>
  </si>
  <si>
    <t>P 1046/1</t>
  </si>
  <si>
    <t>DP1010</t>
  </si>
  <si>
    <t>เลยสถานทูตอเมริกา ก่อนถึงโรงแรมโอเรียนเต็ล เรสซิเดนซ์ (จากแยกสารสิน)</t>
  </si>
  <si>
    <t>วิทยุ</t>
  </si>
  <si>
    <t>ปทุมวัน</t>
  </si>
  <si>
    <t>P 1047/2</t>
  </si>
  <si>
    <t>DP579</t>
  </si>
  <si>
    <t>ทางเข้าวัดพระศรีมหาธาตุวรมหาวิหาร ก่อนทางลงอุโมงบางเขน (มาจากบางบัวมุ่งหน้าวงเวียนบางเขน)</t>
  </si>
  <si>
    <t>พหลโยธิน</t>
  </si>
  <si>
    <t>บางเขน</t>
  </si>
  <si>
    <t>P 1049/1</t>
  </si>
  <si>
    <t>DP493</t>
  </si>
  <si>
    <t>หน้าร้านอาหารสเต็ก พริกไทดำ ก่อนถึงกรมการทหารสื่อสาร</t>
  </si>
  <si>
    <t>พระราม 5</t>
  </si>
  <si>
    <t>ดุสิต</t>
  </si>
  <si>
    <t>P 1049/2</t>
  </si>
  <si>
    <t>DP1011</t>
  </si>
  <si>
    <t xml:space="preserve">ตรงข้าม SWISSOTEL NAILERT PARK (ข้างซอยนายเลิศ) </t>
  </si>
  <si>
    <t>P 1051/1</t>
  </si>
  <si>
    <t>DP450</t>
  </si>
  <si>
    <t>ด้านข้างสวนลุมพินี (ตรงข้ามซอยศาลาแดง 1)</t>
  </si>
  <si>
    <t>พระราม 4</t>
  </si>
  <si>
    <t>P 1052/1</t>
  </si>
  <si>
    <t>DP727</t>
  </si>
  <si>
    <t>แยกถ.เพชรอุทัย-ถ.เพชรบุรีตัดใหม่, มาจากซ.เพชรบุรี 45</t>
  </si>
  <si>
    <t>เพชรบุรีตัดใหม่</t>
  </si>
  <si>
    <t>ช่างเสก/success</t>
  </si>
  <si>
    <t>Mini 8</t>
  </si>
  <si>
    <t>P 1052/2</t>
  </si>
  <si>
    <t>DP120</t>
  </si>
  <si>
    <t>SWAROVSKI ก่อนถึงต้นรักสตูดิโอ</t>
  </si>
  <si>
    <t>สุขุมวิท 55</t>
  </si>
  <si>
    <t>วัฒนา</t>
  </si>
  <si>
    <t>P 1054/2</t>
  </si>
  <si>
    <t>DP121</t>
  </si>
  <si>
    <t>หน้าคอนโด NOBLE SOLO ทองหล่อ</t>
  </si>
  <si>
    <t>A</t>
  </si>
  <si>
    <t>P 1056/2</t>
  </si>
  <si>
    <t>DP728</t>
  </si>
  <si>
    <t>หน้าบีว่าคาเฟ่ เชิงสะพานข้ามคลองแสนแสบ (Outbound)</t>
  </si>
  <si>
    <t>P 1057/1</t>
  </si>
  <si>
    <t>DP665</t>
  </si>
  <si>
    <t>หน้าเดอะลีฟ คอนโด ปากซอยพัฒนาการ 10/1 (มาจากทางด่วนด่านพัฒนาการมุ่งหน้าแยกคลองตัน)</t>
  </si>
  <si>
    <t>พัฒนาการ</t>
  </si>
  <si>
    <t>สวนหลวง</t>
  </si>
  <si>
    <t>P 1059/1</t>
  </si>
  <si>
    <t>DP729</t>
  </si>
  <si>
    <t xml:space="preserve">โรงแรม Metropole แยกซอยทองหล่อ-เพชรบุรี (ทางลงสะพานมุ่งหน้าเพชรบุรีตัดใหม่) </t>
  </si>
  <si>
    <t>P 1061/2</t>
  </si>
  <si>
    <t>DP452</t>
  </si>
  <si>
    <t>หน้า Tesco Lotus พระราม4 (เยื้อง Big C Extra)</t>
  </si>
  <si>
    <t>P 1064/2</t>
  </si>
  <si>
    <t>DP123</t>
  </si>
  <si>
    <t>ฝั่งตรงข้ามร้าน Crystal &amp; Symphony</t>
  </si>
  <si>
    <t>พ่วงCookies P 1086/2</t>
  </si>
  <si>
    <t>P 1065/2</t>
  </si>
  <si>
    <t>DP124</t>
  </si>
  <si>
    <t>The Height ตรงข้ามทองหล่อ ซ.23</t>
  </si>
  <si>
    <t>P 1069/1</t>
  </si>
  <si>
    <t>DP897</t>
  </si>
  <si>
    <t>หน้าทางเข้า Big Cราชดำริ</t>
  </si>
  <si>
    <t>ราชดำริ</t>
  </si>
  <si>
    <t>พ่วงศาลาในสัญญา F,L</t>
  </si>
  <si>
    <t>พ่วงศาลา DS046</t>
  </si>
  <si>
    <t>PDC</t>
  </si>
  <si>
    <t>P 1072/2</t>
  </si>
  <si>
    <t>DP453</t>
  </si>
  <si>
    <t>หน้า ซ.จุฬา 11 (มุ่งหน้าไปแยกสามย่าน)</t>
  </si>
  <si>
    <t>P 1075/1</t>
  </si>
  <si>
    <t>DP790</t>
  </si>
  <si>
    <t>ก่อนถึงอาคารแผนกรักษาสายส่งใต้ดิน (การไฟฟ้านครหลวง) ฝั่งตรงข้ามสวนเบญจกิติ</t>
  </si>
  <si>
    <t>พ่วงCookies P 1143/2</t>
  </si>
  <si>
    <t>P 1075/2</t>
  </si>
  <si>
    <t>DP427</t>
  </si>
  <si>
    <t xml:space="preserve">หน้าปั้มน้ำมันซัสโก้ สาขายานนาวา (มุ่งหน้าถนนตก) </t>
  </si>
  <si>
    <t>P 1077/2</t>
  </si>
  <si>
    <t>DP175</t>
  </si>
  <si>
    <t>หน้าธนาคารอิสลามแห่งประเทศไทย</t>
  </si>
  <si>
    <t>อโศกมนตรี (สุขุมวิท 21)</t>
  </si>
  <si>
    <t>P 1078/1</t>
  </si>
  <si>
    <t>DP341</t>
  </si>
  <si>
    <t>ปากซอยประดิษฐ์มนูธรรม ซอย1 มุ่งหน้าแยกประชาอุทิศ (ใกล้โกลเด้นเพลส)</t>
  </si>
  <si>
    <t>P 1082/1</t>
  </si>
  <si>
    <t>DP125</t>
  </si>
  <si>
    <t>หน้าร้าน AINU Hokkaido Izakaya &amp; Bar</t>
  </si>
  <si>
    <t>Cream</t>
  </si>
  <si>
    <t>P 1083/2</t>
  </si>
  <si>
    <t>DP249</t>
  </si>
  <si>
    <t>หน้าร้านเบอร์เกอร์คิงส์ ก่อนถึงห้างโซโก้,ใกล้อัมรินทร์พลาซ่า (มาจากแยกชิดลม)</t>
  </si>
  <si>
    <t>เพลินจิต</t>
  </si>
  <si>
    <t>4S</t>
  </si>
  <si>
    <t>P 1084/2</t>
  </si>
  <si>
    <t>DP919</t>
  </si>
  <si>
    <t>หน้าปั๊ม Caltex (ก่อนขึ้นสะพานซังฮี้), เยื้องซ.ราชวิถี 21</t>
  </si>
  <si>
    <t>ราชวิถี</t>
  </si>
  <si>
    <t>บางพลัด</t>
  </si>
  <si>
    <t>Mini 6</t>
  </si>
  <si>
    <t>P 1085/2</t>
  </si>
  <si>
    <t>DP126</t>
  </si>
  <si>
    <t>หน้าตึก VASU the residence (ทองหล่อ)</t>
  </si>
  <si>
    <t>C</t>
  </si>
  <si>
    <t>P 1086/2</t>
  </si>
  <si>
    <t>DP127</t>
  </si>
  <si>
    <t>หน้าควิกก่อนถึงทองหล่อ20</t>
  </si>
  <si>
    <t>P 1087/1</t>
  </si>
  <si>
    <t>DP019</t>
  </si>
  <si>
    <t>ใกล้ เจ.เจ. มอลล์, ก่อนถึงตลาดนัดสวนจตุจักร</t>
  </si>
  <si>
    <t>กำแพงเพชร 2</t>
  </si>
  <si>
    <t>จตุจักร</t>
  </si>
  <si>
    <t>P 1088/1</t>
  </si>
  <si>
    <t>DP020</t>
  </si>
  <si>
    <t>หน้าศูนย์การผลิตอะไหล่ซ่อมบำรุง ฝ่ายการช่างโยธา​(การรถไฟ) เลยปั้มน้ำมัน ปตท.150 เมตร</t>
  </si>
  <si>
    <t>Extra 1</t>
  </si>
  <si>
    <t>P 1089/2</t>
  </si>
  <si>
    <t>DP343</t>
  </si>
  <si>
    <t>หน้าปั๊มน้ำมันบางจาก เยื้องห้างโลตัส (Inbound)</t>
  </si>
  <si>
    <t>P 1095/2</t>
  </si>
  <si>
    <t>DP1013</t>
  </si>
  <si>
    <t>ตรงข้ามสมาคมกีฬาแบตมินตันแห่งประเทศไทย (ก่อนถึงซอยสนามคลี)</t>
  </si>
  <si>
    <t>P 1097/1</t>
  </si>
  <si>
    <t>DP128</t>
  </si>
  <si>
    <t>หน้าโรงพยาบาลคามิลเลียน ทองหล่อ ซ.25</t>
  </si>
  <si>
    <t>P 1097/2</t>
  </si>
  <si>
    <t>DP129</t>
  </si>
  <si>
    <t>ร้าน SAZANKA ทองหล่อ</t>
  </si>
  <si>
    <t>P 1099/1</t>
  </si>
  <si>
    <t>DP1014</t>
  </si>
  <si>
    <t>หน้าอาคารออซีซั่นเพลส</t>
  </si>
  <si>
    <t>Mini 2</t>
  </si>
  <si>
    <t>P 1100/1</t>
  </si>
  <si>
    <t>DP116</t>
  </si>
  <si>
    <t>หน้าโรงแรม  Anya Nana @ Sukhumvit Bangkok  (ซอยสุขุมวิท 3)</t>
  </si>
  <si>
    <t>สุขุมวิท 3</t>
  </si>
  <si>
    <t>P 1103/1</t>
  </si>
  <si>
    <t>DP1077</t>
  </si>
  <si>
    <t>หน้าห้าง Big C ดาวคะนอง</t>
  </si>
  <si>
    <t>สมเด็จพระเจ้าตากสิน</t>
  </si>
  <si>
    <t>P 1107/2</t>
  </si>
  <si>
    <t>DP964</t>
  </si>
  <si>
    <t>ตรงข้าม Food Land ก่อนถึงลาดพร้าวซอย118 (มุ่งหน้าห้าแยกลาดพร้าว)</t>
  </si>
  <si>
    <t>P 1108/2</t>
  </si>
  <si>
    <t>DP965</t>
  </si>
  <si>
    <t>หน้าโรงเรียนบางกอกศึกษา (ซ.ลาดพร้าว 112, Inbound)</t>
  </si>
  <si>
    <t>P 1110/2</t>
  </si>
  <si>
    <t>DP1032</t>
  </si>
  <si>
    <t>หน้าห้าง Paradise Park ศรีนครินทร์ จุดที่ 3 (มุ่งหน้าบางนา)</t>
  </si>
  <si>
    <t>ศรีนครินทร์</t>
  </si>
  <si>
    <t>ประเวศ</t>
  </si>
  <si>
    <t>ลาดกระบัง</t>
  </si>
  <si>
    <t>P 1112/2</t>
  </si>
  <si>
    <t>DP428</t>
  </si>
  <si>
    <t>เยื้องทางเข้าวัดคลองภูมิ (เลยพระราม 3 ซ. 57, Inbound)</t>
  </si>
  <si>
    <t>P 1114/1</t>
  </si>
  <si>
    <t>DP144</t>
  </si>
  <si>
    <t>ข้างอาคาร  L.P.N Tower (แยกรัชดา-นางลิ้นจี่)</t>
  </si>
  <si>
    <t>นางลิ้นจี่</t>
  </si>
  <si>
    <t>พ่วงCookies P 1446/2</t>
  </si>
  <si>
    <t>P 1114/2</t>
  </si>
  <si>
    <t>DP666</t>
  </si>
  <si>
    <t>ปากซอยพัฒนาการ18 (มาจากแยกพัฒนาการมุ่งหน้าแยกคลองตัน)</t>
  </si>
  <si>
    <t>P 1118/1</t>
  </si>
  <si>
    <t>DP021</t>
  </si>
  <si>
    <t>หน้าปั้ม​น้ำมัน ปตท.ถนนกำแพงเพชร 2</t>
  </si>
  <si>
    <t>P 1119/1</t>
  </si>
  <si>
    <t>DP967</t>
  </si>
  <si>
    <t xml:space="preserve">หน้าปั๊ม Shell ก่อนถึง Big C ลาดพร้าว </t>
  </si>
  <si>
    <t>P 1124/2</t>
  </si>
  <si>
    <t>DP799</t>
  </si>
  <si>
    <t>หน้าศาลแพ่ง (ทางเข้าประตู 6) ตรงข้ามกรมส่งเสริมการค้าระหว่างประเทศ</t>
  </si>
  <si>
    <t>D</t>
  </si>
  <si>
    <t>P 1127/1</t>
  </si>
  <si>
    <t>DP1148</t>
  </si>
  <si>
    <t>ก่อนถึง BTS สถานีทองหล่อ เยื้องปากซอยสุขุมวิท 55</t>
  </si>
  <si>
    <t>สุขุมวิท</t>
  </si>
  <si>
    <t>P 1129/1</t>
  </si>
  <si>
    <t>DP533</t>
  </si>
  <si>
    <t>หน้ากรมโยธาธิการและผังเมือง กระทรวงมหาดไทย (ถนนพระราม 9)</t>
  </si>
  <si>
    <t>P 1129/2</t>
  </si>
  <si>
    <t>DP534</t>
  </si>
  <si>
    <t>หน้าการรถไฟฟ้าขนส่งมวลชนแห่งประเทศไทย (อาคาร 3)</t>
  </si>
  <si>
    <t>P 1135/2</t>
  </si>
  <si>
    <t>DP667</t>
  </si>
  <si>
    <t>หน้าสถานธนานุเคราะห์สาขา29 (เลยซอยพัฒนาการ 40 มาจากแยกพัฒนาการมุ่งหน้าแยกคลองตัน)</t>
  </si>
  <si>
    <t>P 1136/1</t>
  </si>
  <si>
    <t>DP730</t>
  </si>
  <si>
    <t>หน้าปั้ม Esso ก่อนถึงทางเข้า RCA (มาจากแยกอโศก-เพชร มุ่งหน้าแยกคลองตัน)</t>
  </si>
  <si>
    <t>P 1136/2</t>
  </si>
  <si>
    <t>DP176</t>
  </si>
  <si>
    <t>หน้าโรงพยาบาลจักษุรัตนิน (มาจากแยกอโศก-เพชรมุ่งหน้าแยกอโศก-สุขุมวิท)</t>
  </si>
  <si>
    <t>P 1140/2</t>
  </si>
  <si>
    <t>DP048</t>
  </si>
  <si>
    <t>หน้าแฟลต 5 ดินแดง ตรงข้ามสถาบันราชานุกูล มุ่งหน้า อนุเสาวรีชัย</t>
  </si>
  <si>
    <t>P 1143/2</t>
  </si>
  <si>
    <t>DP801</t>
  </si>
  <si>
    <t>หน้าอาคารแผนกรักษาสายส่งใต้ดิน การไฟฟ้านครหลวง (มุ่งหน้าคลองเตย)</t>
  </si>
  <si>
    <t>P 1145/2</t>
  </si>
  <si>
    <t>DP802</t>
  </si>
  <si>
    <t>The Lake รัชดาฯ (ตรงข้ามบึงยาสูบ), มาจากซ.สุขุมวิท 16 มุ่งหน้าแยกพระราม 4 คลองเตย</t>
  </si>
  <si>
    <t>P 1146/1</t>
  </si>
  <si>
    <t>DP803</t>
  </si>
  <si>
    <t>หน้าสวนสาธารณะเบญจกิตติ (บึงยาสูบ, Outbound)</t>
  </si>
  <si>
    <t>P 1147/1</t>
  </si>
  <si>
    <t>DP912</t>
  </si>
  <si>
    <t>หน้าปั๊มน้ำมัน Caltex (เยื้องซอยราชปรารภ 16)</t>
  </si>
  <si>
    <t>ราชปรารภ</t>
  </si>
  <si>
    <t>P 1149/1</t>
  </si>
  <si>
    <t>DP954</t>
  </si>
  <si>
    <t>ก่อนแยกกรุงเทพกรีฑา-ถ.ศรีนครินทร์, หน้าบริษัทไทยเพรสซิเดนท์ฟูดส์ (มหาชน)</t>
  </si>
  <si>
    <t>รามคำแหง 24</t>
  </si>
  <si>
    <t>P 1149/2</t>
  </si>
  <si>
    <t>DP899</t>
  </si>
  <si>
    <t>ตรงข้ามคณะแพทย์ศาสตร์ จุฬาฯ</t>
  </si>
  <si>
    <t>พ่วงศาลา DS054</t>
  </si>
  <si>
    <t>P 1152/1</t>
  </si>
  <si>
    <t>DP537</t>
  </si>
  <si>
    <t>ตรงข้ามโชว์รูมสุธายนต์ (ก่อนถึงพระราม 9 ซ. 53, Outbound)</t>
  </si>
  <si>
    <t>P 1155/2</t>
  </si>
  <si>
    <t>DP931</t>
  </si>
  <si>
    <t>แยกเทคโนบางกะปิ, มาจากซ.รามคำแหง 68 (เลยคลินิกแพทย์น้อมเกล้าประมาณ 20 เมตร)</t>
  </si>
  <si>
    <t>P 1156/2</t>
  </si>
  <si>
    <t>DP429</t>
  </si>
  <si>
    <t xml:space="preserve">ก่อนถึงบริษัท เอส เค เอฟ (ประเทศไทย) จำกัด </t>
  </si>
  <si>
    <t>P 1159/1</t>
  </si>
  <si>
    <t>DP230</t>
  </si>
  <si>
    <t>ตรงข้ามอาคาร lntergue (ข้างเสาไฟฟ้าเบอร์100)</t>
  </si>
  <si>
    <t>สุขุมวิท 63</t>
  </si>
  <si>
    <t>มิเตอร์ Phone booth</t>
  </si>
  <si>
    <t>พ่วงมิเตอร์ Phone booth</t>
  </si>
  <si>
    <t>P 1159/2</t>
  </si>
  <si>
    <t>DP346</t>
  </si>
  <si>
    <t>ปากซอยถนนนวลจันทร์ มุ่งหน้าพระราม 9</t>
  </si>
  <si>
    <t>บึงกุ่ม</t>
  </si>
  <si>
    <t>P 1160/2</t>
  </si>
  <si>
    <t>DP136</t>
  </si>
  <si>
    <t>หน้าคอนโด C  ลงสะพานข้ามแยก เอกมัยรามอินทรา</t>
  </si>
  <si>
    <t>P 1161/1</t>
  </si>
  <si>
    <t>DP668</t>
  </si>
  <si>
    <t>หน้าไอคอนโดพัฒนาการ</t>
  </si>
  <si>
    <t>P 1162/1</t>
  </si>
  <si>
    <t>DP287</t>
  </si>
  <si>
    <t>แยกมักกะสัน (ถ.นิคมมักกะสัน-ราชปรารภ)</t>
  </si>
  <si>
    <t>นิคมมักกะสัน</t>
  </si>
  <si>
    <t>P 1162/2</t>
  </si>
  <si>
    <t>DP462</t>
  </si>
  <si>
    <t>ตรงข้ามปั้มน้ำมัน ป.ต.ท. (มุ่งหน้าแยกพระโขนง)</t>
  </si>
  <si>
    <t>P 1163/2</t>
  </si>
  <si>
    <t>DP179</t>
  </si>
  <si>
    <t>หน้าสถานีรถไฟฟ้าใต้ดิน MRT สถานีเพชรบุรีประตู 1(ก่อนถึงแยกอโศก-เพชรมาจากแยกพระราม9มุ่งหน้าแยกอโศกเพชร)</t>
  </si>
  <si>
    <t>P 1164/1</t>
  </si>
  <si>
    <t>DP180</t>
  </si>
  <si>
    <t>หน้าสถานีรถไฟฟ้าใต้ดิน(MRT) สถานีเพชรบุรีประตู 3 (ก่อนข้ามทางรถไฟมาจากแยกอโศก-เพชรมุ่งหน้าแยกพระราม 9)</t>
  </si>
  <si>
    <t>P 1164/2</t>
  </si>
  <si>
    <t>DP198</t>
  </si>
  <si>
    <t>ตรงข้ามซอยอ่อนนุช 26</t>
  </si>
  <si>
    <t>อ่อนนุช</t>
  </si>
  <si>
    <t>P 1166/1</t>
  </si>
  <si>
    <t>DP969</t>
  </si>
  <si>
    <t>หน้า Lotus สาขาบางกะปิ</t>
  </si>
  <si>
    <t>P 1168/2</t>
  </si>
  <si>
    <t>DP808</t>
  </si>
  <si>
    <t xml:space="preserve">หน้าสวนเบญจกิติ ตรงข้ามอาคารแผนกรักษาสายส่งใต้ดิน (การไฟฟ้านครหลวง)
</t>
  </si>
  <si>
    <t>P 1169/1</t>
  </si>
  <si>
    <t>DP539</t>
  </si>
  <si>
    <t>อาคารวรสมบัติ, ทางไปถึงแยก อสมท. (B)</t>
  </si>
  <si>
    <t>P 1170/1</t>
  </si>
  <si>
    <t>DP1035</t>
  </si>
  <si>
    <t>หน้าบ.กรีนสปอร์ต</t>
  </si>
  <si>
    <t>P 1172/1</t>
  </si>
  <si>
    <t>DP1037</t>
  </si>
  <si>
    <t>หน้าห้าง  seacon square ศรีนครินทร์ จุดที่ 1 (มุ่งหน้าบางนา)</t>
  </si>
  <si>
    <t>P 1172/2</t>
  </si>
  <si>
    <t>DP809</t>
  </si>
  <si>
    <t>P 1176/1</t>
  </si>
  <si>
    <t>DP182</t>
  </si>
  <si>
    <t>อาคารซีมิค (ตรงข้าม ม.ศรีนครินทร์วิโรฒ)</t>
  </si>
  <si>
    <t>P 1177/1</t>
  </si>
  <si>
    <t>DP183</t>
  </si>
  <si>
    <t>หน้าอาคาร MIDTOWER ASOKE ตรงข้ามตึก BB Building อโศก</t>
  </si>
  <si>
    <t>P 1178/2</t>
  </si>
  <si>
    <t>DP731</t>
  </si>
  <si>
    <t>หน้าปั๊มน้ำมัน Shell ก่อนขึ้นสะพานข้ามคลองแสนแสบ (ทางมาจากฟู้ดแลนด์, Outbound)</t>
  </si>
  <si>
    <t>P 1180/2</t>
  </si>
  <si>
    <t>DP970</t>
  </si>
  <si>
    <t>หน้าอาคารจอดรถสถานีรถไฟฟ้าใต้ดินลาดพร้าว (มาจากซ.ลาดพร้าว 21, ก่อนถึงแยกรัชดา-ลาดพร้าว) //หน้าศูนย์ ISUZA</t>
  </si>
  <si>
    <t>P 1183/2</t>
  </si>
  <si>
    <t>DP813</t>
  </si>
  <si>
    <t>หน้า Cyber World</t>
  </si>
  <si>
    <t>P 1186/1</t>
  </si>
  <si>
    <t>DP814</t>
  </si>
  <si>
    <t>หน้าอาคารไซเบอร์เวิลด์ ทาวเวอร์   CYBERWORLD TOWER ( CW TOWER)</t>
  </si>
  <si>
    <t>พ่วงCookies P1183/2</t>
  </si>
  <si>
    <t>P 1186/2</t>
  </si>
  <si>
    <t>DP815</t>
  </si>
  <si>
    <t>หน้า Maxvalue  รัชดาซอย17 ตรงข้ามตึกเมืองไทยประกันชีวิต</t>
  </si>
  <si>
    <t>P 1190/2</t>
  </si>
  <si>
    <t>DP933</t>
  </si>
  <si>
    <t>หน้าบริษัท แอมเวย์ (ประเทศไทย) จำกัด, มาจากซ.รามคำแหง 107 (ก่อนถึงแยกเทคโนบางกะปิ, Outbound)</t>
  </si>
  <si>
    <t>P 1192/2</t>
  </si>
  <si>
    <t>DP463</t>
  </si>
  <si>
    <t>ตรงข้ามสถานีรถไฟฟ้าใต้ดิน ( MRT สถานีลุมพินี ประตู 1)</t>
  </si>
  <si>
    <t>P 1193/1</t>
  </si>
  <si>
    <t>DP1017</t>
  </si>
  <si>
    <t xml:space="preserve"> มาจากแยกสารสินมุ่งหน้าถนนพระราม 1 (ฝั่งตรงข้าม ซอยร่วมฤดี)</t>
  </si>
  <si>
    <t>P 1195/1</t>
  </si>
  <si>
    <t>DP137</t>
  </si>
  <si>
    <t>หน้าปั๊มน้ำมัน Shell, ก่อนถึงอาคารขายสุขภัณฑ์อเมริกันสแตนดาร์ท</t>
  </si>
  <si>
    <t>P 1198/1</t>
  </si>
  <si>
    <t>DP971</t>
  </si>
  <si>
    <t>หน้าธ.ทหารไทย, ก่อนถึงซ.ลาดพร้าว 122</t>
  </si>
  <si>
    <t>P 1201/2</t>
  </si>
  <si>
    <t>DP819</t>
  </si>
  <si>
    <t>หน้าศูนย์ทันตกรรมบางกอก เดนทัล เซ็นเตอร์ ตรงข้ามโรงเรียนเตรียมอุดมศึกษาพัฒนาการ รัชดา</t>
  </si>
  <si>
    <t>พ่วงCookies P 1638/2</t>
  </si>
  <si>
    <t>P 1202/2</t>
  </si>
  <si>
    <t>DP282</t>
  </si>
  <si>
    <t>หน้าโรงเเรม เซ็นเตอร์ พอยต์ ก่อนถึงซอยหลังสวน 2</t>
  </si>
  <si>
    <t>หลังสวน</t>
  </si>
  <si>
    <t>P 1206/1</t>
  </si>
  <si>
    <t>DP064</t>
  </si>
  <si>
    <t>หน้าสยามนิรมิตร</t>
  </si>
  <si>
    <t>เทียมร่วมมิตร</t>
  </si>
  <si>
    <t>P 1206/2</t>
  </si>
  <si>
    <t>DP934</t>
  </si>
  <si>
    <t>หน้าปั๊มปตท. เลยปากซอยรามคำแหง 76 (ขาเข้า)</t>
  </si>
  <si>
    <t>P 1209/1</t>
  </si>
  <si>
    <t>DP184</t>
  </si>
  <si>
    <t>หน้าอาคารคิว เฮ้าส์ อโศก (มากจากแยกอโศก มุ่งหน้าแยกอโศก-สุขุมวิท)</t>
  </si>
  <si>
    <t>P 1210/2</t>
  </si>
  <si>
    <t>DP710</t>
  </si>
  <si>
    <t xml:space="preserve">หน้าคอนโด Q อโศก  ใกล้ Metro Mall สถานีรถไฟฟ้าใต้ดินเพชรบุรี (ประตู 2) </t>
  </si>
  <si>
    <t>พ่วงCookies P1278/1</t>
  </si>
  <si>
    <t>P 1214/1</t>
  </si>
  <si>
    <t>DP921</t>
  </si>
  <si>
    <t>มาจากแยกบางพลัดประมาณ 50 เมตร (มุ่งหน้าสะพานซังฮี้)</t>
  </si>
  <si>
    <t>P 1214/2</t>
  </si>
  <si>
    <t>DP1125</t>
  </si>
  <si>
    <t>เยื้องห้างตั้งฮั่วเส็ง</t>
  </si>
  <si>
    <t>สิรินธร</t>
  </si>
  <si>
    <t>P 1215/1</t>
  </si>
  <si>
    <t>DP1151</t>
  </si>
  <si>
    <t>หน้าศูนย์เลกซัส สุขุมวิท (ระหว่างซอยสุขุมวิท 20-18)</t>
  </si>
  <si>
    <t>P 1221/1</t>
  </si>
  <si>
    <t>DP168</t>
  </si>
  <si>
    <t>ใกล้แยกทางลัดถนนวังเดิม เยื้องซอยวังเดิม 4</t>
  </si>
  <si>
    <t>อรุณอัมรินทร์</t>
  </si>
  <si>
    <t>บางกอกใหญ่</t>
  </si>
  <si>
    <t>P 1223/2</t>
  </si>
  <si>
    <t>DP169</t>
  </si>
  <si>
    <t>หน้าโรงพยาบาลศิริราช (ใกล้สี่แยกศิริราช)</t>
  </si>
  <si>
    <t>บางกอกน้อย</t>
  </si>
  <si>
    <t>P 1227/1</t>
  </si>
  <si>
    <t>DP023</t>
  </si>
  <si>
    <t>สวนสมเด็จพระนางเจ้าสิริกิติ์</t>
  </si>
  <si>
    <t>P 1228/2</t>
  </si>
  <si>
    <t>DP1018</t>
  </si>
  <si>
    <t>หน้าโรงแรมพลาซ่า แอทธินี่</t>
  </si>
  <si>
    <t>P 1229/1</t>
  </si>
  <si>
    <t>DP348</t>
  </si>
  <si>
    <t xml:space="preserve">หน้า CDC จุดที่ 1 
อยู่ถัดจากซอยถนนโยธินพัฒนา 200 เมตร
(มุ่งหน้า ถนนลาดพร้าว)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</si>
  <si>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13.806318
</t>
  </si>
  <si>
    <t>พ่วง Cookies P1089/2</t>
  </si>
  <si>
    <t>_</t>
  </si>
  <si>
    <t>P 1229/2</t>
  </si>
  <si>
    <t>DP222</t>
  </si>
  <si>
    <t>ก่อนถึงอิสรภาพซ.28</t>
  </si>
  <si>
    <t>อิสรภาพ</t>
  </si>
  <si>
    <t>P 1230/1</t>
  </si>
  <si>
    <t>DP049</t>
  </si>
  <si>
    <t>หน้าโรงแรมไฮ โฮเต็ล (ก่อนถึงแยกประชาสงเคราะห์)</t>
  </si>
  <si>
    <t>P 1231/2</t>
  </si>
  <si>
    <t>DP160</t>
  </si>
  <si>
    <t>หน้า STARBUCKS Coffee หลังสวน (ตรงข้ามอาคารไทยประกันภัย)</t>
  </si>
  <si>
    <t>P 1232/1</t>
  </si>
  <si>
    <t>DP138</t>
  </si>
  <si>
    <t>หน้าธ.ไทยพาณิชย์ (ก่อนถึงซ.เอกมัย 15), ทางไปถ.เพชรบุรี</t>
  </si>
  <si>
    <t>P 1233/2</t>
  </si>
  <si>
    <t>DP1040</t>
  </si>
  <si>
    <t>หน้าร้าน STOP SHOP</t>
  </si>
  <si>
    <t>P 1235/1</t>
  </si>
  <si>
    <t>DP733</t>
  </si>
  <si>
    <t>หน้าโคริยะปุฟเฟ่ต์ เชิงทางลงสะพานข้ามแยกอโศก-เพชร (มาจากแยกอโศก-เพชรมุ่งหน้าแยกคลองตัน)</t>
  </si>
  <si>
    <t>P 1238/1</t>
  </si>
  <si>
    <t>DP235</t>
  </si>
  <si>
    <t>หน้าสยามสแควร์ ตรงข้ามมาบุญครอง(มุ่งหน้าแยกสามย่าน)</t>
  </si>
  <si>
    <t>P 1238/2</t>
  </si>
  <si>
    <t>DP1152</t>
  </si>
  <si>
    <t>สถานีขนส่งผู้โดยสารกรุงเทพฯ(เอกมัย) ตรงข้าม สุขุมวิท 63</t>
  </si>
  <si>
    <t>P 1240/1</t>
  </si>
  <si>
    <t>DP823</t>
  </si>
  <si>
    <t>ก่อนถึงสน.พหลโยธิน 500 เมตร (ฝั่งตรงข้ามปั๊มเซลล์)</t>
  </si>
  <si>
    <t>P 1245/2</t>
  </si>
  <si>
    <t>DP975</t>
  </si>
  <si>
    <t>หน้าสวนลุมไนท์บาซาร์ รัชดาภิเษก มุ่งหน้าห้าแยกลาดพร้าว</t>
  </si>
  <si>
    <t>P 1246/1</t>
  </si>
  <si>
    <t>DP976</t>
  </si>
  <si>
    <t>ระหว่างซอยลาดพร้าว 64-62 เยื้องศึกษาภัณท์ มุ่งหน้าห้าแยกลาดพร้าว</t>
  </si>
  <si>
    <t>P 1248/2</t>
  </si>
  <si>
    <t>DP1041</t>
  </si>
  <si>
    <t>หน้าศูนย์ Mercedes-Benz สวนหลวง ออโต้เฮาส์ ระหว่างซอยศรีนครินทร์ 30-28 (ก่อนถึงแยกอ่อนนุช มุ่งหน้าบางกะปิ)</t>
  </si>
  <si>
    <t>P 1249/1</t>
  </si>
  <si>
    <t>DP161</t>
  </si>
  <si>
    <t>หน้า Travex Citycenter</t>
  </si>
  <si>
    <t>P 1251/2</t>
  </si>
  <si>
    <t>DP1019</t>
  </si>
  <si>
    <t>ริมรั้วสวนลุมพินี</t>
  </si>
  <si>
    <t>P 1253/1</t>
  </si>
  <si>
    <t>DP321</t>
  </si>
  <si>
    <t>ตรงข้ามธนาคารกสิกรไทย, ใกล้เดอะลอฟท์พลาซ่า</t>
  </si>
  <si>
    <t>ประชาอุทิศ</t>
  </si>
  <si>
    <t>P 1256/1</t>
  </si>
  <si>
    <t>DP1042</t>
  </si>
  <si>
    <t>ปากซอยศรีนครินทร์ 24 (มาจากแยกอ่อนนุช มุ่งหน้าแยกพัฒนาการ)</t>
  </si>
  <si>
    <t>P 1256/2</t>
  </si>
  <si>
    <t>DP1043</t>
  </si>
  <si>
    <t>ก่อนถึงแยกลำสาลี ลงสะพานข้ามคลองแสนแสบ</t>
  </si>
  <si>
    <t>P 1257/1</t>
  </si>
  <si>
    <t>DP1044</t>
  </si>
  <si>
    <t>หน้าบริษัท อินโนเทค ลาบอราทอรี่ เซอร์วิส จำกัด เลยซอยศรีนครินทร์ 23 (มาจากแยกพัฒนาการ มุ่งหน้าบางนา)</t>
  </si>
  <si>
    <t>P 1258/1</t>
  </si>
  <si>
    <t>DP669</t>
  </si>
  <si>
    <t>หน้าโรงแรมบางกอกรามา ระหว่างซอยพัฒนาการซอย 50-48  (มาจากแยกพัฒนาการมุ่งหน้าแยกคลองตัน)</t>
  </si>
  <si>
    <t>P 1260/1</t>
  </si>
  <si>
    <t>DP734</t>
  </si>
  <si>
    <t>หน้าโรงแรมแลงคาสเตอร์ กรุงเทพ (แยกอโศก-เพชรมุ่งหน้าแยกคลองตันก่อนทางเลี้ยวไปแยกมารยาทดี)</t>
  </si>
  <si>
    <t>พ่วงศาลา DS165</t>
  </si>
  <si>
    <t>P 1262/1</t>
  </si>
  <si>
    <t>DP547</t>
  </si>
  <si>
    <t>ก่อนถึงสะพานข้ามแยกพระราม 9 หน้าโรงพยาบาลปิยะเวช</t>
  </si>
  <si>
    <t>P 1263/2</t>
  </si>
  <si>
    <t>DP468</t>
  </si>
  <si>
    <t>หน้าโชว์รูม 1286 Millennium Auto Connect (BMW) ก่อนถึงปั๊มน้ำมัน Esso</t>
  </si>
  <si>
    <t>P 1264/1</t>
  </si>
  <si>
    <t>DP764</t>
  </si>
  <si>
    <t>ตรงข้าม มไหสวรรย์ ซ.6</t>
  </si>
  <si>
    <t>มไหสวรรค์</t>
  </si>
  <si>
    <t>บางคอแหลม</t>
  </si>
  <si>
    <t>P 1266/2</t>
  </si>
  <si>
    <t>DP430</t>
  </si>
  <si>
    <t xml:space="preserve">หน้าปั้มน้ำมัน The sun gas ใกล้พระรามที่ 3 ซอย 3 (มุ่งหน้าคลองเตย)
</t>
  </si>
  <si>
    <t>P 1269/1</t>
  </si>
  <si>
    <t>DP432</t>
  </si>
  <si>
    <t>หน้าธนาคารไทยพาณิชย์ (สาขาบางโคล่) ใกล้พระรามที่ 3 ซอย 23</t>
  </si>
  <si>
    <t>P 1270/2</t>
  </si>
  <si>
    <t>DP433</t>
  </si>
  <si>
    <t>หน้าศูนย์ KISSA (คิซ่า) ใกล้บริษัทสาธุเจริญยนต์ พระราม 3 จำกัด (เลยซอยพระราม 3 ที่ 6)</t>
  </si>
  <si>
    <t>P 1273/2</t>
  </si>
  <si>
    <t>DP1008</t>
  </si>
  <si>
    <t>เชิงสะพานวงค์สว่าง (ใกล้ Big C วงค์สว่าง) ก่อนถึงวงค์สว่าง ซ.2 ขาออก</t>
  </si>
  <si>
    <t>วงศ์สว่าง</t>
  </si>
  <si>
    <t>บางซื่อ</t>
  </si>
  <si>
    <t>บางใหญ่</t>
  </si>
  <si>
    <t>P 1274/1</t>
  </si>
  <si>
    <t>DP414</t>
  </si>
  <si>
    <t>หน้าห้างเทสโก้ โลตัส (สาขาพระราม 1)</t>
  </si>
  <si>
    <t>พระราม 1</t>
  </si>
  <si>
    <t>P 1277/2</t>
  </si>
  <si>
    <t>DP434</t>
  </si>
  <si>
    <t>เลยพระราม 3 ซ. 57 ประมาณ 50 เมตร</t>
  </si>
  <si>
    <t>P 1278/1</t>
  </si>
  <si>
    <t>DP185</t>
  </si>
  <si>
    <t>แยกอโศก-เพชรบุรีตัดใหม่</t>
  </si>
  <si>
    <t>P 1284/1</t>
  </si>
  <si>
    <t>DP1088</t>
  </si>
  <si>
    <t>หน้าสาทรซอย 3 - ถนนสวนพลู</t>
  </si>
  <si>
    <t>สาทรใต้</t>
  </si>
  <si>
    <t>สาทร</t>
  </si>
  <si>
    <t>P 1292/1</t>
  </si>
  <si>
    <t>DP1090</t>
  </si>
  <si>
    <t>มาจากซ.สาทร 7 (ก่อนถึงสาธรซิตี้ ทาวเวอร์)</t>
  </si>
  <si>
    <t>P 1293/1</t>
  </si>
  <si>
    <t>DP304</t>
  </si>
  <si>
    <t>หน้าปากซอยประชาชื่น 21</t>
  </si>
  <si>
    <t>ประชาชื่น</t>
  </si>
  <si>
    <t>Mini 4</t>
  </si>
  <si>
    <t>P 1294/1</t>
  </si>
  <si>
    <t>DP305</t>
  </si>
  <si>
    <t>หน้าธนาคารกสิกรไทย สาขาถนนประชาชื่น ก่อนถึงประชาชื่น 23</t>
  </si>
  <si>
    <t>P 1298/1</t>
  </si>
  <si>
    <t>DP1079</t>
  </si>
  <si>
    <t>เลยซอยสวรรคโลก 9 ก่อนถึงแยกไฟแดงมาจากแยกยมราชมุ่งหน้าแยกวังสวนจิตลดา</t>
  </si>
  <si>
    <t>สวรรคโลก</t>
  </si>
  <si>
    <t>P 1304/1</t>
  </si>
  <si>
    <t>DP828</t>
  </si>
  <si>
    <t>อยู่ระหว่างซอยรัชดาภิเษก 64 และซอยรัชดาภิเษก 62 ก่อนถึงแยกประชานุกูล (ขาเข้า)</t>
  </si>
  <si>
    <t>P 1304/2</t>
  </si>
  <si>
    <t>DP890</t>
  </si>
  <si>
    <t>แยกรัชดา - นราธิวาส มุ่งหน้าห้างโลตัส</t>
  </si>
  <si>
    <t>รัชดาภิเษก-สาธุประดิษฐ์</t>
  </si>
  <si>
    <t>P 1306/1</t>
  </si>
  <si>
    <t>DP435</t>
  </si>
  <si>
    <t>ใกล้บริษัท กรุงเทพเหล็กกล้า จำกัด (ป้ายก่อนถึงปั๊ม Caltex พระรามที่ 3 ซอย 61)</t>
  </si>
  <si>
    <t>P 1308/1</t>
  </si>
  <si>
    <t>DP071</t>
  </si>
  <si>
    <t>หน้าโรงเบียร์เยอรมันตะวันแดง (จุดที่ 1)</t>
  </si>
  <si>
    <t>นราธิวาสราชนครินทร์</t>
  </si>
  <si>
    <t>พ่วงCookies P1448/2</t>
  </si>
  <si>
    <t>P 1311/1</t>
  </si>
  <si>
    <t>DP186</t>
  </si>
  <si>
    <t>หน้ากรุงไทยคาร์เร้นท์ ตรงข้ามคอนโด RHYTHM ASOKE (มาจากแยกพระราม9มุ่งหน้าแยกอโศก-เพชร)</t>
  </si>
  <si>
    <t>P 1314/1</t>
  </si>
  <si>
    <t>DP1020</t>
  </si>
  <si>
    <t>ทางเข้าสวนลุมประตู 1 ทางเข้าโรงเรียนสวนลุมพินี (ก่อนถึงแยกสารสิน-ร่วมฤดี)</t>
  </si>
  <si>
    <t>พ่วงCookies P 1251/2</t>
  </si>
  <si>
    <t>P 1315/2</t>
  </si>
  <si>
    <t>DP051</t>
  </si>
  <si>
    <t>ก่อนถึงธนาคารกรุงเทพ (สาขาถนนดินแดง)</t>
  </si>
  <si>
    <t>P 1319/2</t>
  </si>
  <si>
    <t>DP1156</t>
  </si>
  <si>
    <t>หน้าธนาคารทหารไทย ปาก ซ.สุขุมวิท 28</t>
  </si>
  <si>
    <t>P 1320/1</t>
  </si>
  <si>
    <t>DP712</t>
  </si>
  <si>
    <t>หน้าอาคาร Singha complex (เชิงทางขึ้นสะพานข้ามแยกอโศก-เพชรก่อนถึงแยกอโศก-เพชรมุ่งหน้าแยกอุรุพงษ์)</t>
  </si>
  <si>
    <t>P 1322/1</t>
  </si>
  <si>
    <t>DP671</t>
  </si>
  <si>
    <t>ระหว่างซอยพัฒนาการซอย41-43 หน้าอาคารปรีชา กรุ๊ป จำกัด (มาจากแยกคลองตันมุ่งหน้าแยกพัฒนาการ)</t>
  </si>
  <si>
    <t>P 1324/1</t>
  </si>
  <si>
    <t>DP682</t>
  </si>
  <si>
    <t>หน้าบริษัทผลิตภัณฑ์และวัสดุก่อสร้าง จำกัด (เลยหน้ามหาวิทยาลัยเทคโนโลยีพระจอมเกล้าพระนครเหนือ )</t>
  </si>
  <si>
    <t>พิบูลย์สงคราม</t>
  </si>
  <si>
    <t>P 1325/1</t>
  </si>
  <si>
    <t>DP683</t>
  </si>
  <si>
    <t>ฝั่งตรงข้ามมหาวิทยาลัยเทคโนโลยีพระจอมเกล้าพระนครเหนือ</t>
  </si>
  <si>
    <t>พ่วงCookies P1325/2</t>
  </si>
  <si>
    <t>P 1325/2</t>
  </si>
  <si>
    <t>DP684</t>
  </si>
  <si>
    <t>หน้ามหาวิทยาลัยเทคโนโลยีราชมงคลพระนคร</t>
  </si>
  <si>
    <t>P 1327/2</t>
  </si>
  <si>
    <t>DP469</t>
  </si>
  <si>
    <t>หน้าสถานีรถไฟฟ้าใต้ดิน( MRT สถานีสีลม ประตู 1) ฝั่งหน้าสวนลุมพินี</t>
  </si>
  <si>
    <t>พ่วงCookies P 1650/2</t>
  </si>
  <si>
    <t>P 1329/1</t>
  </si>
  <si>
    <t>DP1007</t>
  </si>
  <si>
    <t>ปากซอยลาดหญ้า 5 (หน้าปั้มแก๊ส)</t>
  </si>
  <si>
    <t>P 1330/1</t>
  </si>
  <si>
    <t>DP111</t>
  </si>
  <si>
    <t>หน้าปั้ม ปตท. เลยซอยนวมินมทร์ 61 (มากจากแยกแฮปปี้แลนด์มุ่งหน้ารามอินทรา)</t>
  </si>
  <si>
    <t>นวมินทร์</t>
  </si>
  <si>
    <t>P 1336/2</t>
  </si>
  <si>
    <t>DP052</t>
  </si>
  <si>
    <t>ปากซอยบุญอยู่ หน้าสำนักงานขาย THE TREE DINDAENG-RATCHAPRAROP (Pruksa)</t>
  </si>
  <si>
    <t>P 1340/2</t>
  </si>
  <si>
    <t>DP977</t>
  </si>
  <si>
    <t>หน้าห้างแม็คโครสาขาลาดพร้าว (เยื้องซ.ลาดพร้าว 115)</t>
  </si>
  <si>
    <t>P 1342/1</t>
  </si>
  <si>
    <t>DP187</t>
  </si>
  <si>
    <t>หน้าอาคารลาสโคลินาส (Las Colinas)ก่อนถึงแยกอโศก-สุขุมวิท (มาจากแยกอโศก-เพชรมุ่งหน้าแยกอโศก-สุขุมวิท)</t>
  </si>
  <si>
    <t>P 1342/2</t>
  </si>
  <si>
    <t>DP189</t>
  </si>
  <si>
    <t>หน้าอาคาร FICO ตรงข้ามอาคารสภาวิชาชีพบัญชี (มาจากแยกอโศก-เพชรมุ่งหน้าแยกอโศก-สุขุมวิท)</t>
  </si>
  <si>
    <t>P 1343/1</t>
  </si>
  <si>
    <t>DP834</t>
  </si>
  <si>
    <t>หน้าโรงแรมมาดูซิ (MADUZI) ตรงข้ามร้านอาหารใบไม้ร่าเริง (มุ่งหน้าแยกคลองเตย)</t>
  </si>
  <si>
    <t>P 1349/2</t>
  </si>
  <si>
    <t>DP763</t>
  </si>
  <si>
    <t>หน้าโรงเรียนสตรีวัดมหาพฤฒาราม (มาจากแยกหัวลำโพงมุ่งหน้าแยกสี่พระยา)</t>
  </si>
  <si>
    <t>มหาพฤฒาราม</t>
  </si>
  <si>
    <t>บางรัก</t>
  </si>
  <si>
    <t>P 1353/2</t>
  </si>
  <si>
    <t>DP035</t>
  </si>
  <si>
    <t>หน้าปั๊มน้ำมัน PT เลยซ.จันทน์ 42</t>
  </si>
  <si>
    <t>จันทน์</t>
  </si>
  <si>
    <t>P 1354/2</t>
  </si>
  <si>
    <t>DP837</t>
  </si>
  <si>
    <t>หน้าประตูทางออก อาคารแผนกรักษาสายส่งใต้ดิน การไฟฟ้านครหลวง(มุ่งหน้าศูนย์การประชุมแห่งชาติสิริกิตติ์)</t>
  </si>
  <si>
    <t>P 1355/2</t>
  </si>
  <si>
    <t>DP839</t>
  </si>
  <si>
    <t>ใกล้ ซ.รัชดาภิเษก 33</t>
  </si>
  <si>
    <t>Mini 5</t>
  </si>
  <si>
    <t>P 1359/1</t>
  </si>
  <si>
    <t>DP1049</t>
  </si>
  <si>
    <t>ปากซอยศรีนครินทร์ 38 (มาจากแยกศรีอุดม มุ่งหน้าแยกอ่อนนุช)</t>
  </si>
  <si>
    <t>P 1359/2</t>
  </si>
  <si>
    <t>DP162</t>
  </si>
  <si>
    <t>ตรงข้ามศูนย์การค้า De Portico หลังสวน</t>
  </si>
  <si>
    <t>P 1360/2</t>
  </si>
  <si>
    <t>DP1050</t>
  </si>
  <si>
    <t>หน้าห้าง Paradise Park ศรีนครินทร์ จุดที่ 4 (มุ่งหน้าบางนา)</t>
  </si>
  <si>
    <t>P 1361/2</t>
  </si>
  <si>
    <t>DP352</t>
  </si>
  <si>
    <t>เลยโกลเด้นเพลส 300 เมตร ก่อนถึงแยกประดิษฐ์มนูธรรม (Outbound)</t>
  </si>
  <si>
    <t>P 1366/2</t>
  </si>
  <si>
    <t>DP436</t>
  </si>
  <si>
    <t>หน้าร้าน Shabu Addict ก่อนถึงธนาคารกรุงศรี สนง.ใหญ่ (พระราม 3)</t>
  </si>
  <si>
    <t>B</t>
  </si>
  <si>
    <t>P 1368/2</t>
  </si>
  <si>
    <t>DP978</t>
  </si>
  <si>
    <t>หน้าปั้มเซลล์ ก่อนถึง Big C ลาดพร้าว ลาดพร้าว81</t>
  </si>
  <si>
    <t>P 1372/2</t>
  </si>
  <si>
    <t>DP131</t>
  </si>
  <si>
    <t xml:space="preserve">ตรงข้ามซอยทองหล่อ21 ใกล้ สน.ทองหล่อมุ่งหน้าสุขุมวิท
</t>
  </si>
  <si>
    <t>P 1374/1</t>
  </si>
  <si>
    <t>DP159</t>
  </si>
  <si>
    <t>หน้าโรงพยาบาลกลาง (มาจากแยกโรงพยาบาลกลางมุ่งหน้าแยกวรจักร)</t>
  </si>
  <si>
    <t>หลวง</t>
  </si>
  <si>
    <t>ป้อมปราบศัตรูพ่าย</t>
  </si>
  <si>
    <t>วัดเลียบ</t>
  </si>
  <si>
    <t>P 1376/2</t>
  </si>
  <si>
    <t>DP979</t>
  </si>
  <si>
    <t>คุรุสภา ตรงข้ามลาดพร้าว ซ. 64</t>
  </si>
  <si>
    <t>P 1378/1</t>
  </si>
  <si>
    <t>DP980</t>
  </si>
  <si>
    <t>โชว์รูมนิสสัน ลาดพร้าว ซ.103</t>
  </si>
  <si>
    <t>P 1379/2</t>
  </si>
  <si>
    <t>DP415</t>
  </si>
  <si>
    <t>มุมถนนเข้าสนามศุภชลาลัย เยื้อง Tesco Lotus พระราม 1</t>
  </si>
  <si>
    <t>P 1383/1</t>
  </si>
  <si>
    <t>DP685</t>
  </si>
  <si>
    <t>หน้ามหาวิทยาลัยเทคโนโลยีพระจอมเกล้าพระนครเหนือ (จุดที่ 1)</t>
  </si>
  <si>
    <t>P 1383/2</t>
  </si>
  <si>
    <t>DP686</t>
  </si>
  <si>
    <t>หน้ามหาวิทยาลัยเทคโนโลยีพระจอมเกล้าพระนครเหนือ (จุดที่ 2)</t>
  </si>
  <si>
    <t>พ่วงCookies P 1383/1</t>
  </si>
  <si>
    <t>P 1387/1</t>
  </si>
  <si>
    <t>DP905</t>
  </si>
  <si>
    <t xml:space="preserve">หน้าทางออก Big C ราชดำริ </t>
  </si>
  <si>
    <t>พ่วงศาลา DS047</t>
  </si>
  <si>
    <t>P 1390/2</t>
  </si>
  <si>
    <t>DP939</t>
  </si>
  <si>
    <t>มาจากรามคำแหงซอย 24  ตรงข้าม Foodland (มุ่งหน้าแยกพระราม9-รามคำแหง)</t>
  </si>
  <si>
    <t>P 1396/1</t>
  </si>
  <si>
    <t>DP166</t>
  </si>
  <si>
    <t>ปากซอยนางลิ้นจี่ 4 หน้าเดอฟอร์เรสท์แอทเย็นอากาศ (De For rest)</t>
  </si>
  <si>
    <t>P 1396/2</t>
  </si>
  <si>
    <t>DP177</t>
  </si>
  <si>
    <t>เลยแยกถนนจันทร์-ถนนนางลิ้นจี่ (เยื้องซ.เย็นอากาศ,ก่อนถึงซ.นางลิ้นจี่ 4), (ใกล้ท็อปส์ มาร์เก็ต สาขานางลิ้นจี่)</t>
  </si>
  <si>
    <t>P 1397/1</t>
  </si>
  <si>
    <t>DP471</t>
  </si>
  <si>
    <t>หน้าคอนโด Amanta lumpini</t>
  </si>
  <si>
    <t>P 1399/2</t>
  </si>
  <si>
    <t>DP245</t>
  </si>
  <si>
    <t>หน้าโรงแรมดุสิต (แยกศาลาแดง)</t>
  </si>
  <si>
    <t>P 1402/2</t>
  </si>
  <si>
    <t>DP067</t>
  </si>
  <si>
    <t>เลยกรมการปกครอง  (วังไชยา) ตรงข้ามปั้มน้ำมัน Esso มาจากแยกนางเลิ้งมุ่งหน้าแยกเทวกรรม</t>
  </si>
  <si>
    <t>นครสวรรค์</t>
  </si>
  <si>
    <t>P 1403/1</t>
  </si>
  <si>
    <t>DP716</t>
  </si>
  <si>
    <t>ทางลงสะพานข้ามแยกอโศก-เพชรบุรี เยื้องเทคโนโลยีดอนบอสโก (มาจากแยกอโศก-เพชรมุ่งหน้าแยกมิตรสัมพันธ์)</t>
  </si>
  <si>
    <t>P 1403/2</t>
  </si>
  <si>
    <t>DP891</t>
  </si>
  <si>
    <t>เลย ESTA HOME เลยทางขึ้นทางด่วนพระราม 9(ขาเข้า)</t>
  </si>
  <si>
    <t>P 1404/1</t>
  </si>
  <si>
    <t>DP982</t>
  </si>
  <si>
    <t>ทางเข้า R BAC ลาดพร้าว  107</t>
  </si>
  <si>
    <t>P 1406/2</t>
  </si>
  <si>
    <t>DP983</t>
  </si>
  <si>
    <t>หน้าปั๊มน้ำมัน Esso (ตรงข้ามลาดพร้าวซ. 5, Outbound)</t>
  </si>
  <si>
    <t>P 1407/2</t>
  </si>
  <si>
    <t>DP474</t>
  </si>
  <si>
    <t>หน้าโรงพยาบาลเทพธารินทร์</t>
  </si>
  <si>
    <t>P 1408/2</t>
  </si>
  <si>
    <t>DP140</t>
  </si>
  <si>
    <t>หน้าธนาคารทหารไทย เอกมัย ซ.17</t>
  </si>
  <si>
    <t>P 1409/2</t>
  </si>
  <si>
    <t>DP475</t>
  </si>
  <si>
    <t>ซอยแสนสุข (ตรงข้ามตึกกรีน พระราม 4)</t>
  </si>
  <si>
    <t>พ่วงCookies P 1507/1</t>
  </si>
  <si>
    <t>P 1410/1</t>
  </si>
  <si>
    <t>DP141</t>
  </si>
  <si>
    <t>ก่อนถึง ซ.เอกมัย 23 (ก่อนถึงสะพานข้ามแยกถ.เพชรบุรี)</t>
  </si>
  <si>
    <t>P 1411/2</t>
  </si>
  <si>
    <t>DP040</t>
  </si>
  <si>
    <t>หน้าห้างโรบินสันบางรัก (ก่อนถึง ซ.เจริญกรุง 46)</t>
  </si>
  <si>
    <t>เจริญกรุง</t>
  </si>
  <si>
    <t>P 1412/2</t>
  </si>
  <si>
    <t>DP1161</t>
  </si>
  <si>
    <t>หน้าธ.ไทยพาณิชย์, BTS บางจาก ใกล้วิทยาลัยเทคโนโลยีกรุงเทพ, (ก่อนถึงสุขุมวิทซอย 99)</t>
  </si>
  <si>
    <t>พระโขนง</t>
  </si>
  <si>
    <t>P 1413/2</t>
  </si>
  <si>
    <t>DP163</t>
  </si>
  <si>
    <t>ก่อนถึงแยกหลังสวนตัดถนนสารสิน ด้านข้างคอนโด Sindhorn Lumpini (สินธร ลุมพินี)</t>
  </si>
  <si>
    <t>P 1414/1</t>
  </si>
  <si>
    <t>DP190</t>
  </si>
  <si>
    <t>หน้าปั๊มน้ำมัน Caltex Shell (ใกล้อาคาร GMM แกรมมี่, ใกล้ออฟฟิศ ดีโป สาขาสุขุมวิท-อโศก)</t>
  </si>
  <si>
    <t>P 1415/1</t>
  </si>
  <si>
    <t>DP635</t>
  </si>
  <si>
    <t>ก่อนถึงทางเข้าตลาดนัดจตุจักร, เยื้องกรมการขนส่งทางบก (Outbound)</t>
  </si>
  <si>
    <t>P 1416/1</t>
  </si>
  <si>
    <t>DP941</t>
  </si>
  <si>
    <t>ข้างศูนย์ Honda ตรงข้ามซอยรามคำแหง 42 (ก่อนถึงแยกลำสาลี มุ่งหน้ามีนบุรี)</t>
  </si>
  <si>
    <t>P 1417/1</t>
  </si>
  <si>
    <t>DP548</t>
  </si>
  <si>
    <t>พระราม 9 ซ.41 (The Nine พระราม 9 มุ่งหน้าไปศรีนครินทร์, Outbound)</t>
  </si>
  <si>
    <t>P 1417/2</t>
  </si>
  <si>
    <t>DP034</t>
  </si>
  <si>
    <t>หน้าเทสโก้ โลตัส สาขาจรัญสนิทวงศ์</t>
  </si>
  <si>
    <t>จรัญสนิทวงศ์</t>
  </si>
  <si>
    <t>P 1419/2</t>
  </si>
  <si>
    <t>DP985</t>
  </si>
  <si>
    <t>หน้าปั๊มบางจาก (ซ.ลาดพร้าว 111, Outbound)</t>
  </si>
  <si>
    <t>P 1422/2</t>
  </si>
  <si>
    <t>DP848</t>
  </si>
  <si>
    <t>หน้าศูนย์ Honda บริษัทรัชดา ฮอนด้า ออโตโมบิล จำกัด (ก่อนถึงแยกห้วยขวางรัชดา)</t>
  </si>
  <si>
    <t>P 1427/2</t>
  </si>
  <si>
    <t>DP674</t>
  </si>
  <si>
    <t>เลยทางออก Max value ก่อนถึงโรงพยาบาลวิภาราม (มาจากแยกพัฒนาการมุ่งหน้าอ่อนนุช)</t>
  </si>
  <si>
    <t>P 1435/1</t>
  </si>
  <si>
    <t>DP987</t>
  </si>
  <si>
    <t>ระหว่างลาดพร้าวซอย57/1-59 มุ่งหน้าบางกะปิ</t>
  </si>
  <si>
    <t>P 1437/1</t>
  </si>
  <si>
    <t>DP357</t>
  </si>
  <si>
    <t>หน้าศูนย์ควบคุมทางพิเศษฉลองรัช มุ่งหน้าพระราม9</t>
  </si>
  <si>
    <t>P 1438/2</t>
  </si>
  <si>
    <t>DP358</t>
  </si>
  <si>
    <t>หน้า CDC จุดที่ 3 
ประมาณ 218 เมตรก่อนถึงทางลัดซอยลาดพร้าว87 
(มุ่งหน้า ถนนลาดพร้าว)</t>
  </si>
  <si>
    <t xml:space="preserve">13.804662, 
</t>
  </si>
  <si>
    <t>พ่วง Cookies P1483/2</t>
  </si>
  <si>
    <t>P 1440/2</t>
  </si>
  <si>
    <t>DP922</t>
  </si>
  <si>
    <t>หน้าโรงพยาบาลเด็ก</t>
  </si>
  <si>
    <t>P 1443/2</t>
  </si>
  <si>
    <t>DP988</t>
  </si>
  <si>
    <t>หน้าธนาคารอาคารสงเคราะห์ ก่อนถึงซอยลาดพร้าว 112 (Inbound)</t>
  </si>
  <si>
    <t>P 1445/1</t>
  </si>
  <si>
    <t>DP199</t>
  </si>
  <si>
    <t>หน้าร้านอาหารอีสานเดิม  (ตรงข้ามคลังสินค้า PFP)</t>
  </si>
  <si>
    <t>P 1446/2</t>
  </si>
  <si>
    <t>DP210</t>
  </si>
  <si>
    <t>หน้าคลังสินค้า พี เอฟ พี (PFP)  มุ่งหน้าแยกรัชดา-นางลิ้นจี่</t>
  </si>
  <si>
    <t>P 1447/2</t>
  </si>
  <si>
    <t>DP1163</t>
  </si>
  <si>
    <t>สถานีรถไฟฟ้า BTS พร้อมพงษ์ หน้าสวนเบญจสิริ (มาจากสุขุมวิท 24)</t>
  </si>
  <si>
    <t>P 1448/1</t>
  </si>
  <si>
    <t>DP074</t>
  </si>
  <si>
    <t>หน้าโรงเบียร์เยอรมันตะวันแดง (จุดที่ 2)</t>
  </si>
  <si>
    <t>P 1448/2</t>
  </si>
  <si>
    <t>DP075</t>
  </si>
  <si>
    <t>หน้าโรงเบียร์เยอรมันตะวันแดง (ก่อนถึงแยกพระราม 3-นราธิวาสฯ)</t>
  </si>
  <si>
    <t>P 1449/2</t>
  </si>
  <si>
    <t>DP076</t>
  </si>
  <si>
    <t>หน้า THE STAR ESTATE ก่อนถึงนราธิวาสราชนครินทร์  ซ.28</t>
  </si>
  <si>
    <t>P 1452/2</t>
  </si>
  <si>
    <t>DP077</t>
  </si>
  <si>
    <t>ก่อนถึงซ.นราธิวาสฯ 24,ใกล้วัดจีน (มาจากแยกรัชดา-นราธิวาสฯ)</t>
  </si>
  <si>
    <t>P 1454/2</t>
  </si>
  <si>
    <t>DP079</t>
  </si>
  <si>
    <t>ระหว่างซ.นราธิวาสฯ 20 และ 22, (ก่อนถึงแยกจันทน์-นราธิวาสฯ)</t>
  </si>
  <si>
    <t>P 1456/1</t>
  </si>
  <si>
    <t>DP437</t>
  </si>
  <si>
    <t xml:space="preserve"> หน้าคอนโด Star View พระราม 3</t>
  </si>
  <si>
    <t>P 1456/2</t>
  </si>
  <si>
    <t>DP438</t>
  </si>
  <si>
    <t>หน้าร้านนวดเพื่อสุขภาพ Siam Massage ใกล้โชว์รูมรถยนต์ BMW (1286 Millennium Auto Connet)</t>
  </si>
  <si>
    <t>P 1457/2</t>
  </si>
  <si>
    <t>DP439</t>
  </si>
  <si>
    <t>หน้าบริษัท ไลอ้อนประเทศไทยจำกัด (Outbound)</t>
  </si>
  <si>
    <t>พ่วงCookies P 1465/2</t>
  </si>
  <si>
    <t>P 1462/2</t>
  </si>
  <si>
    <t>DP440</t>
  </si>
  <si>
    <t>เลยพระรามที่ 3 ซอย 43 (มุ่งหน้าคลองเตย)</t>
  </si>
  <si>
    <t>P 1463/2</t>
  </si>
  <si>
    <t>DP441</t>
  </si>
  <si>
    <t>ก่อนถึงพระราม 3 ซอย 49 (ตรงข้ามวัดด่าน พระรามที่ 3 ซอย 34)</t>
  </si>
  <si>
    <t>P 1465/1</t>
  </si>
  <si>
    <t>DP442</t>
  </si>
  <si>
    <t>เลยทางเข้าวัดทองบน ประมาณ 10 เมตร</t>
  </si>
  <si>
    <t>P 1465/2</t>
  </si>
  <si>
    <t>DP443</t>
  </si>
  <si>
    <t>เลยบริษัท ไลอ้อนประเทศไทยจำกัด ตรงข้ามวัดดอกไม้ พระรามที่ 3 ซอย 33 (มุ่งหน้าถนนตก)</t>
  </si>
  <si>
    <t>P 1466/2</t>
  </si>
  <si>
    <t>DP444</t>
  </si>
  <si>
    <t>หน้าบริษัท DKSH ก่อนถึงพระรามที่ 3 ซอย 43 (มุ่งหน้าคลองเตย)</t>
  </si>
  <si>
    <t>P 1474/2</t>
  </si>
  <si>
    <t>DP923</t>
  </si>
  <si>
    <t>หน้าสวนสินติภาพ ใกล้ซอยราชวิถี 3</t>
  </si>
  <si>
    <t>พ่วง Cookies P 1629/1</t>
  </si>
  <si>
    <t>P 1480/1</t>
  </si>
  <si>
    <t>DP892</t>
  </si>
  <si>
    <t>ก่อนถึงแยกสาธุประดิษฐ์ มุ่งหน้าไปห้างเซ็นทรัลพระราม 3 (ขาออก)</t>
  </si>
  <si>
    <t>P 1481/1</t>
  </si>
  <si>
    <t>DP360</t>
  </si>
  <si>
    <t>เชิงสะพานข้ามคลองสามเสนก่อนถึงสถานีดับเพลิงบางกะปิ มุ่งหน้าเอกมัย</t>
  </si>
  <si>
    <t>P 1483/1</t>
  </si>
  <si>
    <t>DP286</t>
  </si>
  <si>
    <t>หน้าอาคารแกรมมี่, ทางไปแยกอโศก-สุขุมวิท</t>
  </si>
  <si>
    <t>P 1483/2</t>
  </si>
  <si>
    <t>DP361</t>
  </si>
  <si>
    <t xml:space="preserve">หน้า CDC จุดที่ 2
อยู่ถัดจากซอยถนนโยธินพัฒนา 400 เมตร 
(มุ่งหน้า ถนนลาดพร้าว)       </t>
  </si>
  <si>
    <t xml:space="preserve">13.805488, 
</t>
  </si>
  <si>
    <t>พ่วง Cookies P1229/1</t>
  </si>
  <si>
    <t>P 1484/1</t>
  </si>
  <si>
    <t>DP1024</t>
  </si>
  <si>
    <t>หน้าอาคาร 208 Wireless Road (ตรงข้ามตึก All Season Place)</t>
  </si>
  <si>
    <t>P 1486/2</t>
  </si>
  <si>
    <t>DP989</t>
  </si>
  <si>
    <t>หน้าบริษัท เมืองไทย แคปปิตอล จำกัด ใกล้ซอยลาดพร้าว 124 (มุ่งหน้าบางกะปิ)</t>
  </si>
  <si>
    <t>P 1489/2</t>
  </si>
  <si>
    <t>DP942</t>
  </si>
  <si>
    <t>ปากซอยรามคำแหง 81/3(มุ่งหน้ามีนบุรี)</t>
  </si>
  <si>
    <t>P 1490/1</t>
  </si>
  <si>
    <t>DP1137</t>
  </si>
  <si>
    <t>หน้าโรงแรม Pullman (เลยแยกเดโช)</t>
  </si>
  <si>
    <t>สีลม</t>
  </si>
  <si>
    <t>P 1491/1</t>
  </si>
  <si>
    <t>DP1052</t>
  </si>
  <si>
    <t>หน้าร้านผาแดง เลยซอยศรีนครินทร์ซอย 1 (มุ่งหน้าบางนา)</t>
  </si>
  <si>
    <t>P 1491/2</t>
  </si>
  <si>
    <t>DP1053</t>
  </si>
  <si>
    <t>ก่อนถึงแยกลำสาลี, ทางไปถ.ลาดพร้าว (Outbound)</t>
  </si>
  <si>
    <t>P 1495/2</t>
  </si>
  <si>
    <t>DP264</t>
  </si>
  <si>
    <t>หน้าธนาคาร TMB สาขาโรงพยาบาลเซนต์หลุยส์ (ข้างโรงพยาบาลเซนต์หลุยส์) ใกล้ซอยสาทร 13</t>
  </si>
  <si>
    <t>P 1496/1</t>
  </si>
  <si>
    <t>DP221</t>
  </si>
  <si>
    <t>ปั๊ม ปตท. (ตรงข้ามเทคนิคกรุงเทพ)</t>
  </si>
  <si>
    <t>P 1497/2</t>
  </si>
  <si>
    <t>DP851</t>
  </si>
  <si>
    <t>หน้าธนาคารกรุงศรีอยุธยา สาขาคลองเตย, มุ่งหน้าไปแยกนางลิ้นจี่ (Outbound)</t>
  </si>
  <si>
    <t>P 1499/1</t>
  </si>
  <si>
    <t>DP943</t>
  </si>
  <si>
    <t xml:space="preserve">เชิงทางลงสะพานข้ามคลองมาจากแยกบ้านม้ามุ่งหน้าแยกลำสาลี(ตรงข้ามปั้ม PT)
</t>
  </si>
  <si>
    <t>P 1501/2</t>
  </si>
  <si>
    <t>DP246</t>
  </si>
  <si>
    <t>ก่อนถึงแยกวิทยุ (ถ.พระราม 4-ถ.วิทยุ) หัวมุมสวนลุมพินี ก่อนถึงสถานีรถไฟใต้ดินลุมพินี (MRT)</t>
  </si>
  <si>
    <t>P 1502/2</t>
  </si>
  <si>
    <t>DP480</t>
  </si>
  <si>
    <t xml:space="preserve"> เลยแยกวิทยุ ก่อนถึงตึกอื้อจื่อเหลียง</t>
  </si>
  <si>
    <t>P 1506/1</t>
  </si>
  <si>
    <t>DP481</t>
  </si>
  <si>
    <t>หน้าปั๊มน้ำมันปตท. (มาจากแยกพระโขนงเข้าพระราม 4,ก่อนถึงซ.ฟาร์มพัฒนา)</t>
  </si>
  <si>
    <t>P 1506/2</t>
  </si>
  <si>
    <t>DP482</t>
  </si>
  <si>
    <t>หน้า บริษัทกรุงไทยแทรคเตอร์ จำกัด (ถนนพระราม 4)</t>
  </si>
  <si>
    <t>P 1507/1</t>
  </si>
  <si>
    <t>DP483</t>
  </si>
  <si>
    <t>หน้าอาคารมาลีนนท์ ทาวเวอร์ พระราม4</t>
  </si>
  <si>
    <t>P 1507/2</t>
  </si>
  <si>
    <t>DP853</t>
  </si>
  <si>
    <t>มาจากแยกณ.ระนองตรงข้ามตลาดปีนัง</t>
  </si>
  <si>
    <t>P 1510/2</t>
  </si>
  <si>
    <t>DP676</t>
  </si>
  <si>
    <t>หน้าโชว์รูมวอลโว่ , ก่อนถึงแยกพัฒนาการ (เยื้องห้างจัสโก้)</t>
  </si>
  <si>
    <t>Spare</t>
  </si>
  <si>
    <t>P 1512/1</t>
  </si>
  <si>
    <t>DP738</t>
  </si>
  <si>
    <t>หน้าเจริญศรีซีนิทศูนย์รถยนต์</t>
  </si>
  <si>
    <t>P 1514/2</t>
  </si>
  <si>
    <t>DP677</t>
  </si>
  <si>
    <t>ปากซอยพัฒนาการ 36 หน้าอาคารไทยรงค์ ทาวเวอร์ (มาจากแยกพัฒนาการมุ่งหน้าแยกคลองตัน)</t>
  </si>
  <si>
    <t>P 1516/2</t>
  </si>
  <si>
    <t>DP1165</t>
  </si>
  <si>
    <t xml:space="preserve">ก่อนถึงสุขุมวิท 101/1 หน้า true digital-park 
</t>
  </si>
  <si>
    <t>Success</t>
  </si>
  <si>
    <t>P 1518/1</t>
  </si>
  <si>
    <t>DP1055</t>
  </si>
  <si>
    <t>ตรงข้ามห้างซีคอนสแควร์</t>
  </si>
  <si>
    <t>P 1522/1</t>
  </si>
  <si>
    <t>DP484</t>
  </si>
  <si>
    <t>หน้าศูนย์เมอร์เซเดส-เบนซ์ Thonburi Phanich Lumpini (ก่อนถึงแยกวิทยุ)</t>
  </si>
  <si>
    <t>พ่วงCookies P 1537/2</t>
  </si>
  <si>
    <t>P 1523/1</t>
  </si>
  <si>
    <t>DP326</t>
  </si>
  <si>
    <t>หน้าปั้มน้ำมัน PT มาจากแยกประชาอุทิศมุ่งหน้าแยกเหม่งจ๋าย</t>
  </si>
  <si>
    <t>P 1529/1</t>
  </si>
  <si>
    <t>DP740</t>
  </si>
  <si>
    <t>หน้าโรงแรมอวานี เอเทรียม กรุงเทพ (เชิงสะพานข้ามคลองบางกะปิ มาจากอาคารอิตเลียนไทยมุ่งหน้าแยกอโศก-เพชร)</t>
  </si>
  <si>
    <t>P 1530/2</t>
  </si>
  <si>
    <t>DP717</t>
  </si>
  <si>
    <t>ก่อนถึงซอยเพชรบุรีซอย45 เชิงทางขึ้นสะพานข้ามแยกอโศก-เพชร (มาจากแยกมิตรสัมพันธ์มุ่งหน้าแยกอโศก-เพชร)</t>
  </si>
  <si>
    <t>P 1535/2</t>
  </si>
  <si>
    <t>DP485</t>
  </si>
  <si>
    <t>หน้าคอนโด Ideo Q Chula - Samyan</t>
  </si>
  <si>
    <t>P 1537/2</t>
  </si>
  <si>
    <t>DP486</t>
  </si>
  <si>
    <t xml:space="preserve">หน้าสถานีรถไฟฟ้า MRT ลุมพินีประตู 2 </t>
  </si>
  <si>
    <t>P 1539/2</t>
  </si>
  <si>
    <t>DP445</t>
  </si>
  <si>
    <t>หน้าทางเข้าวัดคลองภูมิ (พระราม 3 ซ. 46)</t>
  </si>
  <si>
    <t>P 1548/1</t>
  </si>
  <si>
    <t>DP025</t>
  </si>
  <si>
    <t>ก่อนถึงสถานีขนส่งหมอชิตใหม่</t>
  </si>
  <si>
    <t>P 1552/2</t>
  </si>
  <si>
    <t>DP036</t>
  </si>
  <si>
    <t>ข้างซอยไวตี ใกล้ธนาคารกรุงเทพ (ก่อนถึงแยกตัดถ.นราธิวาสฯ)</t>
  </si>
  <si>
    <t>P 1567/1</t>
  </si>
  <si>
    <t>DP994</t>
  </si>
  <si>
    <t>หน้า Lotus Express (ก่อนถึงซ.ลาดพร้าว 120)</t>
  </si>
  <si>
    <t>P 1567/2</t>
  </si>
  <si>
    <t>DP995</t>
  </si>
  <si>
    <t>หน้าที่ทำการไปรณีย์สาขาลาดพร้าว มุ่งหน้าบางกะปิ</t>
  </si>
  <si>
    <t>P 1568/2</t>
  </si>
  <si>
    <t>DP026</t>
  </si>
  <si>
    <t>หน้าปั้มน้ำมัน​ ปตท.(มุ่งหน้าไปหมอชิตใหม่)</t>
  </si>
  <si>
    <t>พ่วงCookies P1118/1</t>
  </si>
  <si>
    <t>P 1570/1</t>
  </si>
  <si>
    <t>DP859</t>
  </si>
  <si>
    <t>หน้าร้าน SAMDAI CLUB มาจาก SCB Park plaza (ก่อนขึ้นสะพานข้ามแยกรัชวิภา )</t>
  </si>
  <si>
    <t>P 1573/2</t>
  </si>
  <si>
    <t>DP955</t>
  </si>
  <si>
    <t>หน้าปั๊ม Shell แยกซอยรามคำแหง 24</t>
  </si>
  <si>
    <t>ทีม</t>
  </si>
  <si>
    <t>P 1574/1</t>
  </si>
  <si>
    <t>DP996</t>
  </si>
  <si>
    <t>เลยลาดพร้าวซอย 61ประมาณ 50 เมตร มุ่งหน้าบางกะปิ</t>
  </si>
  <si>
    <t>P 1574/2</t>
  </si>
  <si>
    <t>DP861</t>
  </si>
  <si>
    <t>พ่วงCookies P 1172/2</t>
  </si>
  <si>
    <t>P 1576/1</t>
  </si>
  <si>
    <t>DP1167</t>
  </si>
  <si>
    <t>สถานีรถไฟฟ้า BTS อ่อนนุช หน้าโรงแรม Avani ก่อนถึงซอยสุขุมวิท83</t>
  </si>
  <si>
    <t>P 1577/2</t>
  </si>
  <si>
    <t>DP718</t>
  </si>
  <si>
    <t>หน้าซ.เพชรบุรี 9 (ก่อนถึง First Hotel, เยื้องปั๊มน้ำมันปตท.)</t>
  </si>
  <si>
    <t>P 1579/2</t>
  </si>
  <si>
    <t>DP041</t>
  </si>
  <si>
    <t>มาจากถนนพระราม 3 ก่อนถึงซอยเจริญกรุง 84 (ตรงข้ามตลาดบางคอแหลม)</t>
  </si>
  <si>
    <t>P 1581/2</t>
  </si>
  <si>
    <t>DP191</t>
  </si>
  <si>
    <t>หน้าอาคาร PS TOWER ตรงข้ามอาคารเสริมมิตร (มากจากแยกอโศก-เพชรมุ่งหน้าแยกอโศก-สุขุมวิท)</t>
  </si>
  <si>
    <t>P 1583/2</t>
  </si>
  <si>
    <t>DP1060</t>
  </si>
  <si>
    <t>หน้าปั้ม ปตท.ก่อนถึงซอยศรีนครินทร์ซอย 42 (มาจากแยกศรีอุดม มุ่งหน้าบางกะปิ)</t>
  </si>
  <si>
    <t>P 1585/1</t>
  </si>
  <si>
    <t>DP1170</t>
  </si>
  <si>
    <t>สุขุมวิทซอย 26 (ก่อนถึงห้างดิเอ็มโพเรียม, Inbound)</t>
  </si>
  <si>
    <t>P 1587/2</t>
  </si>
  <si>
    <t>DP192</t>
  </si>
  <si>
    <t>ทางเข้า-ออก ESSE SINGHA COMPLEX (ก่อนขึ้นสะพานข้ามคลองมาจากแยกอโศก-เพชรมุ่งหน้าแยกอโศก-สุขุมวิท)</t>
  </si>
  <si>
    <t>P 1590/2</t>
  </si>
  <si>
    <t>DP951</t>
  </si>
  <si>
    <t>ปากซอยรามคำแหง64/3 หน้าศูนย์Toyota (มุ่งหน้าพระราม9)</t>
  </si>
  <si>
    <t>P 1591/1</t>
  </si>
  <si>
    <t>DP522</t>
  </si>
  <si>
    <t>ฝั่งตรงข้ามอาคารสงเคราะห์กองทัพบก ก่อนถึงพระรามที่ 6 ซอย 30 (ขึ้นทางด่วนไปบางนา)</t>
  </si>
  <si>
    <t>พระราม 6</t>
  </si>
  <si>
    <t>P 1591/2</t>
  </si>
  <si>
    <t>DP446</t>
  </si>
  <si>
    <t>ก่อนถึงอาคารริเวอร์วิวเพลซ ใกล้ทางเข้าวัดคลองภูมิ (พระรามที่ 3 ซอย 46)</t>
  </si>
  <si>
    <t>P 1593/2</t>
  </si>
  <si>
    <t>DP1062</t>
  </si>
  <si>
    <t>หน้า makro food service (มาจากแยกศรีอุดม มุ่งหน้าแยกอ่อนนุช)</t>
  </si>
  <si>
    <t>P 1595/1</t>
  </si>
  <si>
    <t>DP488</t>
  </si>
  <si>
    <t>หน้าทางเข้า-ออกโชว์รูมรถฮอนด้า (พระราม 4 ฮอนด้า คาร์ส์ กรุ๊ป จำกัด)</t>
  </si>
  <si>
    <t>P 1596/1</t>
  </si>
  <si>
    <t>DP952</t>
  </si>
  <si>
    <t>หน้า The Base Condo รามคำแหง</t>
  </si>
  <si>
    <t>P 1600/2</t>
  </si>
  <si>
    <t>DP1027</t>
  </si>
  <si>
    <t>ใกล้ทางเข้าสวนลุมพินี ประตู 2 ประตูหอนาฬิกา ตรงข้าม BAB Box (Bangkok Art Biennale)</t>
  </si>
  <si>
    <t>P 1603/1</t>
  </si>
  <si>
    <t>DP999</t>
  </si>
  <si>
    <t>หน้าศูนย์ Toyota ระหว่างลาดพร้าวซอย72-70 (มุ่งหน้าห้าแยกลาดพร้าว)</t>
  </si>
  <si>
    <t>P 1603/2</t>
  </si>
  <si>
    <t>DP1000</t>
  </si>
  <si>
    <t>ระหว่างลาดพร้าวซอย114-112 ใกล้โรงเรียนบางกอกศึกษา มุ่งหน้าห้าแยกลาดพร้าว</t>
  </si>
  <si>
    <t>พ่วงCookies P1443/2</t>
  </si>
  <si>
    <t>P 1604/1</t>
  </si>
  <si>
    <t>DP417</t>
  </si>
  <si>
    <t>หน้าสนามกีฬาแห่งชาติ ฝั่งตรงข้ามสถานบันเทคโนโลยีปทุมวันอาคารเฉลิมพระเกียรติ</t>
  </si>
  <si>
    <t>P 1604/2</t>
  </si>
  <si>
    <t>DP053</t>
  </si>
  <si>
    <t>หน้าอาคารประกันภัยไทยวิวัฒน์ (ซ.ร่วมมิตร)</t>
  </si>
  <si>
    <t>P 1605/1</t>
  </si>
  <si>
    <t>DP1001</t>
  </si>
  <si>
    <t>หน้าบ.เมเชอร์โทรนิกซ์ จก., มาจากซ.ลาดพร้าว 67/2 (เยื้องซ.ลาดพร้าว 80/2, Outbound)</t>
  </si>
  <si>
    <t>P 1605/2</t>
  </si>
  <si>
    <t>DP280</t>
  </si>
  <si>
    <t>สถานีรถไฟฟ้าพร้อมพงษ์ ตรงข้าม The Emporium</t>
  </si>
  <si>
    <t>สุขุมวิทขาออก</t>
  </si>
  <si>
    <t>P 1607/1</t>
  </si>
  <si>
    <t>DP744</t>
  </si>
  <si>
    <t xml:space="preserve">ก่อนถึงโรงพยาบาลเพชรเวช  ใกล้ฟู้ดแลนด์ </t>
  </si>
  <si>
    <t>พ่วงศาลา DS169</t>
  </si>
  <si>
    <t>P 1607/2</t>
  </si>
  <si>
    <t>DP1094</t>
  </si>
  <si>
    <t>ใกล้ธนาคารไทยพาณิชย์ (สาขาสาทร)</t>
  </si>
  <si>
    <t>P 1608/1</t>
  </si>
  <si>
    <t>DP745</t>
  </si>
  <si>
    <t>ก่อนถึงแยกเอกมัยเหนือ (มาจากแยกคลองตันมุ่งหน้าเอกมัย)</t>
  </si>
  <si>
    <t>พ่วงศาลา DS170</t>
  </si>
  <si>
    <t>P 1608/2</t>
  </si>
  <si>
    <t>DP558</t>
  </si>
  <si>
    <t>ก่อนถึงแยกพระราม 9 - รามคำแหง</t>
  </si>
  <si>
    <t>P 1611/2</t>
  </si>
  <si>
    <t>DP288</t>
  </si>
  <si>
    <t>เลยทางออกสยามสแควร์ ก่อนถึงแยกเฉลิมเผ่า</t>
  </si>
  <si>
    <t>อังรีดูนังต์</t>
  </si>
  <si>
    <t>P 1612/2</t>
  </si>
  <si>
    <t>DP376</t>
  </si>
  <si>
    <t>เลยซอยลาดพร้าว 88 เชิงทางลงสะพานข้ามแยกลาดพร้าว มุ่งหน้าพระราม 9</t>
  </si>
  <si>
    <t>P 1616/2</t>
  </si>
  <si>
    <t>DP418</t>
  </si>
  <si>
    <t>หน้าร้านธนาบุตร (ก่อนถึงแยกปทุมวันขาเข้า)</t>
  </si>
  <si>
    <t>P 1618/1</t>
  </si>
  <si>
    <t>DP926</t>
  </si>
  <si>
    <t xml:space="preserve">หน้าสถาบันประสาทวิทยา (ประตู 2) ตรงข้ามบ้านราชวิถี </t>
  </si>
  <si>
    <t>P 1621/2</t>
  </si>
  <si>
    <t>DP953</t>
  </si>
  <si>
    <t>ก่อนถึงการไฟฟ้านครหลวง(เขตบางกะปิ )มาจากแยกคลองตัน มุ่งหน้าแยกพระราม9-รามคำแหง</t>
  </si>
  <si>
    <t>P 1622/1</t>
  </si>
  <si>
    <t>DP1003</t>
  </si>
  <si>
    <t>เลยลาดพร้าวซอย130/1 (มุ่งหน้าห้าแยกลาดพร้าว)</t>
  </si>
  <si>
    <t>P 1623/2</t>
  </si>
  <si>
    <t>DP1004</t>
  </si>
  <si>
    <t>หน้าสถานีย่อยไฟฟ้าวังทองหลาง (ก่อนถึงซ.ลาดพร้าว 63, ใกล้ร้านศึกษาภัณฑ์, Outbound)</t>
  </si>
  <si>
    <t>P 1624/2</t>
  </si>
  <si>
    <t>DP027</t>
  </si>
  <si>
    <t>ตรงข้ามสถานีขนส่งหมอชิตใหม่ สายเหนือ​ (ทางลงทางด่วน)</t>
  </si>
  <si>
    <t>P 1625/1</t>
  </si>
  <si>
    <t>DP028</t>
  </si>
  <si>
    <t>ตรงข้ามห้าง​ JJ MALL</t>
  </si>
  <si>
    <t>P 1627/1</t>
  </si>
  <si>
    <t>DP1005</t>
  </si>
  <si>
    <t>ระหว่างลาดพร้าวซอย 90- ซอย 88/1 มุ่งหน้าห้าแยกลาดพร้าว</t>
  </si>
  <si>
    <t>P 1628/1</t>
  </si>
  <si>
    <t>DP927</t>
  </si>
  <si>
    <t>หน้าสภาสังคมสงเคราะห์แห่งประเทศไทย ในพระบรมราชูปถัมภ์ (ก่อนถึงแยกตึกชัย)</t>
  </si>
  <si>
    <t>P 1629/1</t>
  </si>
  <si>
    <t>DP928</t>
  </si>
  <si>
    <t>หน้าสวนสันติภาพ ใกล้อนุสาวรีย์ชัยสมรภูมิ (จากถนนดินแดง, ระหว่างซ.ราชวิถี 1 และ 3)</t>
  </si>
  <si>
    <t>P 1629/2</t>
  </si>
  <si>
    <t>DP1071</t>
  </si>
  <si>
    <t>หน้าสโมสรทหารบก (ศรีอยุธยา ซ.9)</t>
  </si>
  <si>
    <t>ศรีอยุธยา</t>
  </si>
  <si>
    <t>P 1635/1</t>
  </si>
  <si>
    <t>DP720</t>
  </si>
  <si>
    <t>ปากซอยเพชรบุรีซอย 31ตรงข้ามธนาคารไทยพาณิชย์ (มาจากแยกประตูน้ำมุ่งหน้าแยกมิตรสัมพันธ์)</t>
  </si>
  <si>
    <t>P 1635/2</t>
  </si>
  <si>
    <t>DP746</t>
  </si>
  <si>
    <t>หน้าอาคาร อิตาเลี่ยนไทย บริเวณปากซอยเพชรบุรี 38/1</t>
  </si>
  <si>
    <t>P 1636/1</t>
  </si>
  <si>
    <t>DP747</t>
  </si>
  <si>
    <t>หน้าอาคารธนภูมิตรงข้ามซอยเพชรบุรี 41 (มาจากแยกอโศก-เพชรบุรีมุ่งหน้าแยกมิตรสัพันธ์)</t>
  </si>
  <si>
    <t>P 1637/1</t>
  </si>
  <si>
    <t>DP721</t>
  </si>
  <si>
    <t>เชิงสะพานข้ามคลองก่อนถึงทางด่วนด่านเพชรบุรี (มาจากแยกมิตรสัมพันธ์มุ่งหน้าแยกประตูน้ำ)</t>
  </si>
  <si>
    <t>P 1638/2</t>
  </si>
  <si>
    <t>DP864</t>
  </si>
  <si>
    <t xml:space="preserve">ตรงข้ามโรงเรียนเตรียมอุดมศึกษาพัฒนาการ (รัชดา) ก่อนถึงโรงแรม ดิ เอมเมอร์รัลด์ </t>
  </si>
  <si>
    <t>P 1639/2</t>
  </si>
  <si>
    <t>DP895</t>
  </si>
  <si>
    <t>ใกล้ร้านบี-ควิก (เลยศูนย์การค้าเซ็นทรัลพลาซ่า พระราม 3)</t>
  </si>
  <si>
    <t>P 1640/1</t>
  </si>
  <si>
    <t>DP419</t>
  </si>
  <si>
    <t>เลยกรมพละศึกษา  ตรงข้ามสถาบันเทคโนโลยีปทุมวันก่อนถึง Tesco Lotus พระราม 1</t>
  </si>
  <si>
    <t>พ่วงCookies P 1379/2</t>
  </si>
  <si>
    <t>P 1640/2</t>
  </si>
  <si>
    <t>DP1063</t>
  </si>
  <si>
    <t>ก่อนถึงโรงพยาบาลสมิติเวชศรีนครินท์ (มาจากแยกพัฒนาการ มุ่งหน้าแยกกรุงเทพฯกรีฑา)</t>
  </si>
  <si>
    <t>P 1643/2</t>
  </si>
  <si>
    <t>DP447</t>
  </si>
  <si>
    <t>หน้าปั๊มน้ำมันบางจาก (ปากซอยพระรามที่ 3 ซ.28)</t>
  </si>
  <si>
    <t>P 1644/1</t>
  </si>
  <si>
    <t>DP748</t>
  </si>
  <si>
    <t>ก่อนถึงสะพานข้ามแยกเอกมัย-รามอินทรา (ตรงข้ามชลประทานซีเมนต์)</t>
  </si>
  <si>
    <t>P 1648/2</t>
  </si>
  <si>
    <t>DP209</t>
  </si>
  <si>
    <t>ระหว่างซอยอ่อนนุช 34-32 ก่อนข้ามสะพานข้ามคลองบ้านหลาย (มาจากศรีนครินทร์มุ่งหน้าสุขุมวิท)</t>
  </si>
  <si>
    <t>P 1650/2</t>
  </si>
  <si>
    <t>DP490</t>
  </si>
  <si>
    <t>หน้าสวนลุมพินี,ใกล้ลานพระรูป ร.6 (เยื้องโรงแรมดุสิตธานี, มาจากแยกศาลาแดง)</t>
  </si>
  <si>
    <t>P 1652/1</t>
  </si>
  <si>
    <t>DP037</t>
  </si>
  <si>
    <t>หน้าปั๊มน้ำมัน Shell, ก่อนซ.จันทน์ 23/1</t>
  </si>
  <si>
    <t>P 1656/1</t>
  </si>
  <si>
    <t>DP193</t>
  </si>
  <si>
    <t>หน้าตึก PS. TOWER อโศกมนตรี ตรงข้ามตึก SERM-MIT TOWER</t>
  </si>
  <si>
    <t>P 1660/2</t>
  </si>
  <si>
    <t>DP112</t>
  </si>
  <si>
    <t xml:space="preserve"> หน้า อาคารT-ONE ปากซอยสุขุมวิท 40</t>
  </si>
  <si>
    <t>พ่วงCookies P 1127/1</t>
  </si>
  <si>
    <t>P 1662/1</t>
  </si>
  <si>
    <t>DP115</t>
  </si>
  <si>
    <t>หน้าศูนย์ฮอนด้า สถานีรถไฟฟ้า BTS เอกมัย</t>
  </si>
  <si>
    <t>P 1664/1</t>
  </si>
  <si>
    <t>DP420</t>
  </si>
  <si>
    <t>หน้าห้างมาบุญครอง (ใกล้สถานีรถไฟฟ้า BTS สนามกีฬาแห่งชาติ)</t>
  </si>
  <si>
    <t>P 1665/2</t>
  </si>
  <si>
    <t>DP242</t>
  </si>
  <si>
    <t>ทางเข้า MBK ฝั่งสนามกีฬา</t>
  </si>
  <si>
    <t>P 1667/2</t>
  </si>
  <si>
    <t>DP421</t>
  </si>
  <si>
    <t>ป้ายรถเมล์สนามกีฬาศุภชลาศัย ใต้สถานีรถไฟฟ้า BTS สนามกีฬาแห่งชาติ (ฝั่งตรงข้ามอาคารสยามกลการ)</t>
  </si>
  <si>
    <t>พ่วงศาลา DS111</t>
  </si>
  <si>
    <t>P 1668/2</t>
  </si>
  <si>
    <t>DP908</t>
  </si>
  <si>
    <t>ข้างสวนลุมพินี ตรงข้ามโรงพยาบาลจุฬาฯ (ประตู 7)</t>
  </si>
  <si>
    <t>พ่วงศาลา DS056</t>
  </si>
  <si>
    <t>P 1673/2</t>
  </si>
  <si>
    <t>DP055</t>
  </si>
  <si>
    <t>แยกพระราม 9 หน้าร้านซองเอลิเช่</t>
  </si>
  <si>
    <t>P 1674/2</t>
  </si>
  <si>
    <t>DP726</t>
  </si>
  <si>
    <t>ทางเข้า-ออกห้างพาลาเดียมก่อนถึงซอยเพชรบุรีซอย 23 (มาจากแยกประตูน้ำมุ่งหน้าแยกมิตรสัมพันธ์)</t>
  </si>
  <si>
    <t>P 1682/2</t>
  </si>
  <si>
    <t>DP879</t>
  </si>
  <si>
    <t>หน้าคอนโด Diamond Ratchada (ซอยรัชดาภิเษก 12)</t>
  </si>
  <si>
    <t>พ่วงศาลา DS276</t>
  </si>
  <si>
    <t>P 1688/1</t>
  </si>
  <si>
    <t>DP567</t>
  </si>
  <si>
    <t>มาจากแยกพระราม 9 เอกมัยขาเข้า (ประมาณ 400 เมตร) ตรงข้ามพระราม 9 ซอย 17 (จุดที่ 1)</t>
  </si>
  <si>
    <t>P 1688/2</t>
  </si>
  <si>
    <t>DP568</t>
  </si>
  <si>
    <t>มาจากแยกพระราม 9 เอกมัยขาเข้า (ประมาณ 400 เมตร) ตรงข้ามพระราม 9 ซอย 17 (จุดที่ 2)</t>
  </si>
  <si>
    <t>พ่วงศาลาStandardในสัญญา</t>
  </si>
  <si>
    <t>พ่วงศาลา DS346</t>
  </si>
  <si>
    <t>P 1690/1</t>
  </si>
  <si>
    <t>DP882</t>
  </si>
  <si>
    <t>มาจากแยกคลองเตยมุ่งหน้าอโศก หน้าลานจอดรถ รฟม.สถานีศูนย์ฯสิริกิติ์</t>
  </si>
  <si>
    <t>SP 1653/1</t>
  </si>
  <si>
    <t>DP886</t>
  </si>
  <si>
    <t>มาจากแยกมไหสวรรค์ (ก่อนถึงซ.รัชดาภิเษก-ฝั่งธนบุรี 1)</t>
  </si>
  <si>
    <t>รัชดาภิเษก-ธนบุรี</t>
  </si>
  <si>
    <t>P 1001/1</t>
  </si>
  <si>
    <t>DP573</t>
  </si>
  <si>
    <t>ตรงข้ามมูลนิธิมหาวิทยาลัยศรีปทุม</t>
  </si>
  <si>
    <t>พ่วงศาลา DS306</t>
  </si>
  <si>
    <t>P 1004/1</t>
  </si>
  <si>
    <t>DP574</t>
  </si>
  <si>
    <t>ปากซอยพหลโยธิน 19/1 มาจากแยกลาดพร้าวมุ่งหน้าแยกรัชโยธิน</t>
  </si>
  <si>
    <t>พ่วงสื่อแพลนบี</t>
  </si>
  <si>
    <t>พ่วง BJ2</t>
  </si>
  <si>
    <t>P 1004/2</t>
  </si>
  <si>
    <t>DP575</t>
  </si>
  <si>
    <t>หน้าปากซอยพหลโยธิน 31 (มุ่งหน้าแยกรัชโยธิน)</t>
  </si>
  <si>
    <t>P 1018/2</t>
  </si>
  <si>
    <t>DP226</t>
  </si>
  <si>
    <t xml:space="preserve">10.ก่อนถึงเอกมัยซอย1 
ตรงข้าม Big C (เอกมัยซอย6-ซอย8)        
มุ่งหน้า ถนนเพชรบุรี            </t>
  </si>
  <si>
    <t>P 1005/2</t>
  </si>
  <si>
    <t>DP320</t>
  </si>
  <si>
    <t>หน้าปั้มน้ำมัน ปตท.สาขาประชาอุทิศ 2 ก่อนถึงซอยประชาอุทิศ 21(มาจากแยกเหม่งจ๋ายมุ่งหน้าแยกประชาอุทิศ)</t>
  </si>
  <si>
    <t>Street line</t>
  </si>
  <si>
    <t>พ่วงไฟตู้คอนโทรลเดิม Street light</t>
  </si>
  <si>
    <t>ไฟเดิม</t>
  </si>
  <si>
    <t>P 1019/1</t>
  </si>
  <si>
    <t>DP578</t>
  </si>
  <si>
    <t xml:space="preserve">หน้าสะพานลอยตรงข้ามซอยพหลโยธิน 1 ข้าง 7-Eleven จุดลงทางด่วนอนุสาวรีย์ชัย </t>
  </si>
  <si>
    <t>เสกสันต์</t>
  </si>
  <si>
    <t>P 1007/1</t>
  </si>
  <si>
    <t>DP526</t>
  </si>
  <si>
    <t>โชว์รูมรถวสุยนต์ (ระหว่างพระราม 9 ซ. 62 และ 64, Inbound)</t>
  </si>
  <si>
    <t>P 1007/2</t>
  </si>
  <si>
    <t>DP527</t>
  </si>
  <si>
    <t>ก่อนขึ้นสะพานข้ามแยกพระราม 9 (พระราม 9 ซ.40, Inbound)</t>
  </si>
  <si>
    <t>P 1008/2</t>
  </si>
  <si>
    <t>DP042</t>
  </si>
  <si>
    <t>หน้า คอนโด Lumpini Suite (ดินแดง-ราชปรารภ) ถนนพระราม9-ดินแดง มุ่งหน้าแยกประชาสงเคราะห์</t>
  </si>
  <si>
    <t>พ่วง Merto A96</t>
  </si>
  <si>
    <t>P 1011/2</t>
  </si>
  <si>
    <t>DP767</t>
  </si>
  <si>
    <t>หน้าเมืองไทยประกันชีวิต ก่อนถึงรัชดาฯ ซอย 18</t>
  </si>
  <si>
    <t>พ่วงศาลา DS273</t>
  </si>
  <si>
    <t>P 1012/1</t>
  </si>
  <si>
    <t>DP768</t>
  </si>
  <si>
    <t>หน้าคอนโดไอวี่ แอมพิโอ (ตรงข้ามตลาดหลักทรัพย์แห่งประเทศไทย )</t>
  </si>
  <si>
    <t>พ่วง BJ1</t>
  </si>
  <si>
    <t>P 1012/2</t>
  </si>
  <si>
    <t>DP577</t>
  </si>
  <si>
    <t>ตรงข้ามสนง.กรรมการวิจัยแห่งชาติ (มาจากซ.พหลโยธิน 44, Inbound)</t>
  </si>
  <si>
    <t>พ่วงศาลานอกสัญญา</t>
  </si>
  <si>
    <t>P 1014/2</t>
  </si>
  <si>
    <t>DP1127</t>
  </si>
  <si>
    <t>หน้ารพ.กรุงเทพคริสเตียน (เยื้อง C.P. Tower), ก่อนถึงซ.พัฒนพงษ์</t>
  </si>
  <si>
    <t>พ่วงศาลา DS080</t>
  </si>
  <si>
    <t>P 1021/1</t>
  </si>
  <si>
    <t>DP961</t>
  </si>
  <si>
    <t>ฟู้ดแลนด์สาขาลาดพร้าว (ลาดพร้าวซ.95, Outbound)</t>
  </si>
  <si>
    <t>P 1016/1</t>
  </si>
  <si>
    <t>DP1128</t>
  </si>
  <si>
    <t>หน้าบ้านสีลม ตรงข้ามเซ็นทรัล สีลม ทาวเวอร์ (1)</t>
  </si>
  <si>
    <t>พ่วงศาลา DS076</t>
  </si>
  <si>
    <t>P 1016/2</t>
  </si>
  <si>
    <t>DP225</t>
  </si>
  <si>
    <t xml:space="preserve">7.หน้าร้าน King Kong (อยู่ระหว่างซอย28-ซอย26)
(มุ่งหน้า ถนนสุขุมวิท)             </t>
  </si>
  <si>
    <t>พ่วง Cookies DP 224</t>
  </si>
  <si>
    <t>P 1017/1</t>
  </si>
  <si>
    <t>DP171</t>
  </si>
  <si>
    <t xml:space="preserve">.หน้า Mattress City(ที่นอนโลตัส) เพชรบุรี อยู่ระหว่างเพชรบุรี ซอย5-ซอย7
มุ่งหน้าแยกราชเทวี(ประตูน้ำ)     </t>
  </si>
  <si>
    <t xml:space="preserve">เพชรบุรี
</t>
  </si>
  <si>
    <t>พ่วงBJ 1 No.29</t>
  </si>
  <si>
    <t>P 1017/2</t>
  </si>
  <si>
    <t>DP337</t>
  </si>
  <si>
    <t>หน้าครัวพฤกษาก่อนถึงประดิษฐ์มนูธรรม ซอย27 มุ่งหน้ารามอินทรา</t>
  </si>
  <si>
    <t>P 1018/1</t>
  </si>
  <si>
    <t>DP769</t>
  </si>
  <si>
    <t>ก่อนถึง สน. หพลโยธิน (Outbound)</t>
  </si>
  <si>
    <t>พ่วงศาลา DS264</t>
  </si>
  <si>
    <t>P 1025/2</t>
  </si>
  <si>
    <t>DP268</t>
  </si>
  <si>
    <t>หน้าสถานีรถไฟฟ้าใต้ดิน MRT สถานีเพชรบุรีประตู 1(ก่อนถึงแยกอโศก-เพชรบุรี มาจากแยกฟอร์จูน</t>
  </si>
  <si>
    <t>อโศกมนตรี-ดินแดง</t>
  </si>
  <si>
    <t xml:space="preserve">พ่วง Cookies </t>
  </si>
  <si>
    <t>พ่วง Cookies DP 179</t>
  </si>
  <si>
    <t>P 1026/1</t>
  </si>
  <si>
    <t>DP212</t>
  </si>
  <si>
    <t>หน้าวิทยาลัยพยาบาลตำรวจ ตรงข้ามอาคารสมเด็จย่า</t>
  </si>
  <si>
    <t>P 1019/2</t>
  </si>
  <si>
    <t>DP960</t>
  </si>
  <si>
    <t>หน้าศึกษาภัณฑ์ (ตรงข้ามซ.ลาดพร้าว 66, Inbound)</t>
  </si>
  <si>
    <t>พ่วงCookies P 1605/1</t>
  </si>
  <si>
    <t>P 1042/1</t>
  </si>
  <si>
    <t>DP783</t>
  </si>
  <si>
    <t>หน้าสถานีรถไฟฟ้า MRT สถานีรัชดาภิเษก ประตู 3 ก่อนถึงตึกเมืองไทยประกันชีวิต</t>
  </si>
  <si>
    <t>มิเตอร์เดิม</t>
  </si>
  <si>
    <t>P 1020/2</t>
  </si>
  <si>
    <t>DP311</t>
  </si>
  <si>
    <t>หน้าคอนโด THE TREE ประชาราษฎร์สาย 1 (ระหว่างประชาราษฎร์ สาย 1 ซอย 22 และซอย 20)</t>
  </si>
  <si>
    <t>ประชาราษฎร์ สาย 1</t>
  </si>
  <si>
    <t>พ่วงศาลานอกสัญญา CS241</t>
  </si>
  <si>
    <t>P 1047/1</t>
  </si>
  <si>
    <t>DP228</t>
  </si>
  <si>
    <t xml:space="preserve">8.หน้าร้าน Seasons เอกมัย 
ถัดจากเอกมัยซอย20 ประมาณ11เมตร        
(มุ่งหน้า ถนนสุขุมวิท)  </t>
  </si>
  <si>
    <t>P 1022/1</t>
  </si>
  <si>
    <t>DP338</t>
  </si>
  <si>
    <t>หน้าปั๊มน้ำมันบางจาก ก่อนถึงถนนสุคนธสวัสดิ์ (Outbound)</t>
  </si>
  <si>
    <t>P 1022/2</t>
  </si>
  <si>
    <t>DP018</t>
  </si>
  <si>
    <t xml:space="preserve"> สวนสมเด็จพระนางเจ้าสิริกิติ์ (ตรงข้ามปั้ม​ ปตท.สาขาการรถไฟ-กำแพงเพชร 2)</t>
  </si>
  <si>
    <t>พ่วงศาลานอกสัญญา S1022</t>
  </si>
  <si>
    <t>P 1023/1</t>
  </si>
  <si>
    <t>DP148</t>
  </si>
  <si>
    <t>เลยประดิษฐ์มนูธรรม ซอย 27 ประมาณ 500 เมตรหน้าร้าน7-11 มุ่งหน้ารามอินทรา</t>
  </si>
  <si>
    <t>P 1023/2</t>
  </si>
  <si>
    <t>DP339</t>
  </si>
  <si>
    <t>เลยปั้ม ปตท.ประมาณ50เมตรก่อนถึง CDC (มุ่งหน้าพระราม9)</t>
  </si>
  <si>
    <t>P 1024/1</t>
  </si>
  <si>
    <t>DP1129</t>
  </si>
  <si>
    <t>ตรงข้ามโรงพยาบาลเลิศสิน (ก่อนถึงซอย สีลม 36)</t>
  </si>
  <si>
    <t>P 1024/2</t>
  </si>
  <si>
    <t>DP1130</t>
  </si>
  <si>
    <t>หน้าโรงแรม Novotel สีลม (ก่อนถึงแยกสุรศักดิ์)</t>
  </si>
  <si>
    <t>พ่วงPolewap PS074</t>
  </si>
  <si>
    <t>เพิ่มเติม (1)</t>
  </si>
  <si>
    <t>P 1058/1</t>
  </si>
  <si>
    <t>DDP012</t>
  </si>
  <si>
    <t>ชุมชนสวนอ้อยซอยกลาง</t>
  </si>
  <si>
    <t>นครราชสีมา</t>
  </si>
  <si>
    <t>P 1064/1</t>
  </si>
  <si>
    <t>DP068</t>
  </si>
  <si>
    <t>บริเวณเกาะกลางจุดกลับรถ (ใกล้ร้านสมบูรณ์โภชนา )ถ.นราธิวาสฯ</t>
  </si>
  <si>
    <t>P 1027/2</t>
  </si>
  <si>
    <t>DP313</t>
  </si>
  <si>
    <t>ก่อนถึงซอยประชาสงเคราะห์ 1 (มาจากแยกประชาสงเคราะห์มุ่งหน้าดินแดง)</t>
  </si>
  <si>
    <t>ประชาสงเคราะห์</t>
  </si>
  <si>
    <t>พ่วงศาลานอกสัญญา S 1027</t>
  </si>
  <si>
    <t>P 1028/2</t>
  </si>
  <si>
    <t>DP772</t>
  </si>
  <si>
    <t>หน้าร้าน ETON เลยบริษัท เคดับบลิวอี-คินเทซึ ประมาณ 30 เมตร</t>
  </si>
  <si>
    <t>P 1029/1</t>
  </si>
  <si>
    <t>DP314</t>
  </si>
  <si>
    <t>มาจากแยกประชาสงเคราะห์  ก่อนถึงสถาบันราชานุกูล</t>
  </si>
  <si>
    <t>พ่วงศาลา DS240</t>
  </si>
  <si>
    <t>P 1029/2</t>
  </si>
  <si>
    <t>DP315</t>
  </si>
  <si>
    <t>ข้างโรงพยาบาลราชานุกูล</t>
  </si>
  <si>
    <t>P 1030/2</t>
  </si>
  <si>
    <t>DP316</t>
  </si>
  <si>
    <t>ปากซอยประชาสงเคราะห์ซอย11(มุ่งหน้าห้วยขวาง)</t>
  </si>
  <si>
    <t>P 1031/2</t>
  </si>
  <si>
    <t>DP1099</t>
  </si>
  <si>
    <t>สถานีรถไฟฟ้า BTS สุรศักดิ์ (หน้าธนาคารกรุงศรีอยุธยา สาขาถนนสาทรเหนือ)</t>
  </si>
  <si>
    <t>สาทรเหนือ</t>
  </si>
  <si>
    <t>พ่วงศาลา DS011</t>
  </si>
  <si>
    <t>P 1032/1</t>
  </si>
  <si>
    <t>DP317</t>
  </si>
  <si>
    <t>ก่อนถึงแยกประชาสุข (หน้าศูนย์บริการชุมชน เยื้องซ.32)</t>
  </si>
  <si>
    <t>พ่วงศาลานอกสัญญา S 1032</t>
  </si>
  <si>
    <t>P 1032/2</t>
  </si>
  <si>
    <t>DP318</t>
  </si>
  <si>
    <t>ตรงข้ามซอยประชาสงเคราะห์ 32 (ใกล้ศูนย์บริการชุมชนห้วยขวาง)</t>
  </si>
  <si>
    <t>P 1033/1</t>
  </si>
  <si>
    <t>DP043</t>
  </si>
  <si>
    <t>หน้าโรงเรียนพิบูลประชาสรรค์</t>
  </si>
  <si>
    <t>พ่วงศาลา DS236</t>
  </si>
  <si>
    <t>P 1033/2</t>
  </si>
  <si>
    <t>DP044</t>
  </si>
  <si>
    <t>หน้าโรงเรียนพิบูลประชาสรรค์ (ตรงข้ามแฟลตดินแดง)</t>
  </si>
  <si>
    <t>P 1034/1</t>
  </si>
  <si>
    <t>DP045</t>
  </si>
  <si>
    <t>ข้างโรงพยาบาลราชานุกูล (ก่อนถึงแยกประชาสงเคราะห์)</t>
  </si>
  <si>
    <t>พ่วงศาลา DS237</t>
  </si>
  <si>
    <t>P 1034/2</t>
  </si>
  <si>
    <t>DP046</t>
  </si>
  <si>
    <t>ข้างโรงพยาบาลราชานุกูล (ตรงข้ามแฟลตดินแดง)</t>
  </si>
  <si>
    <t>P 1035/1</t>
  </si>
  <si>
    <t>DP773</t>
  </si>
  <si>
    <t>ก่อนถึงห้าง Big C Extra รัชดาภิเษก</t>
  </si>
  <si>
    <t>พ่วงศาลา DS253</t>
  </si>
  <si>
    <t>P 1036/2</t>
  </si>
  <si>
    <t>DP775</t>
  </si>
  <si>
    <t>หน้าโรงแรมดิเอมเมอรัลด์</t>
  </si>
  <si>
    <t>พ่วงศาลา DS255</t>
  </si>
  <si>
    <t>P 1038/1</t>
  </si>
  <si>
    <t>DP776</t>
  </si>
  <si>
    <t>หน้าห้างฟอร์จูนทาวน์ (Outbound)</t>
  </si>
  <si>
    <t>พ่วงศาลา DS250</t>
  </si>
  <si>
    <t>P 1038/2</t>
  </si>
  <si>
    <t>DP777</t>
  </si>
  <si>
    <t>หน้าห้างฟอร์จูนทาวน์ (ห้างโลตัส, ก่อนถึงซ.รัชดาภิเษก 1)</t>
  </si>
  <si>
    <t>P 1039/1</t>
  </si>
  <si>
    <t>DP778</t>
  </si>
  <si>
    <t>หน้าอาคาร RS ก่อนถึงห้าง  Big C รัชดา</t>
  </si>
  <si>
    <t>P 1039/2</t>
  </si>
  <si>
    <t>DP779</t>
  </si>
  <si>
    <t>หน้า Big C รัชดาภิเษกก่อนถึงทางเข้าห้าง (มุ่งหน้าแยกเทียมร่วมมิตร)</t>
  </si>
  <si>
    <t>พ่วงCookies P 1035/1</t>
  </si>
  <si>
    <t>P 1040/1</t>
  </si>
  <si>
    <t>DP780</t>
  </si>
  <si>
    <t>หน้าทางออก Esplanade Ratchada (เอสพละนาด รัชดา)</t>
  </si>
  <si>
    <t>พ่วงศาลา DS252</t>
  </si>
  <si>
    <t>P 1040/2</t>
  </si>
  <si>
    <t>DP340</t>
  </si>
  <si>
    <t>หน้าร้านเฟอร์นิเจอร์ทรัพย์วรา(ทางออก)จุดที่ 2</t>
  </si>
  <si>
    <t>พ่วงCookies P1571/1</t>
  </si>
  <si>
    <t>P 1041/1</t>
  </si>
  <si>
    <t>DP781</t>
  </si>
  <si>
    <t>หน้าสถานีรถไฟฟ้ามหานคร (ตรงข้ามฟอร์จูน), ทางไปแยกพระราม 9 (A)</t>
  </si>
  <si>
    <t>พ่วงศาลา DS281</t>
  </si>
  <si>
    <t>P 1041/2</t>
  </si>
  <si>
    <t>DP782</t>
  </si>
  <si>
    <t>หน้าบริษัท ลาชูเล่ คอสเมติคส์ อินเตอร์ เดอ(ปารีส) จำกัด</t>
  </si>
  <si>
    <t>พ่วงศาลานอกสัญญา S 1041</t>
  </si>
  <si>
    <t>P 1078/2</t>
  </si>
  <si>
    <t>DP342</t>
  </si>
  <si>
    <t>หน้าปั๊ม ปตท. (ก่อนถึงแยกรามอินทรา, Outbound)</t>
  </si>
  <si>
    <t>P 1042/2</t>
  </si>
  <si>
    <t>DP784</t>
  </si>
  <si>
    <t>หน้าร้านแซ่บวัน รัชดา ซ.5 (ก่อนถึงรถไฟฟ้าใต้ดินศูนย์วัฒนธรรม)</t>
  </si>
  <si>
    <t>P 1043/1</t>
  </si>
  <si>
    <t>DP785</t>
  </si>
  <si>
    <t xml:space="preserve">หน้า ALAINA (เอไลน่า) ก่อนถึงซอยรัชดาภิเษก 7 </t>
  </si>
  <si>
    <t>พ่วงศาลา DS254</t>
  </si>
  <si>
    <t>P 1043/2</t>
  </si>
  <si>
    <t>DP786</t>
  </si>
  <si>
    <t>ใกล้ศูนย์การค้า THE STREET รัชดาฯ  (ตรงข้ามไซเบอร์เวิลด์ ทาวเวอร์   CYBERWORLD TOWER ( CW TOWER)</t>
  </si>
  <si>
    <t>P 1044/1</t>
  </si>
  <si>
    <t>DP787</t>
  </si>
  <si>
    <t>แยกรัชดา-สุทธิสาร ใกล้สถานีรถไฟฟ้าใต้ดิน MRT สุทธิสาร ประตู 1   (ก่อนถึง สน.สุทธิสาร)</t>
  </si>
  <si>
    <t>พ่วงศาลา DS257</t>
  </si>
  <si>
    <t>P 1044/2</t>
  </si>
  <si>
    <t>DP788</t>
  </si>
  <si>
    <t>สน.สุทธิสาร, มาจากแยกรัชดา-สุทธิสาร (Outbound)</t>
  </si>
  <si>
    <t>P 1045/2</t>
  </si>
  <si>
    <t>DP789</t>
  </si>
  <si>
    <t>หน้า CHARMER CLINIC ก่อนถึงรัชดาภิเษก 19</t>
  </si>
  <si>
    <t>พ่วงศาลา DS258</t>
  </si>
  <si>
    <t>P 1046/2</t>
  </si>
  <si>
    <t>DP448</t>
  </si>
  <si>
    <t>ทางแยกกล้วยน้ำไท (ฝั่งไปคลองเตย)</t>
  </si>
  <si>
    <t>พ่วงจอป้อมแยกกล้วยน้ำไท</t>
  </si>
  <si>
    <t>P 1083/1</t>
  </si>
  <si>
    <t>DP258</t>
  </si>
  <si>
    <t>หน้า Plaza Athenee (ก่อนถึงสถานฑูตอเมริกา)</t>
  </si>
  <si>
    <t>P 1048/1</t>
  </si>
  <si>
    <t>DP1100</t>
  </si>
  <si>
    <t>เลยโรงเรียนกรุงเทพคริสเตียนวิทยาลัย ใกล้ธนาคารกรุงเทพ (ก่อนถึงซอยถนนปั้น)</t>
  </si>
  <si>
    <t>พ่วงศาลา DS012</t>
  </si>
  <si>
    <t>P 1048/2</t>
  </si>
  <si>
    <t>DP449</t>
  </si>
  <si>
    <t>P 1050/1</t>
  </si>
  <si>
    <t>DP412</t>
  </si>
  <si>
    <t>หน้าศูนย์การค้า SIAM DISCOVERY ก่อนเลี้ยวซ้ายเข้าถนนพระราม 1(มาจากสะพานหัวช้างมุ่งหน้าแยกปทุมวัน)</t>
  </si>
  <si>
    <t>พ่วง Metro A75</t>
  </si>
  <si>
    <t>P 1115/1</t>
  </si>
  <si>
    <t>DP797</t>
  </si>
  <si>
    <t>หน้าทางขึ้นลงรถไฟฟ้าใต้ดิน MRT สถานีรัชดาภิเษกประตู 2 (ตรงข้ามอาคารโอลิมเปีย)</t>
  </si>
  <si>
    <t>P 1051/2</t>
  </si>
  <si>
    <t>DP196</t>
  </si>
  <si>
    <t>หน้าโรงงานรองเท้า S.C.S ระหว่างซอยอ่อนนุช 9-11 (มาจากสุขุมวิทมุ่งหน้าศรีนครินทร์)</t>
  </si>
  <si>
    <t>P 1125/2</t>
  </si>
  <si>
    <t>DP705</t>
  </si>
  <si>
    <t>หน้าห้างพาลาเดียม เลยแยกประตูน้ำ(มุ่งหน้าแยกมิตรสัมพันธ์)</t>
  </si>
  <si>
    <t>P 1053/2</t>
  </si>
  <si>
    <t>DP197</t>
  </si>
  <si>
    <t>เยื้องโชว์รูมรถยนต์ MG (ขาออก)</t>
  </si>
  <si>
    <t>P 1055/1</t>
  </si>
  <si>
    <t>DP664</t>
  </si>
  <si>
    <t>ปากซอยพัฒนาการ 65</t>
  </si>
  <si>
    <t>พ่วงศาลา DS482</t>
  </si>
  <si>
    <t>P 1055/2</t>
  </si>
  <si>
    <t>DP494</t>
  </si>
  <si>
    <t>ตรงข้ามปากซอยสงวนสุข (มาจากแยกราชวัตร)ก่อนถึงโรงเรียนเศรษฐเสถียร ในพระราชูปถัมภ์</t>
  </si>
  <si>
    <t>พ่วงศาลานอกสัญญา S 1055</t>
  </si>
  <si>
    <t>P 1056/1</t>
  </si>
  <si>
    <t>DP896</t>
  </si>
  <si>
    <t>หน้าสวนลุมพินี, ตรงข้ามสภากาชาดไทย (ก่อนถึงแยกศาลาแดง, ตรงไปห้างเซ็นทรัล พลาซ่า สีลมคอมเพล็กซ์)</t>
  </si>
  <si>
    <t>P 1057/2</t>
  </si>
  <si>
    <t>DP580</t>
  </si>
  <si>
    <t>หน้าห้าง Big C สะพานใหม่ (มุ่งหน้าวงเวียนบางเขน)</t>
  </si>
  <si>
    <t>P 1127/2</t>
  </si>
  <si>
    <t>DP285</t>
  </si>
  <si>
    <t>หน้ารถไฟฟ้าใต้ดิน (MRT)  สถานีสุขุมวิท ประตู1 (ถนนอโศก)</t>
  </si>
  <si>
    <t>P 1058/2</t>
  </si>
  <si>
    <t>DP887</t>
  </si>
  <si>
    <t>เลยห้าง Tesco Lotus สาขาพระราม3</t>
  </si>
  <si>
    <t>พ่วงศาลา DS347</t>
  </si>
  <si>
    <t>P 1059/2</t>
  </si>
  <si>
    <t>DP888</t>
  </si>
  <si>
    <t>หน้าศูนย์การค้าเซ็นทรัลพลาซ่า (สาขาพระราม 3 )</t>
  </si>
  <si>
    <t>พ่วงศาลา DS348</t>
  </si>
  <si>
    <t>P 1060/1</t>
  </si>
  <si>
    <t>DP377</t>
  </si>
  <si>
    <t>เลยประตูใหญ่มหาวิยาลัยจุฬาลงกรณ์ (​มุ่งหน้าแยกสามย่าน)​</t>
  </si>
  <si>
    <t>พ่วงศาลา DS095</t>
  </si>
  <si>
    <t>P 1128/1</t>
  </si>
  <si>
    <t>DP968</t>
  </si>
  <si>
    <t>ปากซอยลาดพร้าวซอย 5 (มุ่งหน้าบางกะปิ)</t>
  </si>
  <si>
    <t>P 1061/1</t>
  </si>
  <si>
    <t>DP451</t>
  </si>
  <si>
    <t>หน้าอาคารมโนรม (ฝั่งทางไปคลองเตย)</t>
  </si>
  <si>
    <t>P 1062/1</t>
  </si>
  <si>
    <t>DP495</t>
  </si>
  <si>
    <t>หน้าศูนย์คาร์ดูแลตซ์,ก่อนถึงรพ.วิชัยยุทธ 1 (Outbound)</t>
  </si>
  <si>
    <t>P 1062/2</t>
  </si>
  <si>
    <t>DP008</t>
  </si>
  <si>
    <t>ตรงข้าม ซ.กรุงเทพกรีฑา17</t>
  </si>
  <si>
    <t>กรุงเทพกรีฑา</t>
  </si>
  <si>
    <t>สะพานสูง</t>
  </si>
  <si>
    <t>พ่วงศาลา DS518</t>
  </si>
  <si>
    <t>P 1063/2</t>
  </si>
  <si>
    <t>DP056</t>
  </si>
  <si>
    <t>ตรงข้ามโรงเรียนวัดธรรมาภิรตาราม (ทางไปห้างเทสโก้ โลตัส ประชาชื่น, Outbound)</t>
  </si>
  <si>
    <t>เตชะวณิช</t>
  </si>
  <si>
    <t>พ่วงศาลานอกสัญญา S1063</t>
  </si>
  <si>
    <t>P 1131/2</t>
  </si>
  <si>
    <t>DP250</t>
  </si>
  <si>
    <t>หน้าโรงเรียนมาแตร์เดอีวิทยาลัย ใกล้สถานีรถไฟฟ้า BTS ชิดลม (ก่อนถึงแยกราชประสงค์)</t>
  </si>
  <si>
    <t>P 1065/1</t>
  </si>
  <si>
    <t>DP378</t>
  </si>
  <si>
    <t>ก่อนถึงแยกอาคาร จามจุรีสแควร์ ตรงข้ามห้าง สามย่าน มิตทาวน์</t>
  </si>
  <si>
    <t>พ่วงศาลา DS097</t>
  </si>
  <si>
    <t>P 1066/1</t>
  </si>
  <si>
    <t>DP700</t>
  </si>
  <si>
    <t>ฝั่งตรงข้ามธนาคารธนชาต</t>
  </si>
  <si>
    <t>พ่วงCookies P 1068/1</t>
  </si>
  <si>
    <t>P 1135/1</t>
  </si>
  <si>
    <t>DP587</t>
  </si>
  <si>
    <t>สถานีรถไฟฟ้าBTS สถานี ม.เกษตร  (Outbound)</t>
  </si>
  <si>
    <t>13.8420454,</t>
  </si>
  <si>
    <t>P 1067/1</t>
  </si>
  <si>
    <t>DP1144</t>
  </si>
  <si>
    <t>หน้าสุขุมวิท ซอย 24 (สถานีรถไฟฟ้า BTS พร้อมพงษ์)</t>
  </si>
  <si>
    <t>พ่วง Merto A104</t>
  </si>
  <si>
    <t>P 1067/2</t>
  </si>
  <si>
    <t>DP1065</t>
  </si>
  <si>
    <t>หน้า K.S.L.ทาวเวอร์ (King Power) ใกล้ศรีอยุธยา ซ.10</t>
  </si>
  <si>
    <t>พ่วงศาลา DS125</t>
  </si>
  <si>
    <t>P 1068/1</t>
  </si>
  <si>
    <t>DP699</t>
  </si>
  <si>
    <t>หน้าไปรษณีย์ ไทยพาณิชย์ ตรงข้ามซอยเพชรบุรีซอย 35 (มาจากทางด่วนเพชรบุรีมุ่งหน้าแยกประตูน้ำ)</t>
  </si>
  <si>
    <t>พ่วงศาลา DS181</t>
  </si>
  <si>
    <t>P 1068/2</t>
  </si>
  <si>
    <t>DP059</t>
  </si>
  <si>
    <t>ตรงข้ามโรงเรียนทหารสรรพาวุธ กรมสรรพาวุธทหารบก</t>
  </si>
  <si>
    <t>ทหาร</t>
  </si>
  <si>
    <t>พ่วงศาลานอกสัญญา S1068</t>
  </si>
  <si>
    <t>P 1069/2</t>
  </si>
  <si>
    <t>DP581</t>
  </si>
  <si>
    <t>หน้าธนาคารไทยพาณิชย์สาขาสะพานใหม่ (มุ่งหน้าวงเวียนบางเขน)</t>
  </si>
  <si>
    <t>P 1070/1</t>
  </si>
  <si>
    <t>DP379</t>
  </si>
  <si>
    <t>หน้า 7-11 ตรงข้าม​ รพ.สถาบันโรคไตภูมิฯ (มุ่งหน้าแยกพญาไท)​</t>
  </si>
  <si>
    <t>พ่วง Cookies P1071/2</t>
  </si>
  <si>
    <t>P 1070/2</t>
  </si>
  <si>
    <t xml:space="preserve">หน้าอาคาร Acme ติดกับ เพชรบุรีซอย3  มุ่งหน้าแยกราชเทวี(ประตูน้ำ)                  </t>
  </si>
  <si>
    <t>พ่วงMetro Poster A16</t>
  </si>
  <si>
    <t>P 1071/1</t>
  </si>
  <si>
    <t>DP701</t>
  </si>
  <si>
    <t xml:space="preserve"> ก่อนถึงมหาวิทยาลัยราชภัฏวไลยอลงกรณ์ อยู่ระหว่างเพชรบุรี ซอย3-ซอย5   
มุ่งหน้าแยกราชเทวี(ประตูน้ำ)     </t>
  </si>
  <si>
    <t>พ่วงBJ 2 No.33</t>
  </si>
  <si>
    <t>P 1071/2</t>
  </si>
  <si>
    <t>DP380</t>
  </si>
  <si>
    <t>ทางเข้าโรงแรม 99, ตรงข้ามร.พ.สถาบันโรคไตภูมิฯ (2)</t>
  </si>
  <si>
    <t>พ่วงศาลา DS085</t>
  </si>
  <si>
    <t>P 1072/1</t>
  </si>
  <si>
    <t>DP702</t>
  </si>
  <si>
    <t xml:space="preserve">16. หน้า Mattress City(ที่นอนโลตัส) พระราม 9
ก่อนถึง Dermaster พระราม 9   
ตรงข้ามสถานีรถไฟฟ้าแอร์พอร์ต เรล ลิงค์ มักกะสัน  
มุ่งหน้า ถนนสุขุมวิท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</si>
  <si>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อโศก-ดินแดง
</t>
  </si>
  <si>
    <t>พ่วงCookies P1074/2</t>
  </si>
  <si>
    <t>P 1073/1</t>
  </si>
  <si>
    <t>DP327</t>
  </si>
  <si>
    <t>อยู่ข้างปั้มน้ำมัน​ ปตท. ตรงข้ามกรมการขนส่งทหารบก</t>
  </si>
  <si>
    <t>ประดิพัทธ์</t>
  </si>
  <si>
    <t>พ่วงศาลานอกสัญญา S1073</t>
  </si>
  <si>
    <t>P 1073/2</t>
  </si>
  <si>
    <t>DP174</t>
  </si>
  <si>
    <t>ก่อนทางขึ้นทางด่วนรัชดา-ดินแดง (อโศก 3)</t>
  </si>
  <si>
    <t>พ่วงศาลา DS248</t>
  </si>
  <si>
    <t>P 1074/1</t>
  </si>
  <si>
    <t>DP703</t>
  </si>
  <si>
    <t>หน้าหมู่บ้านกลางกรุง New York</t>
  </si>
  <si>
    <t>P 1074/2</t>
  </si>
  <si>
    <t>DP172</t>
  </si>
  <si>
    <t xml:space="preserve">17.หน้า Dermaster พระราม 9
ก่อนถึง ร.พ.ผิวหนัง อโศก
ตรงข้ามสถานีรถไฟฟ้าแอร์พอร์ต เรล ลิงค์ มักกะสัน  
มุ่งหน้า ถนนสุขุมวิท     </t>
  </si>
  <si>
    <t>P 1076/1</t>
  </si>
  <si>
    <t>DP381</t>
  </si>
  <si>
    <t>บริเวณแยกปทุมวัน ตรงข้ามสยามสแควร์</t>
  </si>
  <si>
    <t>พ่วง Merto A74</t>
  </si>
  <si>
    <t>P 1076/2</t>
  </si>
  <si>
    <t>DP1131</t>
  </si>
  <si>
    <t>หน้าโรงแรม ฮอลิเดย์ อินท์ สีลม</t>
  </si>
  <si>
    <t>พ่วง Merto A44</t>
  </si>
  <si>
    <t>P 1077/1</t>
  </si>
  <si>
    <t>DP1101</t>
  </si>
  <si>
    <t xml:space="preserve">18.หน้าโชว์รูมมาสด้า 
เลยแยกถนนศาลาแดง 185 เมตรก่อนถึงสาทรซอย2           มุ่งหน้า ถนนพระราม4  </t>
  </si>
  <si>
    <t xml:space="preserve">สาทรเหนือ
</t>
  </si>
  <si>
    <t>พ่วงBJ 1 No.08</t>
  </si>
  <si>
    <t>P 1139/1</t>
  </si>
  <si>
    <t>DP498</t>
  </si>
  <si>
    <t>ตรงข้ามปั๊มน้ำมัน Esso (ทางไปโรงพยาบาลวิชัยยุทธ)</t>
  </si>
  <si>
    <t>P 1079/1</t>
  </si>
  <si>
    <t>DP1084</t>
  </si>
  <si>
    <t>ก่อนถึงอาคารปัญจภูมิและซ.สาทร 5 (ตรงข้ามโรงพยาบาล BNH)</t>
  </si>
  <si>
    <t>พ่วง Cookies P 1286/2</t>
  </si>
  <si>
    <t>P 1079/2</t>
  </si>
  <si>
    <t>DP257</t>
  </si>
  <si>
    <t>หน้าธ.กรุงศรีฯ ตรงข้าม Plaza Athenee ก่อนถึงแยกเพลินจิต</t>
  </si>
  <si>
    <t>พ่วงป้าย-BJ</t>
  </si>
  <si>
    <t>P 1080/1</t>
  </si>
  <si>
    <t>DP791</t>
  </si>
  <si>
    <t>ก่อนขึ้นสะพานข้ามแยกรัชวิภา (ตรงข้ามคอนโด Supalai Park)</t>
  </si>
  <si>
    <t>พ่วงCookies P 1395/1</t>
  </si>
  <si>
    <t>P 1080/2</t>
  </si>
  <si>
    <t>DP158</t>
  </si>
  <si>
    <t>หน้าศูนย์ HONDA ตรงข้ามอาคารชาร์เตอร์สแควร์ (แยกสาทร-สุรศักดิ์)</t>
  </si>
  <si>
    <t>สุรศักดิ์</t>
  </si>
  <si>
    <t>พ่วง Merto A40</t>
  </si>
  <si>
    <t>P 1081/2</t>
  </si>
  <si>
    <t>DP1132</t>
  </si>
  <si>
    <t>หน้าโรงแรม นารายณ์  (ก่อนถึงแยกเดโช)</t>
  </si>
  <si>
    <t>พ่วงจอป้อมแยกเดโช</t>
  </si>
  <si>
    <t>P 1082/2</t>
  </si>
  <si>
    <t>DP1145</t>
  </si>
  <si>
    <t>19.หน้า Condo THE MADISON สุขุมวิท 39
มุ่งหน้าบางนา</t>
  </si>
  <si>
    <t xml:space="preserve">สุขุมวิท </t>
  </si>
  <si>
    <t>13.728784,</t>
  </si>
  <si>
    <t>พ่วงMetro Poster AA9</t>
  </si>
  <si>
    <t>P 1143/1</t>
  </si>
  <si>
    <t>DP155</t>
  </si>
  <si>
    <t>หน้าบริษัท กรีไทยจำกัด ก่อนถึงซอยนางลิ้นจี่ 9 (แยกรัชดา-นางลิ้นจี่)</t>
  </si>
  <si>
    <t>P 1084/1</t>
  </si>
  <si>
    <t>DP454</t>
  </si>
  <si>
    <t>หน้าวัดหัวลำโพง (B)</t>
  </si>
  <si>
    <t>พ่วงศาลา DS031</t>
  </si>
  <si>
    <t>P 1156/1</t>
  </si>
  <si>
    <t>DP1087</t>
  </si>
  <si>
    <t>หน้าตึกเอ็มไพร์ทาวเวอร์ (ใกล้แยกสาทร-นราธิวาส) ก่อนถึงสาทรซอย 9</t>
  </si>
  <si>
    <t>P 1158/2</t>
  </si>
  <si>
    <t>DP145</t>
  </si>
  <si>
    <t>หน้าปั้มน้ำมัน Esso ก่อนถึงปรีดีพนมยงค์ 46 (มาจากแยกคลองตันมุ่งหน้าพระโขนง)</t>
  </si>
  <si>
    <t>สุขุมวิท 71</t>
  </si>
  <si>
    <t>P 1088/2</t>
  </si>
  <si>
    <t>DP1012</t>
  </si>
  <si>
    <t>ตรงข้ามโรงแรมแกรนด์ เซ็นเตอร์พอยต์ เพลินจิต</t>
  </si>
  <si>
    <t>พ่วงศาลา DS143</t>
  </si>
  <si>
    <t>P 1089/1</t>
  </si>
  <si>
    <t>DP496</t>
  </si>
  <si>
    <t>ตรงข้ามธนาคารเพื่อการเกษตรและสหกรณ์การเกษตร (สาขาย่อยถนนพระราม 6)</t>
  </si>
  <si>
    <t>พ่วงศาลา DS197</t>
  </si>
  <si>
    <t>P 1090/1</t>
  </si>
  <si>
    <t>DP1085</t>
  </si>
  <si>
    <t>หน้าคอนโด The Met ใกล้อาคารปัญจภูมิ</t>
  </si>
  <si>
    <t>P 1090/2</t>
  </si>
  <si>
    <t>DP529</t>
  </si>
  <si>
    <t xml:space="preserve">หน้าปากซอยพระราม 9 ซอย 50 ใกล้โรงเรียนนานาชาติเซนต์มาร์ค </t>
  </si>
  <si>
    <t>P 1091/1</t>
  </si>
  <si>
    <t>DP530</t>
  </si>
  <si>
    <t>หน้าบริษัท กาแฟเขาช่อง (ปากซอยพระราม 9 ซอย 60)</t>
  </si>
  <si>
    <t>P 1091/2</t>
  </si>
  <si>
    <t>DP1031</t>
  </si>
  <si>
    <t>หน้าร้านขายเหล็กเลยธนาคารกรุงไทย ประมาณ 10ม. ใกล้แยกลำสาลี</t>
  </si>
  <si>
    <t>P 1092/1</t>
  </si>
  <si>
    <t>DP069</t>
  </si>
  <si>
    <t>หน้าอาคาร JC Kevin Tower</t>
  </si>
  <si>
    <t>พ่วงCookies P 1442/1</t>
  </si>
  <si>
    <t>P 1092/2</t>
  </si>
  <si>
    <t>DP583</t>
  </si>
  <si>
    <t>หน้าสวนจตุจักร ใกล้ทางขึ้น-ลงสถานีรถไฟฟ้า BTS หมอชิต</t>
  </si>
  <si>
    <t>พ่วงศาลา DS293</t>
  </si>
  <si>
    <t>P 1093/1</t>
  </si>
  <si>
    <t>DP531</t>
  </si>
  <si>
    <t>หน้าร้านมิสเตอร์เคอร์เทน (ก่อนถึงพระราม 9 ซ. 45, มุ่งหน้าไปศรีนครินทร์)</t>
  </si>
  <si>
    <t>P 1093/2</t>
  </si>
  <si>
    <t>DP266</t>
  </si>
  <si>
    <t>ใกล้แหล่งชุมชนนายทหาร โรงพยาบาลพระมงกุฎเกล้า เยื้องวิทยาลัยพยาบาลกองทัพบก</t>
  </si>
  <si>
    <t>พ่วงศาลา DS212</t>
  </si>
  <si>
    <t>P 1163/1</t>
  </si>
  <si>
    <t>DP272</t>
  </si>
  <si>
    <t>สุขุมวิทซอย 8 (ก่อนถึงสถานีรถไฟฟ้านานา, Inbound)</t>
  </si>
  <si>
    <t>เข้าตู้ PDC</t>
  </si>
  <si>
    <t>P 1094/2</t>
  </si>
  <si>
    <t>DP147</t>
  </si>
  <si>
    <t>ระหว่างซอยสุโขทัย 4- ซอยสุโขทัย 2 มาจากแยกสำนักงานเขตดุสิตมุ่งหน้าแยกสวรรคโลก</t>
  </si>
  <si>
    <t>สุโขทัย</t>
  </si>
  <si>
    <t>พ่วงศาลานอกสัญญา S 1094</t>
  </si>
  <si>
    <t>P 1095/1</t>
  </si>
  <si>
    <t>DP532</t>
  </si>
  <si>
    <t xml:space="preserve">ใกล้ร้านเบรคเซอร์วิส (ก่อนถึงพระราม 9 ซอย 29) </t>
  </si>
  <si>
    <t>พ่วงจอป้อมแยกรามคำแหงตัดพระราม9</t>
  </si>
  <si>
    <t>P 1096/1</t>
  </si>
  <si>
    <t>DP792</t>
  </si>
  <si>
    <t>แยกประชานุกูล ข้างป้อมตำรวจ</t>
  </si>
  <si>
    <t>พ่วงจอป้อมตำรวจแยกประชานุกูล</t>
  </si>
  <si>
    <t>P 1096/2</t>
  </si>
  <si>
    <t>DP793</t>
  </si>
  <si>
    <t>ก่อนขึ้นสะพานข้ามแยกรัชวิภา, ตรงข้ามครัวอิ่มอร่อย (A) หน้า Box Space</t>
  </si>
  <si>
    <t>P 1098/1</t>
  </si>
  <si>
    <t>DP794</t>
  </si>
  <si>
    <t>บริเวณหน้าปากซอยรัชดาภิเษก 78 มาจากแยกวงศ์สว่าง</t>
  </si>
  <si>
    <t>พ่วงศาลานอกสัญญา CS 220</t>
  </si>
  <si>
    <t>P 1098/2</t>
  </si>
  <si>
    <t>DP010</t>
  </si>
  <si>
    <t>หน้าปั๊มน้ำมันสยามแก๊ส ใกล้ซอยกรุงเทพ-นนทบุรี 18</t>
  </si>
  <si>
    <t>กรุงเทพ-นนทบุรี</t>
  </si>
  <si>
    <t>P 1099/2</t>
  </si>
  <si>
    <t>DP795</t>
  </si>
  <si>
    <t>หน้าบริษัท ENDO Entertainment (ก่อนถึงซอยรัชดาภิเษก 60)</t>
  </si>
  <si>
    <t>พ่วงศาลานอกสัญญา S 1356</t>
  </si>
  <si>
    <t>P 1100/2</t>
  </si>
  <si>
    <t>DP796</t>
  </si>
  <si>
    <t>หน้าร้านชนินทร์ยางยนต์ ใกล้ซอยรัชดาภิเษก 41</t>
  </si>
  <si>
    <t>พ่วงCookies P1404/2</t>
  </si>
  <si>
    <t>P 1101/1</t>
  </si>
  <si>
    <t>DP584</t>
  </si>
  <si>
    <t>เลยมหาวิทยาลัยศรีปทุม หน้าส่วนแยก กองบัญชาการช่วยรบที่ 1(มุ่งหน้าแยกเกษตร)</t>
  </si>
  <si>
    <t>P 1101/2</t>
  </si>
  <si>
    <t>DP585</t>
  </si>
  <si>
    <t>หน้าร้านสหกรณ์ตรงข้ามอาคารชินวัตร 1</t>
  </si>
  <si>
    <t>P 1102/1</t>
  </si>
  <si>
    <t>DP455</t>
  </si>
  <si>
    <t>P 1102/2</t>
  </si>
  <si>
    <t>DP456</t>
  </si>
  <si>
    <t>หน้า Lumpini Tower เลยซ.สุวรรณสวัสดิ์ (เยื้องซ.ปลูกจิตร 1)</t>
  </si>
  <si>
    <t>พ่วงศาลา DS028</t>
  </si>
  <si>
    <t>P 1171/2</t>
  </si>
  <si>
    <t>DP593</t>
  </si>
  <si>
    <t>หน้าคณะสัตวแพทย์ศาสตร์ ม.เกษตรศาสตร์  (Outbound)</t>
  </si>
  <si>
    <t>13.8443262,</t>
  </si>
  <si>
    <t>P 1104/1</t>
  </si>
  <si>
    <t>DP1114</t>
  </si>
  <si>
    <t>หน้าโรงเรียน เซนต์คาเบรียล (จุดที่ 1)</t>
  </si>
  <si>
    <t>พ่วงศาลา DS230</t>
  </si>
  <si>
    <t>P 1104/2</t>
  </si>
  <si>
    <t>DP1115</t>
  </si>
  <si>
    <t>หน้าโรงเรียน เซนต์คาเบรียล (จุดที่ 2)</t>
  </si>
  <si>
    <t>P 1175/2</t>
  </si>
  <si>
    <t>DP594</t>
  </si>
  <si>
    <t>หน้าโชว์รูม TOYOTO ตรงข้ามคณะสัตวแพทย์ศาสตร์ ม.เกษตร
  (Inbound)</t>
  </si>
  <si>
    <t>13.8442779,</t>
  </si>
  <si>
    <t>P 1105/2</t>
  </si>
  <si>
    <t>DP013</t>
  </si>
  <si>
    <t>ตรงข้ามตลาด อตก. ข้างตลาดนัดจตุจักร (ก่อนถึงแยกไปถ.พหลโยธิน)</t>
  </si>
  <si>
    <t>กำแพงเพชร</t>
  </si>
  <si>
    <t>พ่วงCookies P1246/2</t>
  </si>
  <si>
    <t>P 1106/1</t>
  </si>
  <si>
    <t>DP457</t>
  </si>
  <si>
    <t>ปากซอยสุวรรณสวัสดิ์ (ใกล้ตึก Lumpini Tower)</t>
  </si>
  <si>
    <t>พ่วงCookies P1102/2</t>
  </si>
  <si>
    <t>P 1106/2</t>
  </si>
  <si>
    <t>DP898</t>
  </si>
  <si>
    <t>ตรงข้าม โรงพยาบาลจุฬาฯ อาคารจุฬาภรณ์ (ฝั่งสวนลุมพินี พระบรมราชานุสาวรีย์ ร.6)</t>
  </si>
  <si>
    <t>พ่วงศาลา DS058</t>
  </si>
  <si>
    <t>P 1107/1</t>
  </si>
  <si>
    <t>DP963</t>
  </si>
  <si>
    <t>เลยลาดพร้าวซอย142 ประมาณ100 เมตร (มุ่งหน้าห้าแยกลาดพร้าว)</t>
  </si>
  <si>
    <t>P 1108/1</t>
  </si>
  <si>
    <t>DP1015</t>
  </si>
  <si>
    <t>หน้าอาคารสินธร (ก่อนถึงสถานฑูตอเมริกา, จากแยกสารสิน)</t>
  </si>
  <si>
    <t>พ่วงศาลา DS155</t>
  </si>
  <si>
    <t>P 1109/2</t>
  </si>
  <si>
    <t>DP1117</t>
  </si>
  <si>
    <t>P 1110/1</t>
  </si>
  <si>
    <t>DP889</t>
  </si>
  <si>
    <t>หน้าห้างเซ็นทรัล สาขาพระราม 3 (จุดที่ 2)</t>
  </si>
  <si>
    <t>P 1111/1</t>
  </si>
  <si>
    <t>DP344</t>
  </si>
  <si>
    <t>ก่อนถึงแยกพระราม9-ประดิษฐ์มนูธรรม มุ่งหน้าเอกมัย (จุดที่ 1)</t>
  </si>
  <si>
    <t>P 1111/2</t>
  </si>
  <si>
    <t>DP065</t>
  </si>
  <si>
    <t>หน้ากรมสรรพสามิต (เยื้องซ.มิตรอนันต์)</t>
  </si>
  <si>
    <t>นครไชยศรี</t>
  </si>
  <si>
    <t>พ่วงศาลานอกสัญญา S1111</t>
  </si>
  <si>
    <t>P 1112/1</t>
  </si>
  <si>
    <t>DP497</t>
  </si>
  <si>
    <t>หน้าธนาคารกรุงไทย (ก่อนถึงองค์การเภสัช,เยื้องสถาบันประสาทวิทยา)</t>
  </si>
  <si>
    <t>พ่วง Cookies P 1468/2</t>
  </si>
  <si>
    <t>P 1113/1</t>
  </si>
  <si>
    <t>DP1086</t>
  </si>
  <si>
    <t xml:space="preserve">หน้าสวนสาทรเฉลิมพระเกียรติ (ใกล้แยกสาทร-สุรศักดิ์)ก่อนถึงสาทรซอย 19 </t>
  </si>
  <si>
    <t>พ่วงศาลา DS010</t>
  </si>
  <si>
    <t>ช่างเสก</t>
  </si>
  <si>
    <t>P 1177/2</t>
  </si>
  <si>
    <t>DP811</t>
  </si>
  <si>
    <t>หน้าสถานีรถไฟฟ้าใต้ดิน MRT สถานีรัชดาภิเษกประตู 3 (ก่อนถึงซอยรัชดา 36)</t>
  </si>
  <si>
    <t>P 1115/2</t>
  </si>
  <si>
    <t>DP1146</t>
  </si>
  <si>
    <t xml:space="preserve">ปากซอยสุขุมวิท 34 (เลยคอนโด The Crest Sukhumvit 34) </t>
  </si>
  <si>
    <t>พ่วงCookies P 1659/1</t>
  </si>
  <si>
    <t>P 1116/1</t>
  </si>
  <si>
    <t>DP966</t>
  </si>
  <si>
    <t>ระหว่างลาดพร้าวซอย23-25หน้าทางเข้าหมู่บ้าน บ้านกลางเมือง มุ่งหน้าบางกะปิ</t>
  </si>
  <si>
    <t>P 1116/2</t>
  </si>
  <si>
    <t>DP704</t>
  </si>
  <si>
    <t>ใกล้ธนาคารกรุงเทพสาขาอุรุพงษ์ (ก่อนถึงซ.เพชรบุรี 4, มาจากปั๊มน้ำมัน Caltex มุ่งหน้าแยกอุรุพงษ์)</t>
  </si>
  <si>
    <t>P 1117/1</t>
  </si>
  <si>
    <t>DP687</t>
  </si>
  <si>
    <t>หน้าสถานีวิทยุกองพลที่ 1 รักษาพระองค์ ตรงข้ามกระทรวงศึกษาธิการ (มาจากเทเวศน์มุ่งหน้าแยกกองทัพภาคที่1)</t>
  </si>
  <si>
    <t>พิษณุโลก</t>
  </si>
  <si>
    <t>พ่วงศาลานอกสัญญา S 1117</t>
  </si>
  <si>
    <t>P 1117/2</t>
  </si>
  <si>
    <t>DP213</t>
  </si>
  <si>
    <t>หน้าสมาคมราชกรีฑาสโมสร ตรงข้ามประตูอักษร จุฬาลงกรณ์มหาวิทยาลัย</t>
  </si>
  <si>
    <t>P 1118/2</t>
  </si>
  <si>
    <t>DP383</t>
  </si>
  <si>
    <t xml:space="preserve">ทางเข้าอาคารจามจุรีสแควร์ร (ก่อนถึงแยกสามย่าน)
</t>
  </si>
  <si>
    <t>P 1119/2</t>
  </si>
  <si>
    <t>DP798</t>
  </si>
  <si>
    <t>หน้าซอยรัชดาภิเษก 3 สถานทูตจีน</t>
  </si>
  <si>
    <t>พ่วงศาลา DS251</t>
  </si>
  <si>
    <t>P 1120/1</t>
  </si>
  <si>
    <t>DP458</t>
  </si>
  <si>
    <t>หน้าอาคารมโนรม, ใกล้ออฟฟิศ ดีโป สาขาพระราม 4 (บิ๊กซี)</t>
  </si>
  <si>
    <t>พ่วง Cookies P 1061/1</t>
  </si>
  <si>
    <t>P 1179/1</t>
  </si>
  <si>
    <t>DP130</t>
  </si>
  <si>
    <t>หน้า Tops market ก่อนถึงทองหล่อซอย 4</t>
  </si>
  <si>
    <t>BK-55038</t>
  </si>
  <si>
    <t>P 1121/1</t>
  </si>
  <si>
    <t>DP459</t>
  </si>
  <si>
    <t>ก่อนขึ้นทางด่วน (ด่านเก็บเงินพระราม 4, ใกล้สถานีรถไฟฟ้าใต้ดินคลองเตยประตู 1)</t>
  </si>
  <si>
    <t>พ่วงจอป้อมแยกเชื้อเพลิง</t>
  </si>
  <si>
    <t>P 1121/2</t>
  </si>
  <si>
    <t>DP460</t>
  </si>
  <si>
    <t>ริมรั้วสวนลุมพินี (ก่อนถึงแยกวิทยุ)</t>
  </si>
  <si>
    <t>พ่วง Cream</t>
  </si>
  <si>
    <t>P 1122/2</t>
  </si>
  <si>
    <t>DP586</t>
  </si>
  <si>
    <t>หน้าสถานี BTS หมอชิต (หน้าสวนจตุจักร) ใกล้ S 431 (Outbound)</t>
  </si>
  <si>
    <t>P 1187/2</t>
  </si>
  <si>
    <t>DP599</t>
  </si>
  <si>
    <t>แยกสะพานควาย หน้าร้านทิงสุขสวัสดิ์ มุ่งหน้าไปอนุสาวรีย์ชัย</t>
  </si>
  <si>
    <t>P 1123/2</t>
  </si>
  <si>
    <t>DP1033</t>
  </si>
  <si>
    <t xml:space="preserve">หน้าอาคารเลนโซ่ </t>
  </si>
  <si>
    <t>P 1124/1</t>
  </si>
  <si>
    <t xml:space="preserve">หน้าปั้มน้ำมัน Caltex ก่อนถึงแยกสะพานไทยเบลเยี่ยมมุ่งหน้าวิทยุ
</t>
  </si>
  <si>
    <t>P 1125/1</t>
  </si>
  <si>
    <t>DP142</t>
  </si>
  <si>
    <t>หน้า ธ.กรุงศรีอยุธยา สาขาย่อยสุขุมวิท 71 (มาจากแยกคลองตัน)</t>
  </si>
  <si>
    <t>P 1188/2</t>
  </si>
  <si>
    <t>DP601</t>
  </si>
  <si>
    <t>ก่อนถึงศูนย์ปฎิบัติธรรมวัดพระราม9 (Outbound)</t>
  </si>
  <si>
    <t>ห้วยขาง</t>
  </si>
  <si>
    <t>13.7571701,</t>
  </si>
  <si>
    <t>P 1126/1</t>
  </si>
  <si>
    <t>DP345</t>
  </si>
  <si>
    <t>เลยถนนคลองลำเจียกประมาณ500 เมตรก่อนถึงปั้ม Esso มุ่งหน้าพระราม 9</t>
  </si>
  <si>
    <t>P 1126/2</t>
  </si>
  <si>
    <t>DP706</t>
  </si>
  <si>
    <t>ก่อนถึงแยกมิตรสัมพันธ์ (เยื้องโรงเรียนมักกะสันพิทยา)</t>
  </si>
  <si>
    <t>P 1196/1</t>
  </si>
  <si>
    <t>DP602</t>
  </si>
  <si>
    <t>หน้าศูนย์แพทย์พัฒนา (Outbound)</t>
  </si>
  <si>
    <t>13.7627029,</t>
  </si>
  <si>
    <t>P 1201/1</t>
  </si>
  <si>
    <t>DP015</t>
  </si>
  <si>
    <t>หน้าธนาคารกรุงไทย สาขา อตก.</t>
  </si>
  <si>
    <t>P 1128/2</t>
  </si>
  <si>
    <t>DP572</t>
  </si>
  <si>
    <t>ทางเข้า RCA (Inbound)</t>
  </si>
  <si>
    <t>พระราม 9 ตัดใหม่</t>
  </si>
  <si>
    <t>พ่วงจอป้อมแยก RCA</t>
  </si>
  <si>
    <t>P 1130/1</t>
  </si>
  <si>
    <t>DP1016</t>
  </si>
  <si>
    <t>หน้า Raffles Park Nai Lert Hotel (ทางไปแยกวิทยุ-เพชรบุรี), เยื้องซ.นายเลิศ</t>
  </si>
  <si>
    <t>P 1130/2</t>
  </si>
  <si>
    <t>DP385</t>
  </si>
  <si>
    <t xml:space="preserve">หน้าสถานีรถไฟฟ้า BTS ราชเทวี, หน้าโรงแรมเอเซีย </t>
  </si>
  <si>
    <t>พ่วงศาลา DS081</t>
  </si>
  <si>
    <t>P 1131/1</t>
  </si>
  <si>
    <t>DP386</t>
  </si>
  <si>
    <t>หน้าซอยรางน้ำ (B)</t>
  </si>
  <si>
    <t>พ่วงไฟตู้ PDC เดิม Street light</t>
  </si>
  <si>
    <t>P 1204/2</t>
  </si>
  <si>
    <t>DP1119</t>
  </si>
  <si>
    <t>หน้าสมาคมดนตรีแห่งประเทศไทย</t>
  </si>
  <si>
    <t>P 1132/1</t>
  </si>
  <si>
    <t>DP1034</t>
  </si>
  <si>
    <t>ก่อนถึง Max Value, ไปแยกพัฒนาการ</t>
  </si>
  <si>
    <t>พ่วง Merto A36</t>
  </si>
  <si>
    <t>P 1132/2</t>
  </si>
  <si>
    <t>DP930</t>
  </si>
  <si>
    <t>หน้าสนามกีฬาราชมังคลากีฬาสถาน (มาจากซ.รามคำแหง 26)</t>
  </si>
  <si>
    <t>พ่วง Merto A105</t>
  </si>
  <si>
    <t>P 1221/2</t>
  </si>
  <si>
    <t>DP1103</t>
  </si>
  <si>
    <t>ข้างเซเว่นอีเลฟเว่น ก่อนซอยศาลาแดง</t>
  </si>
  <si>
    <t>P 1137/1</t>
  </si>
  <si>
    <t>DP800</t>
  </si>
  <si>
    <t>หน้าศาลแขวงพระนครเหนือ (ก่อนถึงทางเข้าประตู 4) มุ่งหน้าแยกรัชโยธิน</t>
  </si>
  <si>
    <t>พ่วงศาลา DS259</t>
  </si>
  <si>
    <t>P 1137/2</t>
  </si>
  <si>
    <t>DP707</t>
  </si>
  <si>
    <t>หน้าอาคาร Grand Diamond, ใกล้พันธ์ทิพย์ พลาซ่า (1)</t>
  </si>
  <si>
    <t>พ่วงศาลา DS182</t>
  </si>
  <si>
    <t>P 1138/2</t>
  </si>
  <si>
    <t>DP178</t>
  </si>
  <si>
    <t>ตรงข้ามโรงพยาบาลผิวหนัง อโศก (มาจากแยกอโศก-เพชรมุ่งหน้าแยกพระราม 9)</t>
  </si>
  <si>
    <t>P 1239/1</t>
  </si>
  <si>
    <t>DP611</t>
  </si>
  <si>
    <t>เลียบคลองผดุงกรุงเกษม ตรงข้าม วัดมงกุฏกษัตริย์ (ขาเข้า)</t>
  </si>
  <si>
    <t>กรุงเกษม</t>
  </si>
  <si>
    <t>พระนคร</t>
  </si>
  <si>
    <t>13.764818,</t>
  </si>
  <si>
    <t>P 1139/2</t>
  </si>
  <si>
    <t>DP499</t>
  </si>
  <si>
    <t>หน้าซอยพระรามที่ 6 ซ.20 ก่อนถึงแยกอุรุพงษ์</t>
  </si>
  <si>
    <t>พ่วงCookies P 1475/1</t>
  </si>
  <si>
    <t>P 1141/1</t>
  </si>
  <si>
    <t>DP588</t>
  </si>
  <si>
    <t>หน้าคอนโด Ideo พหลโยธิน-จตุจักร เชิงสะพานข้ามคลองบางซื่อมาจาก BTS สะพานควายมุ่งหน้าสวนจตุจักร</t>
  </si>
  <si>
    <t>P 1141/2</t>
  </si>
  <si>
    <t>DP535</t>
  </si>
  <si>
    <t xml:space="preserve"> หน้าThe Nine พระราม 9</t>
  </si>
  <si>
    <t>พ่วงศาลา DS345</t>
  </si>
  <si>
    <t>P 1142/1</t>
  </si>
  <si>
    <t>DP143</t>
  </si>
  <si>
    <t>หน้าธนาคารไทยพาณิชย์สาขาสุขุมวิทซอย 71(ฝั่งตรงข้ามปรีดีพนมยงค์ซ.6 มุ่งหน้าคลองตัน)</t>
  </si>
  <si>
    <t>P 1142/2</t>
  </si>
  <si>
    <t>DP1078</t>
  </si>
  <si>
    <t>หน้าปั้มน้ำมัน shell ตรงข้าม Big C ดาวคะนอง (ก่อนถึงซอยสมเด็จพระเจ้าตากสิน 37)</t>
  </si>
  <si>
    <t>P 1272/1</t>
  </si>
  <si>
    <t>DP139</t>
  </si>
  <si>
    <t>หน้าร้านบัตเตอร์ฟาย ตรงข้ามเอกมัย ซ.28</t>
  </si>
  <si>
    <t>P 1144/1</t>
  </si>
  <si>
    <t>DP708</t>
  </si>
  <si>
    <t>ปากซอยเพชรบุรี 14 (มาจากแยกราชเทวีมุ่งหน้าแยกเพชรพระราม)</t>
  </si>
  <si>
    <t>P 1144/2</t>
  </si>
  <si>
    <t>DP709</t>
  </si>
  <si>
    <t>ตรงข้ามซอยเพชรบุรีซอย 4 มาจากแยกอุรุพงษ์มุ่งหน้าแยกเพชรพระราม</t>
  </si>
  <si>
    <t>พ่วง Merto A117</t>
  </si>
  <si>
    <t>P 1145/1</t>
  </si>
  <si>
    <t>DP461</t>
  </si>
  <si>
    <t>สถานีรถไฟฟ้าใต้ดินสามย่านประตู 1, หน้าวัดหัวลำโพง</t>
  </si>
  <si>
    <t>พ่วงจอป้อมแยกสามย่าน</t>
  </si>
  <si>
    <t>P 1146/2</t>
  </si>
  <si>
    <t>DP312</t>
  </si>
  <si>
    <t>หน้าปั๊มน้ำมัน Shell ก่อนถึงประชาราษฎร์ ซ.12</t>
  </si>
  <si>
    <t>P 1147/2</t>
  </si>
  <si>
    <t>DP260</t>
  </si>
  <si>
    <t>หน้าอาคารสินธร มาจากแยกสารสิน (ก่อนถึงแยกเพลินจิต)</t>
  </si>
  <si>
    <t>ในตู้ PDC</t>
  </si>
  <si>
    <t>กินไฟตรงจากการไฟฟ้า</t>
  </si>
  <si>
    <t>รีเช็ค</t>
  </si>
  <si>
    <t>P 1148/2</t>
  </si>
  <si>
    <t>DP1118</t>
  </si>
  <si>
    <t>ตรงข้ามบุญรอดบริวเวอรี่ (เลยซ.สามเสน 32)</t>
  </si>
  <si>
    <t>P 1150/1</t>
  </si>
  <si>
    <t>DP913</t>
  </si>
  <si>
    <t>แยกราชปรารถ-ศรีอยุธยา</t>
  </si>
  <si>
    <t>P 1150/2</t>
  </si>
  <si>
    <t>DP804</t>
  </si>
  <si>
    <t>หน้าโพไซดอน ก่อนถึงซอยรัชดาภิเษก 17</t>
  </si>
  <si>
    <t>พ่วงCookies P1411/1</t>
  </si>
  <si>
    <t>P 1151/1</t>
  </si>
  <si>
    <t>DP536</t>
  </si>
  <si>
    <t>หน้าบริษัท O Shopping (โอ ช้อปปิ้ง) ก่อนถึงซอยโรงพยาบาลพระราม 9</t>
  </si>
  <si>
    <t>พ่วงจอป้อมแยก อสมท.</t>
  </si>
  <si>
    <t>P 1152/2</t>
  </si>
  <si>
    <t>DP883</t>
  </si>
  <si>
    <t xml:space="preserve">บริเวณหน้าปากซอยรัชดาภิเษก 7 มุ่งหน้าเดอะมอลล์ท่าพระ </t>
  </si>
  <si>
    <t>พ่วงศาลา DS620</t>
  </si>
  <si>
    <t>P 1154/1</t>
  </si>
  <si>
    <t>DP538</t>
  </si>
  <si>
    <t>ก่อนขึ้นทางด่วน ด่านศรีนครินทร์ (ตรงข้ามตึก FN)</t>
  </si>
  <si>
    <t>P 1154/2</t>
  </si>
  <si>
    <t>DP884</t>
  </si>
  <si>
    <t xml:space="preserve">หน้าอาคารธนบุรีพลาซ่า เลยซอยรัชดาภิเษก-ธนบุรี 17 </t>
  </si>
  <si>
    <t>พ่วงศาลา DS621</t>
  </si>
  <si>
    <t>P 1155/1</t>
  </si>
  <si>
    <t>DP805</t>
  </si>
  <si>
    <t>ทางขึ้น-ลงอาคารจอดรถ รฟม. (รัชดาภิเษก-ลาดพร้าว) ก่อนถึงแยกรัชดาลาดพร้าว ขาเข้า</t>
  </si>
  <si>
    <t>พ่วงCookies P1582/1</t>
  </si>
  <si>
    <t>P 1295/1</t>
  </si>
  <si>
    <t>DP017</t>
  </si>
  <si>
    <t>หน้าสถานีรถไฟฟ้า MRT ตรงข้าม อ.ต.ก.</t>
  </si>
  <si>
    <t>P 1157/2</t>
  </si>
  <si>
    <t>DP885</t>
  </si>
  <si>
    <t>อยู่ระหว่างซอยรัชดาภิเษก-ธนบุรี 4 และ ซอยรัชดาภิเษก-ธนบุรี 2</t>
  </si>
  <si>
    <t>พ่วงศาลา DS619</t>
  </si>
  <si>
    <t>P 1158/1</t>
  </si>
  <si>
    <t>DP589</t>
  </si>
  <si>
    <t>หน้าโรงเรียนเซนต์ดอมินิก (Inbound)</t>
  </si>
  <si>
    <t>13.7493875,</t>
  </si>
  <si>
    <t>พ่วงศาลา DS 176</t>
  </si>
  <si>
    <t>P 1302/1</t>
  </si>
  <si>
    <t>DP619</t>
  </si>
  <si>
    <t>หน้าอาคาร AIS Tower 1 ก่อนถึงซอยพหลโยธิน 8  (มาจากสะพานควายมุ่งหน้าอนุสาวรีย์)</t>
  </si>
  <si>
    <t>P 1160/1</t>
  </si>
  <si>
    <t>DP590</t>
  </si>
  <si>
    <t>หน้าปั้มน้ำมัน ปตท.เยื้องซอยพหลโยธินซอย1(มุ่งหน้าอนุสาวรีย์)</t>
  </si>
  <si>
    <t>P 1161/2</t>
  </si>
  <si>
    <t>DP591</t>
  </si>
  <si>
    <t xml:space="preserve">หน้า BTS สนามเป้า </t>
  </si>
  <si>
    <t>P 1305/1</t>
  </si>
  <si>
    <t>DP829</t>
  </si>
  <si>
    <t>หน้าโรงแรมเดอะบาซาร์ แบงค็อกรัชดา (ก่อนถึงแยกรัชดาลาดพร้าว)</t>
  </si>
  <si>
    <t>P 1315/1</t>
  </si>
  <si>
    <t>DP623</t>
  </si>
  <si>
    <t>เลียบคลองผดุงกรุงเกษม หน้า ป้ายวัดมงกุฏกษัตริย์ (ขาเข้า)</t>
  </si>
  <si>
    <t>13.765052,</t>
  </si>
  <si>
    <t>P 1168/1</t>
  </si>
  <si>
    <t>DP807</t>
  </si>
  <si>
    <t>ก่อนถึงสถานีรถไฟฟ้าใต้ดินศูนย์ประชุมแห่งขาติสิริกิตต์ (ตรงข้ามศูนย์ประชุมสิริกิตต์) จุดที่ 1</t>
  </si>
  <si>
    <t>พ่วง Cookies P1242/1</t>
  </si>
  <si>
    <t>P 1169/2</t>
  </si>
  <si>
    <t>DP592</t>
  </si>
  <si>
    <t>หน้าศูนย์ TOYOTA โชว์รูมเกษตร ก่อนถึงธนาคารเพื่อการเกษตรและสหกรณ์การเกษตร (ธกส.) มาจากบางบัวมุ่งหน้าแยกเกษตร</t>
  </si>
  <si>
    <t>พ่วงตู้คอลโทรลเดิม</t>
  </si>
  <si>
    <t>P 1170/2</t>
  </si>
  <si>
    <t>DP1036</t>
  </si>
  <si>
    <t>มาจากแยกกรุงเทพกรีฑามุ่งหน้าแยกลำสาลีเลยบริษัทกรีนสปอร์ต</t>
  </si>
  <si>
    <t>พ่วงศาลา DS533</t>
  </si>
  <si>
    <t>P 1171/1</t>
  </si>
  <si>
    <t>DP181</t>
  </si>
  <si>
    <t>ทางลง ด่านอโศก ถ.อโศก-ดินแดง มุ่งหน้ารัชดา ก่อนถึงคอนโด  Chewathai Residence Asoke</t>
  </si>
  <si>
    <t>พ่วงศาลา DS249</t>
  </si>
  <si>
    <t>P 1321/2</t>
  </si>
  <si>
    <t>DP012</t>
  </si>
  <si>
    <t>หน้าธ.กสิกรไทย (ใกล้ห้าง Big C วงศ์สว่าง, Outbound)</t>
  </si>
  <si>
    <t>P 1174/2</t>
  </si>
  <si>
    <t>DP1038</t>
  </si>
  <si>
    <t>หน้าห้างซีคอนสแควร์ (2)</t>
  </si>
  <si>
    <t>พ่วง Merto A31</t>
  </si>
  <si>
    <t>P 1175/1</t>
  </si>
  <si>
    <t>DP1149</t>
  </si>
  <si>
    <t>ใต้สถานี BTS อโศก มุ่งหน้าซอยนานา</t>
  </si>
  <si>
    <t>พ่วงจอป้อม แยกอโศกมนตรี</t>
  </si>
  <si>
    <t>P 1346/1</t>
  </si>
  <si>
    <t>DP627</t>
  </si>
  <si>
    <t>เลียบคลองผดุงกรุงเกษม ตรงข้าม บริษัท แก้วมณี เมทัล จำกัด
 (ขาออก)</t>
  </si>
  <si>
    <t>13.766818,</t>
  </si>
  <si>
    <t>P 1350/1</t>
  </si>
  <si>
    <t>DP270</t>
  </si>
  <si>
    <t>หน้าอาคาร United Center ใกล้แยกพิพัฒน์</t>
  </si>
  <si>
    <t>P 1351/1</t>
  </si>
  <si>
    <t>DP470</t>
  </si>
  <si>
    <t>หน้าปั้มน้ำมัน ปตท. ก่อนขึ้นสะพานข้ามแยกสามย่าน</t>
  </si>
  <si>
    <t>P 1178/1</t>
  </si>
  <si>
    <t>DP932</t>
  </si>
  <si>
    <t>ก่อนถึงแยกคลองตันเยื้องอาคาร UM Tower มาจากแยกพระราม9-รามคำแหง มุ่งหน้าแยกคลองตัน</t>
  </si>
  <si>
    <t>P 1363/2</t>
  </si>
  <si>
    <t>DP002</t>
  </si>
  <si>
    <t>ตรงข้ามโรงเรียนเทพศิรินทร์ (Inbound)</t>
  </si>
  <si>
    <t>P 1179/2</t>
  </si>
  <si>
    <t>DP1102</t>
  </si>
  <si>
    <t>หน้าอาคารทิสโก้ ใกล้ซอยศาลาแดง 2</t>
  </si>
  <si>
    <t>พ่วงCookies P 1281/1</t>
  </si>
  <si>
    <t>P 1180/1</t>
  </si>
  <si>
    <t>DP812</t>
  </si>
  <si>
    <t>รัชดาภิเษก ซอย 60</t>
  </si>
  <si>
    <t>P 1181/1</t>
  </si>
  <si>
    <t>DP595</t>
  </si>
  <si>
    <t>สถานี BTS หมอชิต (ฝั่งอู่รถไฟฟ้า, Inbound)</t>
  </si>
  <si>
    <t>พ่วงศาลา DS321</t>
  </si>
  <si>
    <t>P 1181/2</t>
  </si>
  <si>
    <t>DP596</t>
  </si>
  <si>
    <t>ปากซอยพหลโยธินซอย 18/1(มาจากแยกลาดพร้าวมุ่งหน้า BTS หมอชิต)</t>
  </si>
  <si>
    <t>พ่วง Cookies P1626/1</t>
  </si>
  <si>
    <t>ม-116494</t>
  </si>
  <si>
    <t>P 1182/1</t>
  </si>
  <si>
    <t>DP387</t>
  </si>
  <si>
    <t>หน้าสถานีรถไฟฟ้า​ BTS อนุสาวรีย์ชัยสมรภูมิ (มุ่งหน้าแยกพญาไท)</t>
  </si>
  <si>
    <t>พ่วงศาลา DS104</t>
  </si>
  <si>
    <t>P 1182/2</t>
  </si>
  <si>
    <t>DP597</t>
  </si>
  <si>
    <t>หน้าคอนโดLumpini Suite (Outbound)</t>
  </si>
  <si>
    <t>13.7498438,</t>
  </si>
  <si>
    <t>พ่วง Metro poster A118</t>
  </si>
  <si>
    <t>P 1185/1</t>
  </si>
  <si>
    <t>DP1080</t>
  </si>
  <si>
    <t>หน้าปั๊มน้ำมันปตท. (ก่อนถึงสถานีรถไฟหัวลำโพง), เยื้องโรงเรียนสายปัญญา</t>
  </si>
  <si>
    <t>สะพานนพวงศ์</t>
  </si>
  <si>
    <t>พ่วง Cookies P 1351/2</t>
  </si>
  <si>
    <t>P 1187/1</t>
  </si>
  <si>
    <t>DP598</t>
  </si>
  <si>
    <t>หน้าคอนโด The Editor ใต้สถานีรถไฟฟ้า BTS สะพานควาย (มาจากสะพานควายมุ่งหน้าสวนจตุจักร)</t>
  </si>
  <si>
    <t>P 1364/1</t>
  </si>
  <si>
    <t>DP003</t>
  </si>
  <si>
    <t>ตรงข้ามโรงเรียนสายปัญญา</t>
  </si>
  <si>
    <t>P 1188/1</t>
  </si>
  <si>
    <t>DP600</t>
  </si>
  <si>
    <t>หน้าธนาคารออมสินสำนักงานใหญ่ (Inbound)</t>
  </si>
  <si>
    <t>P 1366/1</t>
  </si>
  <si>
    <t>DP005</t>
  </si>
  <si>
    <t>หน้ากระทรวงพัฒนาสังคมและความมั่นคงของมนุษย์ (มาจากแยกกษัตริย์ศึกมุงหน้าแยกสะพานขาว)</t>
  </si>
  <si>
    <t>P 1192/1</t>
  </si>
  <si>
    <t>DP070</t>
  </si>
  <si>
    <t>หน้าปั๊มน้ำมัน Shell ข้างอาคาร Jc Kevin Tower (มาจากซอยนราธิวาสฯ 8/1)</t>
  </si>
  <si>
    <t>P 1193/2</t>
  </si>
  <si>
    <t>DP347</t>
  </si>
  <si>
    <t>ก่อนถึงแยกพระราม9-ประดิษฐ์มนูธรรม มุ่งหน้าเอกมัย (จุดที่ 2)</t>
  </si>
  <si>
    <t>พ่วง Cookies P1111/1</t>
  </si>
  <si>
    <t>P 1194/1</t>
  </si>
  <si>
    <t>DP1039</t>
  </si>
  <si>
    <t>หน้า ร.ร.อนุบาลชุติมา (ตรงไปแยกกรุงเทพกรีฑา)</t>
  </si>
  <si>
    <t>พ่วงศาลา DS532</t>
  </si>
  <si>
    <t>P 1194/2</t>
  </si>
  <si>
    <t>DP022</t>
  </si>
  <si>
    <t>หน้าอาคารบางซื่อ จังชั่น (ตรงข้ามตลาดนัดสวนจตุจัตร)</t>
  </si>
  <si>
    <t>พ่วงCookies P1275/1</t>
  </si>
  <si>
    <t>P 1195/2</t>
  </si>
  <si>
    <t>DP464</t>
  </si>
  <si>
    <t>หน้าอาคารจามจุรีสแควร์ (เยื้องวัดหัวลำโพง)</t>
  </si>
  <si>
    <t>พ่วงCookies SP 1263/1</t>
  </si>
  <si>
    <t>P 1367/1</t>
  </si>
  <si>
    <t>DP006</t>
  </si>
  <si>
    <t>ถนนกรุงเกษม ก่อนถึงแยกสะพานขาว</t>
  </si>
  <si>
    <t>P 1368/1</t>
  </si>
  <si>
    <t>DP007</t>
  </si>
  <si>
    <t>ข้างป้อมตำรวจแยกเทวกรรม (มาจากแยกเทวกรรมมุ่งหน้าแยกสะพานขาว)</t>
  </si>
  <si>
    <t>P 1197/1</t>
  </si>
  <si>
    <t>DP900</t>
  </si>
  <si>
    <t>ตรงข้าม AUA ใกล้สถานีรถไฟ ราชดำริ (ก่อนถึง S 142, S 143)</t>
  </si>
  <si>
    <t>พ่วงศาลา  DS062</t>
  </si>
  <si>
    <t>P 1197/2</t>
  </si>
  <si>
    <t>DP816</t>
  </si>
  <si>
    <t>หน้าชุมชนริมคลองบางซื่อ ก่อนถึงรัชดาซอย 19</t>
  </si>
  <si>
    <t>P 1198/2</t>
  </si>
  <si>
    <t>DP817</t>
  </si>
  <si>
    <t>ทางเข้าหน้าศาลอาญา(Outbound)</t>
  </si>
  <si>
    <t>พ่วงศาลา DS260</t>
  </si>
  <si>
    <t>P 1199/1</t>
  </si>
  <si>
    <t>DP1150</t>
  </si>
  <si>
    <t>หน้าปั๊ม SHELL เลยสุขุมวิท ซ.62</t>
  </si>
  <si>
    <t>P 1199/2</t>
  </si>
  <si>
    <t>DP014</t>
  </si>
  <si>
    <t>ด้านข้างตลาดรถไฟ (เก่า) ตรงข้ามตลาดสัตว์เลี้ยง (มาจากพระราม 6 มุ่งหน้าจตุจักร)</t>
  </si>
  <si>
    <t>พ่วงศาลาAS 069</t>
  </si>
  <si>
    <t>P 1200/1</t>
  </si>
  <si>
    <t>DP540</t>
  </si>
  <si>
    <t>หน้าปั๊มน้ำมัน Shell ก่อนถึง Home Pro พระราม 9</t>
  </si>
  <si>
    <t>P 1200/2</t>
  </si>
  <si>
    <t>DP818</t>
  </si>
  <si>
    <t>หน้าคอนโด Vantage ทางลงจากสะพานรัชวิภามุ่งหน้าแยกรัชโยธิน (ขาเข้า)</t>
  </si>
  <si>
    <t>P 1369/1</t>
  </si>
  <si>
    <t>DP630</t>
  </si>
  <si>
    <t>เลยนิตยาไกย่างซอยสุภาร่วม มุ่งหน้าแยกวงศ์สว่าง (ขาออก)</t>
  </si>
  <si>
    <t>13.830529,</t>
  </si>
  <si>
    <t>P 1203/1</t>
  </si>
  <si>
    <t>DP604</t>
  </si>
  <si>
    <t>ระหว่างซอยพหลโยธิน 47-49 ตรงข้ามโรงเรียนสาระวิทยา (มาจากแยกเกษตรมุ่งหน้าวงเวียนบางเขน)</t>
  </si>
  <si>
    <t>P 1203/2</t>
  </si>
  <si>
    <t>DP820</t>
  </si>
  <si>
    <t>หน้าบุษราคัมทัวร์(ก่อนถึงซอยรัชดาภิเษก 72)</t>
  </si>
  <si>
    <t>P 1378/2</t>
  </si>
  <si>
    <t>DP631</t>
  </si>
  <si>
    <t>หน้าร้านอาหารบ้านตำหรับเนื้อตุ๋น ซ.ประชาชื่น 39(ขาออก)</t>
  </si>
  <si>
    <t>13.843376,</t>
  </si>
  <si>
    <t>P 1207/1</t>
  </si>
  <si>
    <t>DP605</t>
  </si>
  <si>
    <t>ตรงข้ามโรงแรมม SCPark (Outbound)</t>
  </si>
  <si>
    <t>13.7679922,</t>
  </si>
  <si>
    <t>พ่วงศาลาDS 349</t>
  </si>
  <si>
    <t>P 1207/2</t>
  </si>
  <si>
    <t>DP935</t>
  </si>
  <si>
    <t>ก่อนถึงซอยรามคำแหง 68 (มาจากแยกบ้านม้า มุ่งหน้าพระราม9)</t>
  </si>
  <si>
    <t>P 1209/2</t>
  </si>
  <si>
    <t>DP032</t>
  </si>
  <si>
    <t>ใกล้ธนาคารไทยพาณิชย์ สาขาบางพลัด ระหว่างซ.จรัญสนิทวงศ์ 77 และ 77/1</t>
  </si>
  <si>
    <t>P 1211/1</t>
  </si>
  <si>
    <t>DP388</t>
  </si>
  <si>
    <t>หน้าอาคารจามจุรีสแควร์</t>
  </si>
  <si>
    <t>P 1211/2</t>
  </si>
  <si>
    <t>DP541</t>
  </si>
  <si>
    <t>หน้า The Nine พระราม 9</t>
  </si>
  <si>
    <t>P 1215/2</t>
  </si>
  <si>
    <t>DP688</t>
  </si>
  <si>
    <t>ใกล้ซอยพงษ์จิต ก่อนถึงซอยเพชรเกษม 1(เยื้องกับปัมน้ำมัน shell)</t>
  </si>
  <si>
    <t>เพชรเกษม</t>
  </si>
  <si>
    <t>พ่วงศาลา DS582</t>
  </si>
  <si>
    <t>P 1216/1</t>
  </si>
  <si>
    <t>DP821</t>
  </si>
  <si>
    <t>หน้าปั้มน้ำมัน Shell ทางไปมหาวิทยาลัยจันทร์เกษม (ก่อนถึงซอยรัชดาภิเษก 36)</t>
  </si>
  <si>
    <t>พ่วง Cookies P1307/2</t>
  </si>
  <si>
    <t>P 1216/2</t>
  </si>
  <si>
    <t>DP606</t>
  </si>
  <si>
    <t>เลยสถานีกองทัพบกช่อง 5 ก่อนถึงปั้ม ปตท.(มุ่งหน้าอนุสาวรีย์)</t>
  </si>
  <si>
    <t>พ่วงศาลา DS330</t>
  </si>
  <si>
    <t>P 1217/1</t>
  </si>
  <si>
    <t>DP607</t>
  </si>
  <si>
    <t xml:space="preserve"> เลยกรมวิทยาศาสตร์ทหารบก ตรงข้ามกรมอุทยานแห่งชาติ สัตว์ป่าและพันธ์พืช (มุ่งหน้าแยกเกษตร)</t>
  </si>
  <si>
    <t>พ่วงศาลา DS311</t>
  </si>
  <si>
    <t>P 1217/2</t>
  </si>
  <si>
    <t>DP608</t>
  </si>
  <si>
    <t>หน้าโรงเรียนสารวิทยา (Inbound)</t>
  </si>
  <si>
    <t>พ่วงศาลา DS310</t>
  </si>
  <si>
    <t>P 1218/1</t>
  </si>
  <si>
    <t>DP542</t>
  </si>
  <si>
    <t>หน้าราชารถตู้ (จากแยกศรีนครินทร์) ก่อนถึงพระราม 9 ซอย 64</t>
  </si>
  <si>
    <t>P 1379/1</t>
  </si>
  <si>
    <t>DP632</t>
  </si>
  <si>
    <t>ตรงข้าม 3BB ซ.ประชาชื่น 38  (ขาเข้า)</t>
  </si>
  <si>
    <t>13.842929,</t>
  </si>
  <si>
    <t>P 1220/1</t>
  </si>
  <si>
    <t>DP389</t>
  </si>
  <si>
    <t>หน้าอาคารจามจุรีสแควร์ (อยู่ระหว่างแยกสามย่าน)</t>
  </si>
  <si>
    <t>พ่วงCookies P1211/1</t>
  </si>
  <si>
    <t>P 1385/1</t>
  </si>
  <si>
    <t>DP1120</t>
  </si>
  <si>
    <t>P 1222/2</t>
  </si>
  <si>
    <t>หน้าบริษัท Panasonic (Outbound)</t>
  </si>
  <si>
    <t>13.7492844,</t>
  </si>
  <si>
    <t>พ่วงCookies DP 717</t>
  </si>
  <si>
    <t>P 1223/1</t>
  </si>
  <si>
    <t>DP610</t>
  </si>
  <si>
    <t>เลียบคลองผดุงกรุงเกษม ตรงข้าม หจก.เอส เอ็น คูลลิ่ง เซ็นเตอร์ 
(ขาเข้า)</t>
  </si>
  <si>
    <t>13.759545,</t>
  </si>
  <si>
    <t>พ่วงCookies P1368/1</t>
  </si>
  <si>
    <t>P 1227/2</t>
  </si>
  <si>
    <t>DP220</t>
  </si>
  <si>
    <t>หน้าโรงเรียนชิโนรสวิทยาลัย ตรงข้ามกองบัญชาการกองทัพเรือ</t>
  </si>
  <si>
    <t>พ่วงศาลา DS 369</t>
  </si>
  <si>
    <t>P 1228/1</t>
  </si>
  <si>
    <t>DP465</t>
  </si>
  <si>
    <t>P 1230/2</t>
  </si>
  <si>
    <t>DP223</t>
  </si>
  <si>
    <t>หน้าร้านสวัสดิการกองทัพเรือ</t>
  </si>
  <si>
    <t>พ่วงศาลา DS367</t>
  </si>
  <si>
    <t>P 1231/1</t>
  </si>
  <si>
    <t>DP200</t>
  </si>
  <si>
    <t>หน้า Big C สาขาอ่อนนุช จุดที่2 (มาจากศรีนครินทร์มุ่งหน้าสูขุมวิท)</t>
  </si>
  <si>
    <t>P 1389/1</t>
  </si>
  <si>
    <t>DP937</t>
  </si>
  <si>
    <t>หน้า ศรีสวัสดิ์ เงินสดทันใจ ตรงข้ามโรงเรียนวัดเทพลีลา</t>
  </si>
  <si>
    <t>รามคำแหง 39</t>
  </si>
  <si>
    <t xml:space="preserve">บางกะปิ </t>
  </si>
  <si>
    <t>13.7578622,</t>
  </si>
  <si>
    <t>P 1233/1</t>
  </si>
  <si>
    <t>DP901</t>
  </si>
  <si>
    <t>หน้าโรงพยาบาลจุฬาฯ (มาจากแยกศาลาแดง),ฝั่งตรงข้ามสวนลุมพินี</t>
  </si>
  <si>
    <t>พ่วง Merto A58</t>
  </si>
  <si>
    <t>P 1234/1</t>
  </si>
  <si>
    <t>DP1104</t>
  </si>
  <si>
    <t>ปากซอยสาทร 10 หน้าบริษัทซันยางอุตสาหกรรมอาหารจำกัด ,บริษัทสามมิตรอุตสาหกรรมอาหาร จำกัด</t>
  </si>
  <si>
    <t>P 1234/2</t>
  </si>
  <si>
    <t>DP1140</t>
  </si>
  <si>
    <t>หน้าธนาคารกรุงเทพสาขาคลองจั่น มุ่งหน้าเเยกบางกะปิ (ขาเข้าลาดพร้าว)</t>
  </si>
  <si>
    <t>สุขาภิบาล 2</t>
  </si>
  <si>
    <t>P 1235/2</t>
  </si>
  <si>
    <t>DP466</t>
  </si>
  <si>
    <t>ก่อนถึง SAMYAN MITRTOWN (สามย่านมิตรทาวน์)</t>
  </si>
  <si>
    <t>พ่วง Merto A46</t>
  </si>
  <si>
    <t>P 1389/2</t>
  </si>
  <si>
    <t>DP938</t>
  </si>
  <si>
    <t>หน้ามหาวิทยาลัยรามคำแหง</t>
  </si>
  <si>
    <t>P 1239/2</t>
  </si>
  <si>
    <t>DP822</t>
  </si>
  <si>
    <t>หน้าทางเข้ากรมส่งเสริมการค้าระหว่างประเทศ มาจากรัชดาภิเษก 32 (ฝั่งตรงข้ามศาลแพ่ง)</t>
  </si>
  <si>
    <t>พ่วงศาลา DS271</t>
  </si>
  <si>
    <t>P 1241/1</t>
  </si>
  <si>
    <t>DP244</t>
  </si>
  <si>
    <t>แยกศาลาแดง  (ฝั่งโรงพยาบาลจุฬาฯ)</t>
  </si>
  <si>
    <t>พ่วงป้าย-MTP(A58)</t>
  </si>
  <si>
    <t>P 1391/1</t>
  </si>
  <si>
    <t>DP940</t>
  </si>
  <si>
    <t>รามคำแหง 39 ซอย 15</t>
  </si>
  <si>
    <t>13.7622826,</t>
  </si>
  <si>
    <t>P 1242/2</t>
  </si>
  <si>
    <t>DP824</t>
  </si>
  <si>
    <t>ตรงข้าม The Lake Condo (มุ่งหน้าแยกอโศก)</t>
  </si>
  <si>
    <t>พ่วง Merto A06</t>
  </si>
  <si>
    <t>P 1243/1</t>
  </si>
  <si>
    <t>DP825</t>
  </si>
  <si>
    <t>มาจากแยกวงศ์สว่างขาเข้า(เชิงสะพานข้ามแยกรัชดา-วงศ์สว่าง)</t>
  </si>
  <si>
    <t>พ่วงศาลานอกสัญญา CS 219</t>
  </si>
  <si>
    <t>P 1243/2</t>
  </si>
  <si>
    <t>DP612</t>
  </si>
  <si>
    <t>หน้าปั้มน้ำมัน  Esso ข้างอาคาร Pearl Bangkok  ระหว่างซอยพหลโยธิน 5-7 (มาจากอนุสาวรีย์มุ่งหน้าสะพานควาย)</t>
  </si>
  <si>
    <t>P 1244/1</t>
  </si>
  <si>
    <t>DP972</t>
  </si>
  <si>
    <t xml:space="preserve">หน้าปั้มเซลล์ เยื้องซ.ลาดพร้าว41ภาวนา </t>
  </si>
  <si>
    <t>P 1244/2</t>
  </si>
  <si>
    <t>DP973</t>
  </si>
  <si>
    <t>หน้าศูนย์การค้ายูเนี่ยนมอลล์ 5 แยกลาดพร้าว( ก่อนถึงซ.ลาดพร้าว1)</t>
  </si>
  <si>
    <t>พ่วง Cookies P1245/1</t>
  </si>
  <si>
    <t>P 1245/1</t>
  </si>
  <si>
    <t>DP974</t>
  </si>
  <si>
    <t>หน้าทางลงสถานีรถไฟฟ้าใต้ดินพหลโยธิน BL14 มุ่งหน้าบางกะปิ</t>
  </si>
  <si>
    <t>พ่วง Merto B14</t>
  </si>
  <si>
    <t>P 1246/2</t>
  </si>
  <si>
    <t>DP016</t>
  </si>
  <si>
    <t>แยกกำแพงเพชร-กำแพงเพชร 2 ตรงข้าม อตก.</t>
  </si>
  <si>
    <t>พ่วงศาลา DS216</t>
  </si>
  <si>
    <t>P 1247/1</t>
  </si>
  <si>
    <t>DP543</t>
  </si>
  <si>
    <t>ครงข้าม A. G. Cars (ปากซอยพระราม 9 ซอย 15)</t>
  </si>
  <si>
    <t>พ่วง Polewap PE 155</t>
  </si>
  <si>
    <t>P 1247/2</t>
  </si>
  <si>
    <t>DP544</t>
  </si>
  <si>
    <t>แยกจูเลียน่า,ระหว่างพระราม 9 ซ. 22 และ 24 (ตรงข้ามโชว์รูมรถ บ. เอ จี คาร์ส, Outbound)</t>
  </si>
  <si>
    <t>P 1248/1</t>
  </si>
  <si>
    <t>DP613</t>
  </si>
  <si>
    <t>หน้าธนาคารกสิกรไทย, ใกล้ BTS อารีย์, ก่อนถึงซ.พหลโยธิน 6 (B)</t>
  </si>
  <si>
    <t>P 1249/2</t>
  </si>
  <si>
    <t>DP500</t>
  </si>
  <si>
    <r>
      <t xml:space="preserve">หน้าอาคาร Tipco Tower </t>
    </r>
    <r>
      <rPr>
        <sz val="11"/>
        <rFont val="Century Gothic"/>
        <family val="2"/>
      </rPr>
      <t>(ธ.UOB) ก่อนถึงพระรามที่ 6 แยก 39</t>
    </r>
  </si>
  <si>
    <t>พ่วงศาลานอกสัญญา S 1471</t>
  </si>
  <si>
    <t>P 1250/2</t>
  </si>
  <si>
    <t>DP050</t>
  </si>
  <si>
    <t>หน้าอาคาร YIN TIAN</t>
  </si>
  <si>
    <t>พ่วงจอป้อมแยกฟอร์จูน</t>
  </si>
  <si>
    <t>P 1251/1</t>
  </si>
  <si>
    <t>DP501</t>
  </si>
  <si>
    <t>หน้ากระทรวงการต่างประเทศ (จุดที่ 1)</t>
  </si>
  <si>
    <t>พ่วงศาลา DS188</t>
  </si>
  <si>
    <t>P 1252/2</t>
  </si>
  <si>
    <t>DP756</t>
  </si>
  <si>
    <t>ปั๊มน้ำมัน Esso (ก่อนถึงโรงเรียนวัดอุทัย) ทางมาจากถ.พระราม 9 ไปถ.เพชรบุรี</t>
  </si>
  <si>
    <t>เพชรอุทัย</t>
  </si>
  <si>
    <t>P 1253/2</t>
  </si>
  <si>
    <t>DP322</t>
  </si>
  <si>
    <t>หน้าบริษัทพลู-เทค จำกัด (เยื้องปั๊มน้ำมัน ปตท.สาขาประชาอุทิศ 2)</t>
  </si>
  <si>
    <t>P 1254/2</t>
  </si>
  <si>
    <t>DP060</t>
  </si>
  <si>
    <t>หน้าธนาคารไทยพาณิชย์ สาขาสี่แยกศรีวรา (ก่อนถึงแยกศรีวรามุ่งหน้าแยกประชาอุทิศ)</t>
  </si>
  <si>
    <t>เทพลีลา</t>
  </si>
  <si>
    <t>P 1255/2</t>
  </si>
  <si>
    <t>DP467</t>
  </si>
  <si>
    <t>ก่อนถึงแยกโค้งมหาวิทยาลัยกรุงเทพ (ฝั่งตรงข้าม ม.กรุงเทพ)</t>
  </si>
  <si>
    <t>พ่วง Merto A52</t>
  </si>
  <si>
    <t>P 1257/2</t>
  </si>
  <si>
    <t>DP236</t>
  </si>
  <si>
    <t>หน้าทางเข้าศูนย์การค้า Siam Discovery (ก่อนถึงแยกปทุมวัน)</t>
  </si>
  <si>
    <t>พ่วงป้าย-MTP(A75)</t>
  </si>
  <si>
    <t>พ่วงมิเตอร์ในตู้ PDC</t>
  </si>
  <si>
    <t>P 1259/1</t>
  </si>
  <si>
    <t>DP545</t>
  </si>
  <si>
    <t>มาจากแยกผังเมือง ก่อนถึงตึก KPN (จุดที่ 1)</t>
  </si>
  <si>
    <t>พ่วงGate Way ด่านพระราม 9</t>
  </si>
  <si>
    <t>P 1259/2</t>
  </si>
  <si>
    <t>DP546</t>
  </si>
  <si>
    <t>หน้าสำนักงานรถไฟฟ้ามหานคร (ประตู 2),เยื้องปั๊ม Shell, Outbound</t>
  </si>
  <si>
    <t>พ่วงศาลา DS340</t>
  </si>
  <si>
    <t>P 1261/1</t>
  </si>
  <si>
    <t>DP902</t>
  </si>
  <si>
    <t>หน้าคณะแพทย์ศาสตร์จุฬาฯ</t>
  </si>
  <si>
    <t>พ่วงศาลา DS061</t>
  </si>
  <si>
    <t>P 1261/2</t>
  </si>
  <si>
    <t>DP903</t>
  </si>
  <si>
    <t>สนามม้าราชกรีฑาสโมสร (เยื้องสถาบัน AUA), มุ่งหน้าไปแยกราชประสงค์</t>
  </si>
  <si>
    <t>พ่วงศาลา DS062</t>
  </si>
  <si>
    <t>P 1264/2</t>
  </si>
  <si>
    <t>DP349</t>
  </si>
  <si>
    <t>ก่อนถึงร้านอาหาร Helen (ก่อนขึ้นด่วนด่านลาดพร้าว, ใกล้โรงเรียนอุดมเกษมบริหารธุรกิจนานาชาติ) หน้า Helth Land</t>
  </si>
  <si>
    <t>P 1265/1</t>
  </si>
  <si>
    <t>DP765</t>
  </si>
  <si>
    <t>แยกถนนตก(มุ่งหน้าบุคคโล)</t>
  </si>
  <si>
    <t>พ่วง Merto A38</t>
  </si>
  <si>
    <t>P 1265/2</t>
  </si>
  <si>
    <t>DP766</t>
  </si>
  <si>
    <t>หน้า ห.จ.ก.ค้ามั่นคงสตีล ก่อนถึงซอยมไหสวรรย์ 6 (มุ่งหน้าแยกบุคคโล)</t>
  </si>
  <si>
    <t>พ่วงCookies P 1265/1</t>
  </si>
  <si>
    <t>P 1266/1</t>
  </si>
  <si>
    <t>DP390</t>
  </si>
  <si>
    <t>หน้าสวนหย่อมเฉลิมหล้า (ก่อนกลับรถใต้สะพานหัวช้าง)</t>
  </si>
  <si>
    <t>P 1267/1</t>
  </si>
  <si>
    <t>DP350</t>
  </si>
  <si>
    <t>หน้าเต็นท์รถมือสอง Joy autocar ก่อนถึง ปั้มบางจาก ประดิษฐ์มนูธรรม(ซอยทางลัดรามคำแหง ซอย21)</t>
  </si>
  <si>
    <t>P 1267/2</t>
  </si>
  <si>
    <t>DP351</t>
  </si>
  <si>
    <t>เชิงทางลงสะพานข้ามแยกลาดพร้าวก่อนถึงบ้านกลางเมือง มุ่งหน้าพระราม9</t>
  </si>
  <si>
    <t>P 1268/1</t>
  </si>
  <si>
    <t>DP391</t>
  </si>
  <si>
    <t>ก่อนถึง BTS ราชเทวี มุ่งหน้าอนุสาวรีย์ฯ</t>
  </si>
  <si>
    <t>P 1268/2</t>
  </si>
  <si>
    <t>DP431</t>
  </si>
  <si>
    <t>ตรงข้ามศูนย์การค้า TREE ON 3 (พระราม 3)</t>
  </si>
  <si>
    <t>P 1394/2</t>
  </si>
  <si>
    <t>DP843</t>
  </si>
  <si>
    <t>หน้าโชว์รูมรถซุปเปอร์คาร์ Setpoint Group ตรงข้ามซอยสหการประมูล
มุ่งหน้าแยกแหม่งจ๋าย</t>
  </si>
  <si>
    <t>13.768237,</t>
  </si>
  <si>
    <t>P 1271/1</t>
  </si>
  <si>
    <t>DP502</t>
  </si>
  <si>
    <t>เลยพระรามที่ 6 ซอย 37 ก่อนถึงอาคาร Tipco</t>
  </si>
  <si>
    <t>P 1271/2</t>
  </si>
  <si>
    <t>DP503</t>
  </si>
  <si>
    <t>ก่อนถึงอาคารทิปโก้ (หน้าอาคารเลขที่ 120 , มุ่งหน้าไปแยกประดิพัทธ์)</t>
  </si>
  <si>
    <t>พ่วง Cookies P 1271/1</t>
  </si>
  <si>
    <t>P 1404/2</t>
  </si>
  <si>
    <t>DP845</t>
  </si>
  <si>
    <t>หน้าศูนย์ซ่อมเบนซ์วงค์สว่าง ปากซอยรัชดาภิเษก 39 (ขาออก)</t>
  </si>
  <si>
    <t>P 1272/2</t>
  </si>
  <si>
    <t>DP146</t>
  </si>
  <si>
    <t>หน้าร้าน Falcon Go ฝั่งตรงข้ามปรีดีพนมยงค์ 35 มุ่งหน้าพระโขนง</t>
  </si>
  <si>
    <t>P 1273/1</t>
  </si>
  <si>
    <t>DP614</t>
  </si>
  <si>
    <t>หน้าอาคาร EXIM Bank (Outbound)</t>
  </si>
  <si>
    <t>P 1421/1</t>
  </si>
  <si>
    <t>DP164</t>
  </si>
  <si>
    <t>ตรงข้าม คอนโดประชาชื่น เรสซิเด้น ซ.ประชาชื่น 37  (ขาเข้า)</t>
  </si>
  <si>
    <t>13.841071,</t>
  </si>
  <si>
    <t>P 1275/2</t>
  </si>
  <si>
    <t>DP392</t>
  </si>
  <si>
    <t xml:space="preserve">หน้าปทุมวันรีสอร์ท </t>
  </si>
  <si>
    <t>P 1278/2</t>
  </si>
  <si>
    <t>DP291</t>
  </si>
  <si>
    <t>ตรงข้ามซ.ประชาชื่น 44 (มาจากแยกถนนงามวงศ์วาน ไปแยกประชานุกูล, Inbound)</t>
  </si>
  <si>
    <t>พ่วงศาลานอกสัญญา S 1278</t>
  </si>
  <si>
    <t>P 1279/1</t>
  </si>
  <si>
    <t>DP038</t>
  </si>
  <si>
    <t>หน้า บ.เอส ดี คาร์แคร์ ก่อนถึงแยกวัดดวงแข (มาจากถ.พระราม 4)</t>
  </si>
  <si>
    <t>จารุเมือง</t>
  </si>
  <si>
    <t>P 1423/1</t>
  </si>
  <si>
    <t>DP1162</t>
  </si>
  <si>
    <t>หน้าเอ็มสเฟียร์ มาจากสวนเบญจสิริ มุ่งหน้าแยกอโศก</t>
  </si>
  <si>
    <t>P 1280/2</t>
  </si>
  <si>
    <t>DP394</t>
  </si>
  <si>
    <t xml:space="preserve">หน้าวิทยาลัยราชมงคลวิทยาเขตอุเทน </t>
  </si>
  <si>
    <t>พ่วงศาลา DS089</t>
  </si>
  <si>
    <t>P 1281/1</t>
  </si>
  <si>
    <t>DP1106</t>
  </si>
  <si>
    <t xml:space="preserve">หน้าอาคารทิสโก้ </t>
  </si>
  <si>
    <t>P 1433/2</t>
  </si>
  <si>
    <t>DP205</t>
  </si>
  <si>
    <t>ตรงข้าม อนุบาลแสงโสม ซ.ประชาชื่น 32  (ขาเข้า)</t>
  </si>
  <si>
    <t>13.835692,</t>
  </si>
  <si>
    <t>P 1282/1</t>
  </si>
  <si>
    <t>DP292</t>
  </si>
  <si>
    <t>ใต้ทางด่วน ก่อนถึงโรงพยาบาลเกษมราษฎร์ ประชาชื่น มุ่งหน้าแยกประชาชื่น( ขาเข้า)</t>
  </si>
  <si>
    <t>พ่วงศาลา DS382</t>
  </si>
  <si>
    <t>P 1282/2</t>
  </si>
  <si>
    <t>DP293</t>
  </si>
  <si>
    <t>ฝั่งตรงข้าม 7-11 สาขาประชาชื่น 30 (ก่อนถึงโรงพยาบาลเกษมราษฎร์ ประชาชื่น)</t>
  </si>
  <si>
    <t>P 1283/1</t>
  </si>
  <si>
    <t>DP294</t>
  </si>
  <si>
    <t>ตรงข้ามประชาชื่นซอย 29</t>
  </si>
  <si>
    <t>พ่วงศาลานอกสัญญา S 1283</t>
  </si>
  <si>
    <t>P 1283/2</t>
  </si>
  <si>
    <t>DP615</t>
  </si>
  <si>
    <t>สถานีรถไฟฟ้าใต้ดิน MRT จตุจักร, ตรงข้ามสวนจตุจักร (B)</t>
  </si>
  <si>
    <t>P 1284/2</t>
  </si>
  <si>
    <t>DP295</t>
  </si>
  <si>
    <t xml:space="preserve">ใกล้ทางเข้าสำนักงานประปา (สาขาประชาชื่น) ตรงข้ามซ.ประชาชื่น 26 </t>
  </si>
  <si>
    <t>พ่วงศาลานอกสัญญา S 1284</t>
  </si>
  <si>
    <t>P 1285/1</t>
  </si>
  <si>
    <t>DP296</t>
  </si>
  <si>
    <t>ตรงข้ามซอยประชาชื่น 9 (มาจากแยกประชานุกูล ไปแยกเตาปูน)</t>
  </si>
  <si>
    <t>พ่วงศาลานอกสัญญา CS 204</t>
  </si>
  <si>
    <t>P 1285/2</t>
  </si>
  <si>
    <t>DP297</t>
  </si>
  <si>
    <t>หน้าห้าง Tesco Lotus (ก่อนถึงแยกเตาปูน)</t>
  </si>
  <si>
    <t>พ่วงศาลา DS383</t>
  </si>
  <si>
    <t>P 1286/1</t>
  </si>
  <si>
    <t>DP711</t>
  </si>
  <si>
    <t>หน้า GRAND DIAMON PLAZA (มาจากแยกประตูน้ำมุ่งหน้าแยกราชเทวี)</t>
  </si>
  <si>
    <t>P 1286/2</t>
  </si>
  <si>
    <t>DP1089</t>
  </si>
  <si>
    <t>หน้าอาคารปัญจภูมิ (สาทรซอย 5)</t>
  </si>
  <si>
    <t>พ่วงศาลา DS005</t>
  </si>
  <si>
    <t>P 1287/1</t>
  </si>
  <si>
    <t>DP298</t>
  </si>
  <si>
    <t>เยื้องซ.ประชาชื่น 17 (ใกล้โรงเรียนเทคนิควิมลบริหารธุรกิจ, ขาเข้า)</t>
  </si>
  <si>
    <t>พ่วงศาลานอกสัญญา S 1287</t>
  </si>
  <si>
    <t>P 1443/1</t>
  </si>
  <si>
    <t>DP479</t>
  </si>
  <si>
    <t>หน้าคอนโดไอดีโอ สุขุมวิท-พระราม 4 ซอยพิชัยสวัสดิ์ (มุ่งหน้าแยกพระโขนง)</t>
  </si>
  <si>
    <t>P 1461/1</t>
  </si>
  <si>
    <t>DP1164</t>
  </si>
  <si>
    <t>หน้าโรงพยาบาลสุขุมวิท มาจากวัดธาตุทอง</t>
  </si>
  <si>
    <t>P 1288/2</t>
  </si>
  <si>
    <t>DP299</t>
  </si>
  <si>
    <t>ตรงข้ามซอยปะชาชื่น 11 (มาจากแยกประชานุกูล ไปแยกเตาปูน, Inbound)</t>
  </si>
  <si>
    <t>พ่วงศาลานอกสัญญา S 1288</t>
  </si>
  <si>
    <t>P 1289/1</t>
  </si>
  <si>
    <t>DP827</t>
  </si>
  <si>
    <t>หน้าปั๊มน้ำมัน PT ก่อนถึงมหาวิทยาลัยจันทร์เกษม ตรงข้ามสำนักอัยการสูงสุด</t>
  </si>
  <si>
    <t>พ่วงศาลานอกสัญญา AS 011</t>
  </si>
  <si>
    <t>P 1289/2</t>
  </si>
  <si>
    <t>DP300</t>
  </si>
  <si>
    <t>ตรงข้ามซอยประชาชื่น 8 (ไปตลาดเตาปูน, Inbound)</t>
  </si>
  <si>
    <t>พ่วงศาลานอกสัญญา S 1289</t>
  </si>
  <si>
    <t>P 1290/1</t>
  </si>
  <si>
    <t>DP301</t>
  </si>
  <si>
    <t>ก่อนถึงห้าง Tesco Lotus ประชาชื่น (มุ่งหน้าแยกเตาปูน)</t>
  </si>
  <si>
    <t>พ่วง Cookies P 1285/2</t>
  </si>
  <si>
    <t>P 1291/1</t>
  </si>
  <si>
    <t>DP302</t>
  </si>
  <si>
    <t>หน้าปั๊มน้ำมัน Esso ก่อนถึงประชาชื่นซอย 16</t>
  </si>
  <si>
    <t>P 1292/2</t>
  </si>
  <si>
    <t>DP303</t>
  </si>
  <si>
    <t>ใกล้คอนโดศุภาลัย เวอเรนด้า ก่อนถึงซอยประชาชื่น 19</t>
  </si>
  <si>
    <t>พ่วงศาลานอกสัญญา S 1292</t>
  </si>
  <si>
    <t>P 1492/2</t>
  </si>
  <si>
    <t>DP552</t>
  </si>
  <si>
    <t>หน้าฟิตเนส 24 เซเว่น ตรงข้ามทางเข้าตลาดทรัพย์เจริญ</t>
  </si>
  <si>
    <t>P 1493/2</t>
  </si>
  <si>
    <t>DP992</t>
  </si>
  <si>
    <t>แยกแฮปปี้แลนด์ ตรงข้ามเดอะมอลล์บางกะปิ (ใกล้ซ.ลาดพร้าว 117, Outbound)</t>
  </si>
  <si>
    <t>P 1296/1</t>
  </si>
  <si>
    <t>DP306</t>
  </si>
  <si>
    <t>ใต้ทางด่วน, ใกล้โรงพยาบาลเกษมราษฎร์ ประชาชื่น (Outbound)</t>
  </si>
  <si>
    <t>100.5394768,</t>
  </si>
  <si>
    <t>พ่วงศาลา DS381</t>
  </si>
  <si>
    <t>P 1296/2</t>
  </si>
  <si>
    <t>DP307</t>
  </si>
  <si>
    <t>หน้า 7-11 สาขาประชาชื่น 30-เกษมราษฎร์ (ใกล้โรงพยาบาลเกษมราษฎร์ ประชาชื่น)</t>
  </si>
  <si>
    <t>P 1297/1</t>
  </si>
  <si>
    <t>DP616</t>
  </si>
  <si>
    <t>เลียบคลองผดุงกรุงเกษม ตรงข้าม ป้ายวัดมงกุฏกษัตริย์ (ขาเข้า)</t>
  </si>
  <si>
    <t>13.765236,</t>
  </si>
  <si>
    <t xml:space="preserve">พ่วงCookies DP 611 </t>
  </si>
  <si>
    <t>P 1297/2</t>
  </si>
  <si>
    <t>DP308</t>
  </si>
  <si>
    <t>หน้าปั๊มน้ำมัน ปตท.ก่อนถึงซอยประชาชื่น 31</t>
  </si>
  <si>
    <t>พ่วงศาลานอกสัญญา S 1297</t>
  </si>
  <si>
    <t>P 1298/2</t>
  </si>
  <si>
    <t>DP1091</t>
  </si>
  <si>
    <t>หน้าโรงเรียนเซนต์หลุยส์ศึกษา</t>
  </si>
  <si>
    <t>พ่วงศาลา DS009</t>
  </si>
  <si>
    <t>P 1299/1</t>
  </si>
  <si>
    <t>DP617</t>
  </si>
  <si>
    <t>หน้าสวนจตุจักรก่อนถึงแยกลาดพร้าวมาจาก BTS (หมอชิตมุ่งหน้าแยกลาดพร้าว)</t>
  </si>
  <si>
    <t>P 1299/2</t>
  </si>
  <si>
    <t>DP618</t>
  </si>
  <si>
    <t>สถานี BTS อารีย์</t>
  </si>
  <si>
    <t>P 1300/1</t>
  </si>
  <si>
    <t>DP309</t>
  </si>
  <si>
    <t>ก่อนถึงซ.ประชาชื่น 40 (หน้าธ.กรุงเทพ ระหว่างซ.39 และ 40, Outbound)</t>
  </si>
  <si>
    <t>พ่วง Cookies P 1378/2(DP 631)</t>
  </si>
  <si>
    <t>P 1495/1</t>
  </si>
  <si>
    <t>DP231</t>
  </si>
  <si>
    <t xml:space="preserve">9.หน้าอาคาร Modern Town เอกมัย
(มุ่งหน้า ถนนสุขุมวิท)  </t>
  </si>
  <si>
    <t xml:space="preserve">13.730143 , 
</t>
  </si>
  <si>
    <t>P 1302/2</t>
  </si>
  <si>
    <t>DP310</t>
  </si>
  <si>
    <t>เลยซอยประชาชื่น 37 หน้า Kerry Express (ใกล้ประชาชื่น เรสซิเด้นซ์ )</t>
  </si>
  <si>
    <t>พ่วงศาลานอกสัญญา S 1307</t>
  </si>
  <si>
    <t>P 1303/1</t>
  </si>
  <si>
    <t>DP097</t>
  </si>
  <si>
    <t>โชว์รูมโตโยต้า (สุขาภิบาล1)</t>
  </si>
  <si>
    <t>P 1303/2</t>
  </si>
  <si>
    <t>DP620</t>
  </si>
  <si>
    <t>หน้าสนามโกคาร์ท มอเตอร์สปอร์ตแลนด์(แดนเนรมิตเก่า) มาจากแยกรัชโยธินมุ่งหน้าแยกลาดพร้าว</t>
  </si>
  <si>
    <t>P 1496/2</t>
  </si>
  <si>
    <t>DP1025</t>
  </si>
  <si>
    <t>หน้าตึก GPF WITTHAYU TOWERS</t>
  </si>
  <si>
    <t>P 1305/2</t>
  </si>
  <si>
    <t>DP621</t>
  </si>
  <si>
    <t>ระหว่างซอยพหลโยธินซอย 19-19/1 (มาจากแยกลาดพร้าวมุ่งหน้าแยกรัชโยธิน)</t>
  </si>
  <si>
    <t>พ่วงศาลา DS298</t>
  </si>
  <si>
    <t>P 1307/1</t>
  </si>
  <si>
    <t>DP830</t>
  </si>
  <si>
    <t>ตรงข้ามซอยรัชดาภิเษก 43 เลยแยกวงค์สว่าง (ก่อนถึงซอยรัชดาภิเษก 78)</t>
  </si>
  <si>
    <t>พ่วงศาลานอกสัญญา CS219</t>
  </si>
  <si>
    <t>P 1307/2</t>
  </si>
  <si>
    <t>DP831</t>
  </si>
  <si>
    <t>หน้าร้านอาหารครัวเจ๊ง้อ</t>
  </si>
  <si>
    <t>พ่วงศาลานอกสัญญา AS 005</t>
  </si>
  <si>
    <t>P 1308/2</t>
  </si>
  <si>
    <t>DP832</t>
  </si>
  <si>
    <t>หน้าร้านอาหารชายนิมิตร ใกล้ซอยรัชดาภิเษก 74</t>
  </si>
  <si>
    <t>P 1309/1</t>
  </si>
  <si>
    <t>DP098</t>
  </si>
  <si>
    <t>เลยแยกนวมินทร์ตัดแฮปปี้แลนด์ ใกล้บ้านศรีนวมินทร์ 2 (มาจากแยกบางกะปิมุ่งหน้ารามอินทรา)</t>
  </si>
  <si>
    <t>P 1309/2</t>
  </si>
  <si>
    <t>DP833</t>
  </si>
  <si>
    <t xml:space="preserve">ตรงข้ามร้านอาหารศิริชัยไก่ย่าง มาจากซอยรัชดาภิเษก 68 (ขาเข้า)
</t>
  </si>
  <si>
    <t>พ่วงศาลานอกสัญญา CS 221</t>
  </si>
  <si>
    <t>P 1310/2</t>
  </si>
  <si>
    <t>DP1133</t>
  </si>
  <si>
    <t>หน้าบ้านสีลม ตรงข้ามเซ็นทรัล สีลม ทาวเวอร์ (2)</t>
  </si>
  <si>
    <t>P 1312/1</t>
  </si>
  <si>
    <t>DP099</t>
  </si>
  <si>
    <t>หน้า Tops market เลยแยกเกษตรตัดนวมินทร์ มุ่งหน้ารามอินทรา</t>
  </si>
  <si>
    <t>P 1313/1</t>
  </si>
  <si>
    <t>DP1154</t>
  </si>
  <si>
    <t>ใกล้สถานีรถไฟฟ้า BTS อ่อนนุช, หน้าห้างเทสโก้ โลตัส, ก่อนถึงซ.สุขุมวิท 50</t>
  </si>
  <si>
    <t>P 1313/2</t>
  </si>
  <si>
    <t>DP622</t>
  </si>
  <si>
    <t>หน้าโรงแรมมารวยการ์เด้นท์, ตรงข้ามสภาวิจัยแห่งชาติ, (มาจากซ.พหลโยธิน 44, Inbound)</t>
  </si>
  <si>
    <t>P 1314/2</t>
  </si>
  <si>
    <t>DP011</t>
  </si>
  <si>
    <t>ก่อนถึงวัดเลียบราษฎร์บำรุง ซอยกรุงเทพ-นนทบุรี 43 (มาจากแยกวงศ์สว่าง)</t>
  </si>
  <si>
    <t>P 1500/1</t>
  </si>
  <si>
    <t>DP082</t>
  </si>
  <si>
    <t>สถานีรถไฟฟ้า BTS ช่องนนทรี</t>
  </si>
  <si>
    <t>P 1319/1</t>
  </si>
  <si>
    <t>DP1155</t>
  </si>
  <si>
    <t>หน้าธนาคารกรุงเทพ สาขาพระโขนง</t>
  </si>
  <si>
    <t>P 1320/2</t>
  </si>
  <si>
    <t>DP670</t>
  </si>
  <si>
    <t>เลยแยกคลองตัน 50 เมตรก่อนถึงร้านห่านท่าดินแดง (มาจากแยกคลองตัน)</t>
  </si>
  <si>
    <t>P 1501/1</t>
  </si>
  <si>
    <t>DP893</t>
  </si>
  <si>
    <t>ทางเข้า หมู่บ้านมณียา ตรงข้ามอู่รถเมล์ ขสมก.
(มาจากถ.รามอินทรา, Inbound)</t>
  </si>
  <si>
    <t xml:space="preserve">บึงกุ่ม </t>
  </si>
  <si>
    <t>13.8436518,</t>
  </si>
  <si>
    <t>P 1508/1</t>
  </si>
  <si>
    <t>DP894</t>
  </si>
  <si>
    <t>หน้าบริษัท ไอ ซี ซี อินเตอร์เนชั่นแนล จำกัด มหาชน (มาจากแยกสาธุประดิษฐ์)</t>
  </si>
  <si>
    <t>P 1327/1</t>
  </si>
  <si>
    <t>DP100</t>
  </si>
  <si>
    <t>หน้าแม็กซ์แวลู ซุปเปอร์มาร์เก็ต (สาขานวมินทร์) ระหว่างซอยนวมินทร์ซอย 76-74</t>
  </si>
  <si>
    <t>P 1328/1</t>
  </si>
  <si>
    <t>DP904</t>
  </si>
  <si>
    <t>ใกล้สถานีรถไฟฟ้า BTS ราชดำริ ตรงข้ามโรงแรม ANANTARA SIAM</t>
  </si>
  <si>
    <t>P 1328/2</t>
  </si>
  <si>
    <t>DP273</t>
  </si>
  <si>
    <t>หน้าเพลินจิตเซ็นเตอร์, ตรงข้าม ธ.กรุงไทย สำนักงานใหญ่ (1), เยื้องซ.สุขุมวิท 1</t>
  </si>
  <si>
    <t>ต้องย้ายไปมิเตอร์โฟนบูธ 50เมตร</t>
  </si>
  <si>
    <t>P 1329/2</t>
  </si>
  <si>
    <t>DP274</t>
  </si>
  <si>
    <t>หน้าซอยสุขุมวิท18 ก่อนถึงแยกอโศก</t>
  </si>
  <si>
    <t>ต้องย้ายไปมิเตอร์โฟนบูธ 15เมตร</t>
  </si>
  <si>
    <t>P 1332/2</t>
  </si>
  <si>
    <t>DP057</t>
  </si>
  <si>
    <t>หน้า 7-Eleven, ตรงข้ามสาธารณสุขบางซื่อ</t>
  </si>
  <si>
    <t>พ่วงศาลานอกสัญญา S1332</t>
  </si>
  <si>
    <t>P 1333/2</t>
  </si>
  <si>
    <t>DP058</t>
  </si>
  <si>
    <t>หน้าศูนย์บริการสาธารณสุข 3 บางชื่อ</t>
  </si>
  <si>
    <t>พ่วงศาลานอกสัญญา S1333</t>
  </si>
  <si>
    <t>P 1334/1</t>
  </si>
  <si>
    <t>DP914</t>
  </si>
  <si>
    <t>หน้าปั๊มน้ำมัน Shell มาจากแยกหมอเหล็ง (มุ่งหน้าสามเหลี่ยมดินแดง)</t>
  </si>
  <si>
    <t>พ่วง Cookies P 1334/2</t>
  </si>
  <si>
    <t>P 1334/2</t>
  </si>
  <si>
    <t>DP915</t>
  </si>
  <si>
    <t>หน้าคอนโดเดอะคอมพลีท ราชปรารถ ตรงข้ามโรงแรม ซีซัน สยาม (ซอยราชปรารภ 20)</t>
  </si>
  <si>
    <t>พ่วงศาลา DS219</t>
  </si>
  <si>
    <t>P 1335/1</t>
  </si>
  <si>
    <t>DP395</t>
  </si>
  <si>
    <t xml:space="preserve">หน้าคณะคุรุศาสตร์มหาวิทยาลัยจุฬาฯ </t>
  </si>
  <si>
    <t>พ่วงศาลา DS101</t>
  </si>
  <si>
    <t>P 1335/2</t>
  </si>
  <si>
    <t>DP214</t>
  </si>
  <si>
    <t>หน้าโรงเรียนสาธิตมหาวิทยาลัยศรีนครินทร์วิโรฒ ปทุมวัน (เยื้องสนามราชกรีฑาสโมสร)</t>
  </si>
  <si>
    <t>พ่วงศาลา DS040</t>
  </si>
  <si>
    <t>P 1336/1</t>
  </si>
  <si>
    <t>DP396</t>
  </si>
  <si>
    <t>ตรงข้ามห้างมาบุญครอง (โรงแรมปทุมวันปริ๊นเซส) มุ่งหน้าแยกสามย่าน</t>
  </si>
  <si>
    <t>พ่วงศาลา DS088</t>
  </si>
  <si>
    <t>P 1337/1</t>
  </si>
  <si>
    <t>DP624</t>
  </si>
  <si>
    <t>หน้าโรงเรียนสตรีวรนาถบางเขน (มาจากแยกรัชโยธินมุ่งหน้าแยกลาดพร้าว)</t>
  </si>
  <si>
    <t>พ่วงศาลา DS315</t>
  </si>
  <si>
    <t>P 1337/2</t>
  </si>
  <si>
    <t>DP625</t>
  </si>
  <si>
    <t>คณะวิทยาศาสตร์และเทคโนโลยีแห่งประเทศไทย (ใกล้ S 453, Outbound)</t>
  </si>
  <si>
    <t>พ่วงศาลา DS304</t>
  </si>
  <si>
    <t>P 1338/1</t>
  </si>
  <si>
    <t>DP626</t>
  </si>
  <si>
    <t>หน้าธนาคาร ธกส.สำนักงานใหญ่ ก่อนถึงรถไฟฟ้า BTS สถานีมหาวิทยาลัยเกษตรศาสตร์ (มุ่งหน้าแยกเกษตร)</t>
  </si>
  <si>
    <t>พ่วงศาลา DS312</t>
  </si>
  <si>
    <t>P 1338/2</t>
  </si>
  <si>
    <t>DP1009</t>
  </si>
  <si>
    <t>หน้า Big C วงศ์สว่าง (S 317), ก่อนถึงซ.วงศ์สว่าง 1</t>
  </si>
  <si>
    <t>พ่วงศาลานอกสัญญา  AS 078</t>
  </si>
  <si>
    <t>P 1339/1</t>
  </si>
  <si>
    <t>DP117</t>
  </si>
  <si>
    <t>เยื้อง รพ.บำรุงราษฎร์ (S 134), มาจากแยกมิตรสัมพันธ์ไปแยกนานา</t>
  </si>
  <si>
    <t>พ่วงศาลา DS334</t>
  </si>
  <si>
    <t>P 1339/2</t>
  </si>
  <si>
    <t>DP758</t>
  </si>
  <si>
    <t xml:space="preserve">หน้ารถไฟฟ้าเพลินจิต ทางออกมหาทุนพลาซ่า (ก่อนถึงแยกเพลินจิต) </t>
  </si>
  <si>
    <t>พ่วง Merto AA14</t>
  </si>
  <si>
    <t>P 1340/1</t>
  </si>
  <si>
    <t>DP1141</t>
  </si>
  <si>
    <t xml:space="preserve">เลยซอยเสรีไทย 7 หน้าทางเข้า-ออกเคหะชุมชนคลองจั่น (เยื้องนิด้า มุ่งหน้าเเยกนิด้า )
</t>
  </si>
  <si>
    <t>P 1341/1</t>
  </si>
  <si>
    <t>DP251</t>
  </si>
  <si>
    <t>หน้าห้าง Central Embassy ก่อนถึงแยกเพลินจิต (มุ่งหน้าแยกนานา)</t>
  </si>
  <si>
    <t>พ่วงป้าย-MTP(A24)</t>
  </si>
  <si>
    <t>13-39042</t>
  </si>
  <si>
    <t>P 1341/2</t>
  </si>
  <si>
    <t>DP713</t>
  </si>
  <si>
    <t>หน้าพันธ์ทิพย์พลาซ่า (มาจากแยกประตูน้ำมุ่งหน้าแยกราชเทวี)</t>
  </si>
  <si>
    <t>P 1343/2</t>
  </si>
  <si>
    <t>DP1021</t>
  </si>
  <si>
    <t>ด้านข้างสวนลุมพินี ฝั่งตรงข้ามสถานีตำรวจนครบาลลุมพินี</t>
  </si>
  <si>
    <t>พ่วงศาลา DS152</t>
  </si>
  <si>
    <t>P 1344/1</t>
  </si>
  <si>
    <t>DP1022</t>
  </si>
  <si>
    <t xml:space="preserve">ข้างสวนลุมพินี มาจากแยกวิทยุ ตรงข้าม One Bangkok </t>
  </si>
  <si>
    <t>พ่วงศาลา DS149</t>
  </si>
  <si>
    <t>P 1344/2</t>
  </si>
  <si>
    <t>DP1023</t>
  </si>
  <si>
    <t xml:space="preserve">บริเวณ Bus Stop ด้านข้างสวนลุมพินี ฝั่งตรงข้ามสถานเอกราชฑูตญี่ปุ่นประจำประเทศไทย (แห่งใหม่  ถนนวิทยุ) </t>
  </si>
  <si>
    <t>พ่วงศาลา DS151</t>
  </si>
  <si>
    <t>P 1518/2</t>
  </si>
  <si>
    <t>ตรงข้าม รามคำแหง 39 ซ.15</t>
  </si>
  <si>
    <t>13.762134,</t>
  </si>
  <si>
    <t>P 1346/2</t>
  </si>
  <si>
    <t>DP033</t>
  </si>
  <si>
    <t xml:space="preserve"> หน้าโรงเรียนสตรีบูรณะวิทย์ (เลยห้างเทสโก้ โลตัส สาขาจรัญสนิทวงศ์)</t>
  </si>
  <si>
    <t>พ่วงศาลา DS375</t>
  </si>
  <si>
    <t>P 1349/1</t>
  </si>
  <si>
    <t>DP269</t>
  </si>
  <si>
    <t>หน้าห้างสีลมคอมเพล็ก ใต้สถานีรถไฟฟ้า BTS ศาลาแดง</t>
  </si>
  <si>
    <t>P 1526/1</t>
  </si>
  <si>
    <t>DP1064</t>
  </si>
  <si>
    <t>ก่อนถึงแยกบ้านม้า  (มาจากเเยกนิด้า)</t>
  </si>
  <si>
    <t>ศรีบูรพา</t>
  </si>
  <si>
    <t>P 1350/2</t>
  </si>
  <si>
    <t>DP122</t>
  </si>
  <si>
    <t>หน้าเฉินหลงปุฟเฟ่ต์ ระหว่างซอยนวมินทร์ซอย 57-59 (มากจากแยกแฮปปี้แลนด์มุ่งหน้ารามอินทรา)</t>
  </si>
  <si>
    <t>P 1527/2</t>
  </si>
  <si>
    <t>DP643</t>
  </si>
  <si>
    <t>หน้า MaxValu @ IdeOmix (ก่อนถึง BTS สะพานควาย) (A)</t>
  </si>
  <si>
    <t>P 1351/2</t>
  </si>
  <si>
    <t>DP1081</t>
  </si>
  <si>
    <t>มาจากสถานีตำรวจนพวงค์ก่อนถึงปั้มน้ำมัน ปตท.มุ่งหน้าหัวลำโพง</t>
  </si>
  <si>
    <t>พ่วงศาลา DS221</t>
  </si>
  <si>
    <t>P 1352/1</t>
  </si>
  <si>
    <t>DP1082</t>
  </si>
  <si>
    <t>เยื้องปั้มน้ำมัน ปตท.มาจากหัวลำโพงมุ่งหน้าแยกนพวงค์</t>
  </si>
  <si>
    <t>P 1352/2</t>
  </si>
  <si>
    <t>DP835</t>
  </si>
  <si>
    <t>หน้าสำนักงาน  AIA Capital Center (จุดที่ 2)</t>
  </si>
  <si>
    <t>พ่วงCookies P 1673/1</t>
  </si>
  <si>
    <t>P 1353/1</t>
  </si>
  <si>
    <t>DP836</t>
  </si>
  <si>
    <t>หน้าปั๊มน้ำมัน Caltex ก่อนถึงซ.รัชดาภิเษก 58, ทางไปสะพานรัชวิภา (Inbound)</t>
  </si>
  <si>
    <t>P 1529/2</t>
  </si>
  <si>
    <t>DP1059</t>
  </si>
  <si>
    <t>ซอยศรีนครินทร์ 27 ก่อนถึงปั้มน้ำมัน Esso</t>
  </si>
  <si>
    <t>P 1355/1</t>
  </si>
  <si>
    <t>DP838</t>
  </si>
  <si>
    <t>อยู่ระหว่างซอยรัชดา 29-31 ก่อนขึ้นทางด่วน-ไปสะพานพระราม 7 (ตรงข้ามพรรคพลังประชารัฐ)</t>
  </si>
  <si>
    <t>พ่วงศาลานอกสัญญา S 1355</t>
  </si>
  <si>
    <t>P 1356/1</t>
  </si>
  <si>
    <t>DP840</t>
  </si>
  <si>
    <t>ก่อนถึงซ.รัชดาภิเษก 60 (ก่อนขึ้นสะพานรัชวิภา), ทางไปถ.วิภาวดีรังสิต (Inbound)</t>
  </si>
  <si>
    <t>พ่วงจอป้อมแยกประชานุกูล</t>
  </si>
  <si>
    <t>P 1356/2</t>
  </si>
  <si>
    <t>DP841</t>
  </si>
  <si>
    <t>หน้าคอนโด The Niche โมโน รัชวิภา  มาจากแยกประชานุกูลมุ่งหน้ารัชโยธิน</t>
  </si>
  <si>
    <t>P 1357/1</t>
  </si>
  <si>
    <t>DP1045</t>
  </si>
  <si>
    <t>หน้าศูนย์บริการ COCKPIT ตรงข้ามซอยศรีนครินทร์ 59 (มาจากแยกศรีอุดมมุ่งหน้าบางกะปิ)</t>
  </si>
  <si>
    <t>P 1357/2</t>
  </si>
  <si>
    <t>DP1046</t>
  </si>
  <si>
    <t>หน้า Cockpit ก่อนถึงซอยศรีนครินทร์ 46 ตรงข้ามสำนักงานที่ดินพระโขนง (ขาเข้า)</t>
  </si>
  <si>
    <t>P 1358/1</t>
  </si>
  <si>
    <t>DP1047</t>
  </si>
  <si>
    <t>หน้าห้างพาราไดซ์ พาร์ค (มาจากทางเข้าสวนหลวงร.9) (B)</t>
  </si>
  <si>
    <t>พ่วง Merto A32</t>
  </si>
  <si>
    <t>P 1358/2</t>
  </si>
  <si>
    <t>DP1048</t>
  </si>
  <si>
    <t>หน้าห้าง Paradise Park ศรีนครินทร์ จุดที่ 2 (มุ่งหน้าบางนา)</t>
  </si>
  <si>
    <t>พ่วงศาลา DS526</t>
  </si>
  <si>
    <t>P 1360/1</t>
  </si>
  <si>
    <t>DP201</t>
  </si>
  <si>
    <t>หน้า People park เยื้องซอยอ่อนนุช 11  (มาจากศรีนครินทร์มุ่งหน้าสุขุมวิท)</t>
  </si>
  <si>
    <t>P 1362/1</t>
  </si>
  <si>
    <t>DP202</t>
  </si>
  <si>
    <t>หน้า บริษัทรองเท้า เอส.ซี.เอส</t>
  </si>
  <si>
    <t>พ่วง Cookies P 1525/2</t>
  </si>
  <si>
    <t>P 1362/2</t>
  </si>
  <si>
    <t>DP628</t>
  </si>
  <si>
    <t>หน้าศูนย์ทัตกรรม โรงพยาบาลกรุงเทพฯ (ขาออก)</t>
  </si>
  <si>
    <t>13.744718,</t>
  </si>
  <si>
    <t>พ่วงศาลา  DS167</t>
  </si>
  <si>
    <t>P 1363/1</t>
  </si>
  <si>
    <t>DP001</t>
  </si>
  <si>
    <t>มาจากแยกกษัตริย์ศึก ก่อนถึงโรงเรียนเทพศิรินทร์ (เยื้องซอยยศเสมุ่งหน้าแยกนพวงศ์)</t>
  </si>
  <si>
    <t>P 1532/1</t>
  </si>
  <si>
    <t>DP644</t>
  </si>
  <si>
    <t>หน้า มูลนิธิสถาบันพัฒนาและวิจัยแห่งประเทศไทย
ก่อนถึง รามคำแหง 39 ซอย 23</t>
  </si>
  <si>
    <t>13.7650326,</t>
  </si>
  <si>
    <t>P 1533/2</t>
  </si>
  <si>
    <t>DP1112</t>
  </si>
  <si>
    <t>ก่อนถึงแยกสุรศักดิ์ (มาจากถนนเจริญราษฎร์)</t>
  </si>
  <si>
    <t>สาทรเหนือ-ใต้</t>
  </si>
  <si>
    <t>P 1364/2</t>
  </si>
  <si>
    <t>DP004</t>
  </si>
  <si>
    <t>ตรงข้ามโรงเรียนสายปัญญา ในพระบรมราชินูปถัมภ์</t>
  </si>
  <si>
    <t>พ่วง Cookies P1364/1</t>
  </si>
  <si>
    <t>P 1365/1</t>
  </si>
  <si>
    <t>DP757</t>
  </si>
  <si>
    <t>มาจากแยกมารยาท ก่อนถึงแยก อสมท.</t>
  </si>
  <si>
    <t>P 1365/2</t>
  </si>
  <si>
    <t>DP1158</t>
  </si>
  <si>
    <t>หน้าร้าน Dahra Spa Sukhumvit (เลยสุขุมวิท 22)</t>
  </si>
  <si>
    <t>P 1536/2</t>
  </si>
  <si>
    <t>DP741</t>
  </si>
  <si>
    <t>หน้าโชว์รูม AUDI ก่อนทางขึ้นสะพานข้ามแยกอโศก-เพชร (มาจากอาคารอิตเลียนไทยมุ่งหน้าแยกอโศก-เพชร)</t>
  </si>
  <si>
    <t>P 1537/1</t>
  </si>
  <si>
    <t>DP557</t>
  </si>
  <si>
    <t>หน้า Colonze (ก่อนขึ้นสะพานคลองแสนแสบ ทางไปแยกรามคำแหง)</t>
  </si>
  <si>
    <t>P 1367/2</t>
  </si>
  <si>
    <t>DP629</t>
  </si>
  <si>
    <t>วงแหวนกรุงเทพกรีฑา (ขาออก)</t>
  </si>
  <si>
    <t xml:space="preserve">13.752997,
</t>
  </si>
  <si>
    <t xml:space="preserve">พ่วงMetro PosterB17 </t>
  </si>
  <si>
    <t>P 1543/1</t>
  </si>
  <si>
    <t>DP947</t>
  </si>
  <si>
    <t>วิทยาลัยอินทราชัย รามคำแหง 39 ซอย 17</t>
  </si>
  <si>
    <t>13.7626964,</t>
  </si>
  <si>
    <t>P 1549/2</t>
  </si>
  <si>
    <t>DP031</t>
  </si>
  <si>
    <t>ปากซอยสุกร มาจากถนนเจริญกรุงมุ่งหน้าถนนมหาพฤธาราม (จุดที่ 2)</t>
  </si>
  <si>
    <t>ข้าวหลาม</t>
  </si>
  <si>
    <t>สัมพันธวงศ์</t>
  </si>
  <si>
    <t>P 1555/2</t>
  </si>
  <si>
    <t>DP276</t>
  </si>
  <si>
    <t>ก่อนถึงซ.นางลิ้นจี่ 6 (มาจากแยกรัชดา-นางลิ้นจี่) จุดที่ 2</t>
  </si>
  <si>
    <t>P 1371/1</t>
  </si>
  <si>
    <t>DP203</t>
  </si>
  <si>
    <t>หน้า Big C สาขาอ่อนนุชจุดที่ 1(มาจากศรีนครินทร์มุ่งหน้าสูขุมวิท)</t>
  </si>
  <si>
    <t>P 1371/2</t>
  </si>
  <si>
    <t>DP1159</t>
  </si>
  <si>
    <t>หน้าร้านอาหาร Best Beef ก่อนขึ้นสะพานข้ามคลองพระโขนงก่อนถึงสุขุมวิท 48/2 ขาเข้า</t>
  </si>
  <si>
    <t>P 1372/1</t>
  </si>
  <si>
    <t>DP165</t>
  </si>
  <si>
    <t>หน้าการบินไทย สำนักงานหลานหลวง (แยกหลานหลวงมุ่งหน้าแยกผ่านฟ้า)</t>
  </si>
  <si>
    <t>หลานหลวง</t>
  </si>
  <si>
    <t>พ่วงCookies P 1602/1</t>
  </si>
  <si>
    <t>P 1375/2</t>
  </si>
  <si>
    <t>DP066</t>
  </si>
  <si>
    <t>ด้านข้างสน.นางเลิ้ง</t>
  </si>
  <si>
    <t>พ่วงศาลานอกสัญญา S1375</t>
  </si>
  <si>
    <t>P 1557/2</t>
  </si>
  <si>
    <t>DP085</t>
  </si>
  <si>
    <t>ก่อนถึงคอนโด The Empire Place (ดิ เอ็มไพร์ เพลซ) ก่อนถึงซอยนราธิวาส 4</t>
  </si>
  <si>
    <t>P 1559/2</t>
  </si>
  <si>
    <t>DP089</t>
  </si>
  <si>
    <t>ระหว่างนราธิวาสฯ ซอย 12- ซอย 10 (ก่อนถึงอาคารมนูญผล) จุดที่ 2</t>
  </si>
  <si>
    <t>P 1560/1</t>
  </si>
  <si>
    <t>DP216</t>
  </si>
  <si>
    <t>หน้าอาคารสยามกิตต์ (ฝั่งตรงข้ามกองบัญชาการตำรวจสอบสวนกลาง)</t>
  </si>
  <si>
    <t>P 1380/1</t>
  </si>
  <si>
    <t>DP132</t>
  </si>
  <si>
    <t>หน้าธ.ไทยพาณิชย์สาขาทองหล่อ, ก่อนถึงแยกทองหล่อ</t>
  </si>
  <si>
    <t>P 1380/2</t>
  </si>
  <si>
    <t>DP134</t>
  </si>
  <si>
    <t>หน้าธนาคารกรุงเทพสาขาทองหล่อ</t>
  </si>
  <si>
    <t>P 1382/1</t>
  </si>
  <si>
    <t>DP673</t>
  </si>
  <si>
    <t>แยกทางลัดไปถ.รามคำแหง 24 (ก่อนซ.พัฒนาการ 27, Outbound)</t>
  </si>
  <si>
    <t>P 1382/2</t>
  </si>
  <si>
    <t>DP416</t>
  </si>
  <si>
    <t>หน้าสถาบันเทคโนโลยีปทุมวัน</t>
  </si>
  <si>
    <t>พ่วงศาลา DS113</t>
  </si>
  <si>
    <t>P 1561/2</t>
  </si>
  <si>
    <t>DP092</t>
  </si>
  <si>
    <t xml:space="preserve">หน้าห้างแม็คโคร (สาขาสาทร) มาจากซ.นราธิวาสฯ 16 </t>
  </si>
  <si>
    <t>P 1385/2</t>
  </si>
  <si>
    <t>DP1121</t>
  </si>
  <si>
    <t>P 1387/2</t>
  </si>
  <si>
    <t>DP397</t>
  </si>
  <si>
    <t>หน้ามหาวิทยาลัยจุฬาฯ อาคารจามจุรี 5 (มุ่งหน้าแยกประทุมวัน)​</t>
  </si>
  <si>
    <t>พ่วงศาลา DS100</t>
  </si>
  <si>
    <t>P 1388/1</t>
  </si>
  <si>
    <t>DP289</t>
  </si>
  <si>
    <t>เลยโรงแรมอีสติน มักกะสัน (Eastin Hotel Makkasan Bangkok) มุ่งหน้าราชปรารภ</t>
  </si>
  <si>
    <t>P 1388/2</t>
  </si>
  <si>
    <t>DP936</t>
  </si>
  <si>
    <t>ก่อนถึงซ.รามคำแหง 42 (เยื้องโชว์รูม Honda หัวหมาก, มาจากแยกลำสาลี, Inbound)</t>
  </si>
  <si>
    <t>P 1563/2</t>
  </si>
  <si>
    <t>DP096</t>
  </si>
  <si>
    <t>หน้าบ.Mainly Silver Design (มาจากแยกจันทน์-นราธิวาส, เยื้องซ.นราธิวาสฯ 20)</t>
  </si>
  <si>
    <t>P 1571/1</t>
  </si>
  <si>
    <t>DP374</t>
  </si>
  <si>
    <t>หน้าร้านเฟอร์นิเจอร์ทรัพย์วรา (ทางเข้า) จุดที่ 1</t>
  </si>
  <si>
    <t>P 1571/2</t>
  </si>
  <si>
    <t>DP860</t>
  </si>
  <si>
    <t xml:space="preserve">ก่อนขึ้นสะพานแยกรัชดา-ลาดพร้าว </t>
  </si>
  <si>
    <t>P 1391/2</t>
  </si>
  <si>
    <t>DP842</t>
  </si>
  <si>
    <t>หน้าอาคาร ทรู ทาวเวอร์ ถนนรัชดาภิเษก (ตรงข้ามสถานฑูตจีน, ก่อนถึงซ.รัชดาภิเษก 4)</t>
  </si>
  <si>
    <t>P 1393/1</t>
  </si>
  <si>
    <t>DP504</t>
  </si>
  <si>
    <t>มาจากถนนกำแพงเพชร มุ่งหน้าแยกประดิพัทธ์ (ตรงข้ามพระราม 6 ซอย 43)</t>
  </si>
  <si>
    <t>พ่วงศาลา DS196</t>
  </si>
  <si>
    <t>P 1393/2</t>
  </si>
  <si>
    <t>DP714</t>
  </si>
  <si>
    <t>หน้าโรงเรียนมักกะสันพิทยา (มาจากแยกมิตรสัมพันธ์มุ่งหน้าแยกประตูน้ำ)</t>
  </si>
  <si>
    <t>P 1394/1</t>
  </si>
  <si>
    <t>DP715</t>
  </si>
  <si>
    <t>เลยทางขึ้นทางด่วนด่านยมราชหน้าโรงแรมบากกอกซิตี้สวีทก่อนถึงชอยเพชรบุรี 1 (มาจากแยกยมราชมุ่งหน้าแยกอุรุพงษ์)</t>
  </si>
  <si>
    <t>พ่วงป้ายGeatwayด่านยมราช</t>
  </si>
  <si>
    <t>P 1580/1</t>
  </si>
  <si>
    <t>DP267</t>
  </si>
  <si>
    <t>หน้าปากซอยถนนปั้น</t>
  </si>
  <si>
    <t>P 1395/1</t>
  </si>
  <si>
    <t>DP844</t>
  </si>
  <si>
    <t>หน้าคอนโด Supalai Park ลงจากสะพานรัชวิภามุ่งหน้าแยกรัชโยธิน (ขาเข้า)</t>
  </si>
  <si>
    <t>P 1395/2</t>
  </si>
  <si>
    <t>DP353</t>
  </si>
  <si>
    <t>หน้าหมู่บ้านลัดดาวัลย์ เอกมัย-รามอินทรา (Inbound)</t>
  </si>
  <si>
    <t>P 1398/1</t>
  </si>
  <si>
    <t>DP472</t>
  </si>
  <si>
    <t>หน้ารพ.จุฬาลงกรณ์</t>
  </si>
  <si>
    <t>พ่วงศาลา DS020</t>
  </si>
  <si>
    <t>P 1398/2</t>
  </si>
  <si>
    <t>DP473</t>
  </si>
  <si>
    <t>หน้าสภากาชาติไทยติดรพ.จุฬาลงกรณ์</t>
  </si>
  <si>
    <t>P 1399/1</t>
  </si>
  <si>
    <t>DP1160</t>
  </si>
  <si>
    <t xml:space="preserve">ใกล้สถานีรถไฟฟ้า BTS อุดมสุข ก่อนถึงสุขุมวิทซอย 66 </t>
  </si>
  <si>
    <t>บางนา</t>
  </si>
  <si>
    <t>P 1400/2</t>
  </si>
  <si>
    <t>DP981</t>
  </si>
  <si>
    <t>หน้าแฟลตดินแดง ตรงข้ามกระทรวงแรงงาน</t>
  </si>
  <si>
    <t>13.7615216,</t>
  </si>
  <si>
    <t>พ่วงศาลา DS 223</t>
  </si>
  <si>
    <t>P 1401/1</t>
  </si>
  <si>
    <t>DP323</t>
  </si>
  <si>
    <t>หน้าปั๊มน้ำมันปตท. ก่อนถึงแยกเหม่งจ๋าย</t>
  </si>
  <si>
    <t>P 1401/2</t>
  </si>
  <si>
    <t>DP633</t>
  </si>
  <si>
    <t xml:space="preserve">หน้าสถาบันการบิน (ใกล้สถานีรถไฟฟ้าใต้ดินจตุจักร ,ก่อนถึงกรมการขนส่งทางบก) </t>
  </si>
  <si>
    <t>P 1606/1</t>
  </si>
  <si>
    <t>DP281</t>
  </si>
  <si>
    <t>หน้าโรงแรม The Westin Grand Sukhumvit ใกล้ห้างโรบินสันสุขุมวิท  (รถไฟฟ้า BTS สถานีอโศก)</t>
  </si>
  <si>
    <t>P 1405/2</t>
  </si>
  <si>
    <t>DP275</t>
  </si>
  <si>
    <t>เยื้อง The Emporium (ใกล้สถานีรถไฟฟ้า BTS พร้อมพงษ์)</t>
  </si>
  <si>
    <t>พ่วงป้าย-MTP(A11)</t>
  </si>
  <si>
    <t>P 1407/1</t>
  </si>
  <si>
    <t>DP061</t>
  </si>
  <si>
    <t>สถานีรถไฟฟ้าใต้ดิน  MRT บางซื่อ ประตู 1 (ตรงข้ามสถานีรถไฟบางซื่อ)</t>
  </si>
  <si>
    <t>เทอดดำริ</t>
  </si>
  <si>
    <t>P 1618/2</t>
  </si>
  <si>
    <t>DP651</t>
  </si>
  <si>
    <t>เลยซอยพหลโยธิน 7 หน้าศูนย์อีซูซุพระนคร (มาจากอนุสาวรีย์มุ่งหน้าสะพานควาย)</t>
  </si>
  <si>
    <t>P 1409/1</t>
  </si>
  <si>
    <t>DP354</t>
  </si>
  <si>
    <t>ประดิษฐ์มนูธรรม ซ.5</t>
  </si>
  <si>
    <t>P 1410/2</t>
  </si>
  <si>
    <t>DP476</t>
  </si>
  <si>
    <t>หน้าห้าง Big C สาขาพระราม 4 (ก่อนถึงตึกมาลีนนท์ ช่อง 3)</t>
  </si>
  <si>
    <t>P 1411/1</t>
  </si>
  <si>
    <t>DP846</t>
  </si>
  <si>
    <t>หน้าธนาคารกสิกรไทย (สาขาถนนรัชดาภิเษก 15) ก่อนถึงคอนโด METRO SKY RATCHADA</t>
  </si>
  <si>
    <t>พ่วงศาลานอกสัญญา CS 096</t>
  </si>
  <si>
    <t>P 1412/1</t>
  </si>
  <si>
    <t>DP634</t>
  </si>
  <si>
    <t>หน้าปั๊มน้ำมัน Esso ก่อนถึงโรงเรียนไทยวิจิตรศิลป์ (ก่อนถึง Tops เสนานิคม)</t>
  </si>
  <si>
    <t>P 1413/1</t>
  </si>
  <si>
    <t>DP398</t>
  </si>
  <si>
    <t>ใกล้ทางขึ้นรถไฟฟ้า BTS อนุสาวรีย์ชัยฯ (มาจากแยกพญาไทมุ่งหน้าอนุสาวรีย์)ฝั่งตรงข้ามสมาคมผู้บำเพ็ญประโยชน์แห่งประเทศไทย</t>
  </si>
  <si>
    <t>พ่วง Merto AA31</t>
  </si>
  <si>
    <t>P 1414/2</t>
  </si>
  <si>
    <t>DP1107</t>
  </si>
  <si>
    <t>ใกล้สถานีรถไฟฟ้า BTS สุรศักดิ์(ใกล้แยกสรุศักดิ์ ก่อนถึง ถ.ประมวลใกล้ดรงเรียนกรุงเทพคริสเตียน) / ใต้สถานี BTS สุรศักดิ์ หน้า The Dip Romat@สาทร</t>
  </si>
  <si>
    <t>P 1415/2</t>
  </si>
  <si>
    <t>DP204</t>
  </si>
  <si>
    <t>ระหว่างซอยอ่อนนุช 17-17/1ก่อนถึงปั้มน้ำมันบางจาก (มาจากสุขุทวิทมุ่งหน้าศรีนครินทร์)</t>
  </si>
  <si>
    <t>P 1416/2</t>
  </si>
  <si>
    <t>DP1066</t>
  </si>
  <si>
    <t xml:space="preserve"> หน้าบ้านเลขที่ 463 ถึงก่อนไอดีโอ โมบิ พญาไทประมาณ 30 เมตร</t>
  </si>
  <si>
    <t>พ่วงศาลา DS124</t>
  </si>
  <si>
    <t>P 1418/1</t>
  </si>
  <si>
    <t>DP505</t>
  </si>
  <si>
    <t>มาจากแยกประดิพัทธ์ฝั่งป้อมตำตรวจมุ่งหน้าพหลโยธิน</t>
  </si>
  <si>
    <t>P 1418/2</t>
  </si>
  <si>
    <t>DP399</t>
  </si>
  <si>
    <t>หน้าห้างมาบุญครอง (มุ่งหน้าอนุสาวรีย์ชัยสมรภูมิ )</t>
  </si>
  <si>
    <t>P 1419/1</t>
  </si>
  <si>
    <t>DP984</t>
  </si>
  <si>
    <t>เลยแยกลาดพร้าวตัดประดิษฐ์มนูธรรมก่อนถึงลาดพร้าวซอย 77 (มุ่งหน้าบางกะปิ)</t>
  </si>
  <si>
    <t>พ่วง Metro A120</t>
  </si>
  <si>
    <t>P 1420/1</t>
  </si>
  <si>
    <t>DP735</t>
  </si>
  <si>
    <t>หน้าบริษัทศรีมัฆวาฬภัณฑ์ จำกัด (ก่อนถึงโรงพยาบาลกรุงเทพ ซอยเพชรบุรี 47 มาจากทางเข้า RCA มุ่งหน้าแยกคลองตัน)</t>
  </si>
  <si>
    <t>P 1420/2</t>
  </si>
  <si>
    <t>DP736</t>
  </si>
  <si>
    <t>ก่อนถึงโรงพยาบาลกรุงเทพ (ซอยเพชรบุรี 47 มาจากทางเข้า RCA มุ่งหน้าแยกคลองตัน)</t>
  </si>
  <si>
    <t>พ่วง Cookies P1420/1</t>
  </si>
  <si>
    <t>P 1619/2</t>
  </si>
  <si>
    <t>DP760</t>
  </si>
  <si>
    <t>ก่อนถึงการไฟฟ้านครหลวง สาขาย่อยเพลินจิต (สถานีรถไฟฟ้า BTS ชิดลม)</t>
  </si>
  <si>
    <t>P 1421/2</t>
  </si>
  <si>
    <t>DP283</t>
  </si>
  <si>
    <t>หน้าศูนย์การค้าเดอะ เมอร์คิวรี่ วิลล์ แอท ชิดลม (The Mercury Ville @ Chidlom)</t>
  </si>
  <si>
    <t>พ่วงป้าย-MTP(บนป้อม)</t>
  </si>
  <si>
    <t>พ่วงที่ป้าย</t>
  </si>
  <si>
    <t>P 1422/1</t>
  </si>
  <si>
    <t>DP847</t>
  </si>
  <si>
    <t>บริเวณสถานีรถไฟฟ้า MRT สถานีห้วยขวาง ประตูที่ 1 ก่อนถึงแยกห้วยขวาง (แยกพระพิฆเนศ)</t>
  </si>
  <si>
    <t>P 1634/1</t>
  </si>
  <si>
    <t>DP029</t>
  </si>
  <si>
    <t>ทางเข้า-ออก ตลาดนัดจตุจักร</t>
  </si>
  <si>
    <t>P 1646/2</t>
  </si>
  <si>
    <t>DP104</t>
  </si>
  <si>
    <t xml:space="preserve">หน้าคอนโด Q1 Sukhumvit (คิว วัน สุขุมวิท) ก่อนถึงสุขุมวิท 6
</t>
  </si>
  <si>
    <t>P 1424/1</t>
  </si>
  <si>
    <t>DP133</t>
  </si>
  <si>
    <t>หน้า Lotus Express ก่อนถึงโรงพยาบาลพญาไท ตรงข้ามซอยนวมินทร์ 147  (นวมินทร์มาจากรามอินทรามุ่งหน้าบางกะปิ)</t>
  </si>
  <si>
    <t>P 1424/2</t>
  </si>
  <si>
    <t>DP252</t>
  </si>
  <si>
    <t>หน้าอาคาร 898 PLOENCHIT TOWER ก่อนถึงสถานีรถไฟฟ้า BTS ชิดลม (มุ่งหน้าแยกราชประสงค์)</t>
  </si>
  <si>
    <t>พ่วงป้าย-MTP(AA21)</t>
  </si>
  <si>
    <t>P 1647/2</t>
  </si>
  <si>
    <t>DP659</t>
  </si>
  <si>
    <t>เยื้องโรงภาพยนตร์เมเจอร์ รัชโยธิน, ใกล้ท็อปส์ ซุปเปอร์ สาขาเสนานิคม</t>
  </si>
  <si>
    <t>P 1425/2</t>
  </si>
  <si>
    <t>DP1134</t>
  </si>
  <si>
    <t>ก่อนถึงห้าง มาบุญครอง เลยซ.จุฬาฯ12(โรงแรมปทุมวันปริ้นเซส)</t>
  </si>
  <si>
    <t>P 1426/1</t>
  </si>
  <si>
    <t>DP636</t>
  </si>
  <si>
    <t>หน้าธนาคารกรุงศรี สาขาบางเขน ใต้รถไฟฟ้า BTS สถานีเสนานิคม(มาจากแยกเสนามุ่งหน้าแยกเกษตร)</t>
  </si>
  <si>
    <t>P 1427/1</t>
  </si>
  <si>
    <t>DP150</t>
  </si>
  <si>
    <t>หน้าธนาคารกรุงเทพสาขาอินทรามาระ 37</t>
  </si>
  <si>
    <t>สุทธิสารวินิจฉัย</t>
  </si>
  <si>
    <t>P 1651/2</t>
  </si>
  <si>
    <t>DP491</t>
  </si>
  <si>
    <t>หน้าโรงแรมดุสิต (ใกล้แยกศาลาแดง, เยื้องโรบินสัน สีลม)</t>
  </si>
  <si>
    <t>P 1428/2</t>
  </si>
  <si>
    <t>DP400</t>
  </si>
  <si>
    <t>เลยไฟแดงทางเข้าม.จุฬาฯ ประตูใหญ่บริเวณสระน้ำ (เสาไฟเลขที่42)</t>
  </si>
  <si>
    <t>พ่วงศาลา DS091</t>
  </si>
  <si>
    <t>P 1429/1</t>
  </si>
  <si>
    <t>DP1138</t>
  </si>
  <si>
    <t>ปากซอยสีหบุรานุกิจ 12  (ทางไปแยกเมืองมีนบุรี)</t>
  </si>
  <si>
    <t>สีหบุรานุกิจ</t>
  </si>
  <si>
    <t>มีนบุรี</t>
  </si>
  <si>
    <t>พ่วงศาลาDS393</t>
  </si>
  <si>
    <t>P 1429/2</t>
  </si>
  <si>
    <t>DP986</t>
  </si>
  <si>
    <t xml:space="preserve"> ก่อนถึงแยกพระราม9-ประดิษฐ์มนูธรรม มุ่งหน้าเอกมัย (จุดที่ 1)</t>
  </si>
  <si>
    <t>พ่วงCookies DP 344</t>
  </si>
  <si>
    <t>P 1430/1</t>
  </si>
  <si>
    <t>DP401</t>
  </si>
  <si>
    <t>หน้าคณะเภสัชศาสตร์ ม.จุฬาฯ (จุฬาลงกรณ์ 62 มุ่งหน้าแยกสามย่าน)</t>
  </si>
  <si>
    <t>P 1430/2</t>
  </si>
  <si>
    <t>DP215</t>
  </si>
  <si>
    <t>เยื้องโรงเรียนสาธิตมหาวิทยาลัยศรีนครินทร์วิโรฒ ประทุมวัน (มาจากแยกเฉลิมเผ่ามุ่งหน้าแยกอังรีดูนังต์)</t>
  </si>
  <si>
    <t>พ่วงศาลา DS044</t>
  </si>
  <si>
    <t>P 1657/2</t>
  </si>
  <si>
    <t>DP108</t>
  </si>
  <si>
    <t>หน้าคอนโด Fullerton เยื้องโรงเรียนดาราคาม</t>
  </si>
  <si>
    <t>P 1431/2</t>
  </si>
  <si>
    <t>DP1139</t>
  </si>
  <si>
    <t>เลยโรงเรียนสตรีเศรษฐบุตรบำเพ็ญตรงข้ามสำนักงานเขตมีนบุรี (มุ่งหน้าแยกมีนบุรี)</t>
  </si>
  <si>
    <t>P 1432/1</t>
  </si>
  <si>
    <t>DP237</t>
  </si>
  <si>
    <t>หน้าห้างมาบุญครอง (มุ่งหน้าแยกปทุมวัน)</t>
  </si>
  <si>
    <t>P 1432/2</t>
  </si>
  <si>
    <t>DP039</t>
  </si>
  <si>
    <t>ข้างโรงแรมปทุมวันปรินเซส</t>
  </si>
  <si>
    <t>จุฬาซ.12</t>
  </si>
  <si>
    <t>P 1433/1</t>
  </si>
  <si>
    <t>DP355</t>
  </si>
  <si>
    <t>หน้าปั๊มน้ำมันบางจาก (ก่อนถึงทางลัดไปโชคชัย 4, Outbound)</t>
  </si>
  <si>
    <t>P 1658/1</t>
  </si>
  <si>
    <t>DP1111</t>
  </si>
  <si>
    <t>หน้าสถานทูตเมียนมา ใกล้สาทรซอย 14</t>
  </si>
  <si>
    <t>P 1661/2</t>
  </si>
  <si>
    <t>DP114</t>
  </si>
  <si>
    <t>บริเวณปากซอย สุขุมวิท 59</t>
  </si>
  <si>
    <t>P 1435/2</t>
  </si>
  <si>
    <t>DP356</t>
  </si>
  <si>
    <t>ปากซอยโยธินพัฒนา 3 (มุ่งหน้าพระราม9)</t>
  </si>
  <si>
    <t>P 1436/1</t>
  </si>
  <si>
    <t>DP906</t>
  </si>
  <si>
    <t>หน้าสวนลุมพินี, เยื้องคณะแพทย์ศาสตร์จุฬาฯ (ก่อนถึงแยกศาลาแดง)</t>
  </si>
  <si>
    <t>พ่วง Merto AA4</t>
  </si>
  <si>
    <t>P 1436/2</t>
  </si>
  <si>
    <t>DP549</t>
  </si>
  <si>
    <t>บริเวณปากซอย พระราม 9 ซ.39 ทางลัดไปเดอะมอลล์ 2</t>
  </si>
  <si>
    <t>P 1437/2</t>
  </si>
  <si>
    <t>DP151</t>
  </si>
  <si>
    <t>หน้าเรือนชัยอะไหลยนต์ (เยื้องซอยอินทามระ 26)</t>
  </si>
  <si>
    <t>P 1438/1</t>
  </si>
  <si>
    <t>DP916</t>
  </si>
  <si>
    <t>หน้าธนาคารไทยพาณิชย์ (Inbound) ตรงข้าม เพชรบุรี 33</t>
  </si>
  <si>
    <t>13.7495376,</t>
  </si>
  <si>
    <t>พ่วงCookies P1068/1</t>
  </si>
  <si>
    <t>P 1439/1</t>
  </si>
  <si>
    <t>DP1051</t>
  </si>
  <si>
    <t>หน้าแฟลตดินแดง ตรงข้ามโรงเรียนพิบูลประะชาสรรค์</t>
  </si>
  <si>
    <t>13.7625915,</t>
  </si>
  <si>
    <t>พ่วงศาลา DS 234</t>
  </si>
  <si>
    <t>P 1439/2</t>
  </si>
  <si>
    <t>DP478</t>
  </si>
  <si>
    <t>หน้าโรงแรม CROWNE PLAZA Bangkok Lumpini Park</t>
  </si>
  <si>
    <t>พ่วงศาลา DS030</t>
  </si>
  <si>
    <t>P 1440/1</t>
  </si>
  <si>
    <t>DP1135</t>
  </si>
  <si>
    <t>สีลมซอย 32 หน้า S 243</t>
  </si>
  <si>
    <t>พ่วงศาลา DS077</t>
  </si>
  <si>
    <t>P 1441/1</t>
  </si>
  <si>
    <t>DP152</t>
  </si>
  <si>
    <t>หจก.เอเซียเครื่องเขียน (ฝั่งตรงข้ามอินทรามาระซ.26/1)</t>
  </si>
  <si>
    <t>P 1441/2</t>
  </si>
  <si>
    <t>DP359</t>
  </si>
  <si>
    <t>โชว์รูมโตโยต้า ประดิษฐ์มนูธรรม (Outbound)</t>
  </si>
  <si>
    <t>P 1442/1</t>
  </si>
  <si>
    <t>DP072</t>
  </si>
  <si>
    <t>ใกล้อาคาร JC KEVIN Tower (หน้าร้านโออิชิ, มาจากซ.นราธิวาสฯ 8)</t>
  </si>
  <si>
    <t>P 1671/1</t>
  </si>
  <si>
    <t>DP1029</t>
  </si>
  <si>
    <t>ก่อนถึงแยกวิทยุ-เพชรบุรี(หน้าอาคารวานิช)</t>
  </si>
  <si>
    <t>P 1444/2</t>
  </si>
  <si>
    <t>DP188</t>
  </si>
  <si>
    <t>ใกล้ซอยนางลิ้นจี่ 2 เยื้องกองพันทหารสื่อสารที่ 1 (ก่อนถึงมหาวิทยาลัยเทคโนโลยีราชมงคลกรุงเทพ)</t>
  </si>
  <si>
    <t>พ่วงศาลานอกสัญญา S1444</t>
  </si>
  <si>
    <t>P 1447/1</t>
  </si>
  <si>
    <t>DP073</t>
  </si>
  <si>
    <t>ตรงข้ามห้างเทสโก้โลตัส พระราม 3 (มาจากแยกรัชดา-นราธิวาสฯ)</t>
  </si>
  <si>
    <t>P 1449/1</t>
  </si>
  <si>
    <t>DP550</t>
  </si>
  <si>
    <t>หน้าเตนท์รถมือ 2 ก่อนถึง The Nine พระราม 9</t>
  </si>
  <si>
    <t>พ่วงศาลานอกสัญญา S 1449</t>
  </si>
  <si>
    <t>P 1450/2</t>
  </si>
  <si>
    <t>DP637</t>
  </si>
  <si>
    <t>หน้าโชว์รูม Benz ราชครู  หน้าซอยพหลโยธิน10 (ขาเข้า)</t>
  </si>
  <si>
    <t>เพิ่มเติม</t>
  </si>
  <si>
    <t>DDP001</t>
  </si>
  <si>
    <t>หน้าปั้มแก๊ส สยามแก๊ส (Inbound)</t>
  </si>
  <si>
    <t>,100.6080172</t>
  </si>
  <si>
    <t xml:space="preserve">มีมิเตอร์ </t>
  </si>
  <si>
    <t>DDP002</t>
  </si>
  <si>
    <t>หน้้าปั้มเชลล์ก่อนถึงด่านประชาอุทิศ (Inbound)</t>
  </si>
  <si>
    <t>13.7770365,</t>
  </si>
  <si>
    <t>DDP003</t>
  </si>
  <si>
    <t>หน้าโชว์รูมรถยนต์ออดี้ (Outbound)</t>
  </si>
  <si>
    <t>13.7699363,</t>
  </si>
  <si>
    <t>P 1463/1</t>
  </si>
  <si>
    <t>DP638</t>
  </si>
  <si>
    <t>หน้าปั้มน้ำมัน  Caltex มาจาก BTS อารีย์มุ่งหน้าอนุสาวรีย์</t>
  </si>
  <si>
    <t>พ่วงศาลา DS327</t>
  </si>
  <si>
    <t>P 1468/1</t>
  </si>
  <si>
    <t>DP506</t>
  </si>
  <si>
    <t>หน้าองค์การเภสัชกรรม (ตรงข้ามโรงพยาบาลรามธิบดี) จุดที่ 2</t>
  </si>
  <si>
    <t>พ่วงศาลา DS202</t>
  </si>
  <si>
    <t>P 1468/2</t>
  </si>
  <si>
    <t>DP507</t>
  </si>
  <si>
    <t>หน้าองค์การเภสัชกรรม (ตรงข้ามโรงพยาบาลรามธิบดี)จุดที่ 1</t>
  </si>
  <si>
    <t>พ่วงCookies P1468/1</t>
  </si>
  <si>
    <t>P 1469/2</t>
  </si>
  <si>
    <t>DP508</t>
  </si>
  <si>
    <t xml:space="preserve">เลยปากซอยสวนเงิน ตรงข้ามบ้านราชวิถี (ก่อนถึงแยกตึกชัยมุ่งหน้าแยกศรีอยุธยา) </t>
  </si>
  <si>
    <t>พ่วงศาลา DS201</t>
  </si>
  <si>
    <t>P 1470/1</t>
  </si>
  <si>
    <t>DP849</t>
  </si>
  <si>
    <t>ใกล้พรรคพลังประชารัฐ ก่อนขึ้นสะพานข้ามแยกรัชวิภาขาเข้า ก่อนถึงซอยรัชดาภิเษก 54</t>
  </si>
  <si>
    <t>พ่วงศาลา DS 266</t>
  </si>
  <si>
    <t>P 1470/2</t>
  </si>
  <si>
    <t>DP509</t>
  </si>
  <si>
    <t>ตรงข้ามซอยสวนเงิน (หน้าบ้านราชวิถี,มาจากแยกตึกชัย, ใกล้โรงเรียนชาติสงเคราะห์, Outbound)</t>
  </si>
  <si>
    <t>พ่วงศาลา DS191</t>
  </si>
  <si>
    <t>P 1471/2</t>
  </si>
  <si>
    <t>DP510</t>
  </si>
  <si>
    <t>หน้าคณะวิทยาศาสตร์มหิดล ( ก่อนทางออก ) ตรงข้ามกระทรวงอุตสาหกรรม</t>
  </si>
  <si>
    <t>พ่วงศาลา DS189</t>
  </si>
  <si>
    <t>P 1472/1</t>
  </si>
  <si>
    <t>DP511</t>
  </si>
  <si>
    <t>หน้ากระทรวงอุตสาหกรรม</t>
  </si>
  <si>
    <t>พ่วงศาลา DS205</t>
  </si>
  <si>
    <t>P 1472/2</t>
  </si>
  <si>
    <t>DP512</t>
  </si>
  <si>
    <t>หน้ากรมทรัพยากรธรณี กระทรวงทรัพยากรธรรมชาติและสิ่งแวดล้อม</t>
  </si>
  <si>
    <t>P 1473/1</t>
  </si>
  <si>
    <t>DP639</t>
  </si>
  <si>
    <t>หน้ามหาวิทยาลัยศรีปทุม</t>
  </si>
  <si>
    <t>P 1473/2</t>
  </si>
  <si>
    <t>DP513</t>
  </si>
  <si>
    <t>หน้าคณะวิทยาศาสตร์ มหาวิทยาลัยมหิดล, ตรงข้ามกระทรวงอุตสาหกรรม</t>
  </si>
  <si>
    <t>พ่วง Cookies P 1471/2</t>
  </si>
  <si>
    <t>P 1474/1</t>
  </si>
  <si>
    <t>DP917</t>
  </si>
  <si>
    <t>ปากซอยราชปรารภ 20 ใกล้โรงแรมซีซันสยาม</t>
  </si>
  <si>
    <t>พ่วงศาลา DS220</t>
  </si>
  <si>
    <t>P 1475/1</t>
  </si>
  <si>
    <t>DP514</t>
  </si>
  <si>
    <t>เลยทางขึ้นด่วนอุรุพงษ์ พระราม6 ซ.18 (ก่อนถึงแยกอุรุพงษ์)</t>
  </si>
  <si>
    <t>P 1475/2</t>
  </si>
  <si>
    <t>DP1067</t>
  </si>
  <si>
    <t>หน้าบ้านพักข้าราชการ กรมแพทย์ทหารบก (ตรงข้าม สน. พญาไท)</t>
  </si>
  <si>
    <t>พ่วงศาลา DS123</t>
  </si>
  <si>
    <t>P 1476/1</t>
  </si>
  <si>
    <t>DP515</t>
  </si>
  <si>
    <t>หน้ากองการพัสดุกรมทางหลวง (มาจากแยกอุรุพงษ์ ไปแยกศรีอยุธยา, Outbound)</t>
  </si>
  <si>
    <t>พ่วงศาลา DS187</t>
  </si>
  <si>
    <t>P 1476/2</t>
  </si>
  <si>
    <t>DP516</t>
  </si>
  <si>
    <t>หน้ากองการพัสดุกรมทางหลวง (ประตู 3) ตรงข้ามสำนักป้องกันและบรรเทาสาธารณภัย</t>
  </si>
  <si>
    <t>P 1477/1</t>
  </si>
  <si>
    <t>DP517</t>
  </si>
  <si>
    <t>พิพิธภัณฑ์กรมทางหลวง ตรงข้ามกองการพัสดุกรมทางหลวง (จุดที่ 1)</t>
  </si>
  <si>
    <t>พ่วงศาลา DS184</t>
  </si>
  <si>
    <t>P 1477/2</t>
  </si>
  <si>
    <t>DP518</t>
  </si>
  <si>
    <t>พิพิธภัณฑ์กรมทางหลวง ตรงข้ามกองการพัสดุกรมทางหลวง (จุดที่ 2)</t>
  </si>
  <si>
    <t>P 1478/2</t>
  </si>
  <si>
    <t>DP324</t>
  </si>
  <si>
    <t>หน้าวิทยาลัยพณิชยการเชตุพน (ตรงข้ามซอยประชาอุทิศ 7)</t>
  </si>
  <si>
    <t>ราษฎร์บูรณะ</t>
  </si>
  <si>
    <t>พ่วงศาลา DS664</t>
  </si>
  <si>
    <t>ราษฏร์บูรณะ</t>
  </si>
  <si>
    <t>P 1479/2</t>
  </si>
  <si>
    <t>DP402</t>
  </si>
  <si>
    <t xml:space="preserve"> หน้าสมาคมนิสิตเก่านิติศาสตร์ จุฬาลงกรณ์มหาวิทยาลัย (ใกล้ซอย จุฬา42)</t>
  </si>
  <si>
    <t>พ่วงศาลา DS098</t>
  </si>
  <si>
    <t>P 1480/2</t>
  </si>
  <si>
    <t>DP737</t>
  </si>
  <si>
    <t>เชิงทางลงสะพานข้ามคลองบางกะปิ (ตรงข้ามถนนเพชรอุทัยมาจากอาคารอิตเลียนไทยมุ่งหน้าแยกอโศก-เพชร)</t>
  </si>
  <si>
    <t>P 1482/1</t>
  </si>
  <si>
    <t>DP1124</t>
  </si>
  <si>
    <t>บริษัท โปรไบร์ จำกัด ตรงข้ามสวนลุมพินี</t>
  </si>
  <si>
    <t>สารสิน</t>
  </si>
  <si>
    <t>พ่วงศาลา DS142</t>
  </si>
  <si>
    <t>P 1482/2</t>
  </si>
  <si>
    <t>DP1136</t>
  </si>
  <si>
    <t>หน้าโรงพยาบาลเลิศสิน</t>
  </si>
  <si>
    <t>พ่วง Merto AA6</t>
  </si>
  <si>
    <t>P 1484/2</t>
  </si>
  <si>
    <t>DP081</t>
  </si>
  <si>
    <t>ข้างตึก ITF TOWER ก่อนถึงแยกนราธิวาสฯ ตัดถนนสีลม</t>
  </si>
  <si>
    <t>พ่วงMetro Poster AA52</t>
  </si>
  <si>
    <t>P 1485/1</t>
  </si>
  <si>
    <t>DP850</t>
  </si>
  <si>
    <t>หน้าธนาคารแห่งประเทศจีน BANK OF CHINA อาคารภคินท์ (ก่อนถึงรัชดาภิเษก ซ.3)</t>
  </si>
  <si>
    <t>P 1487/1</t>
  </si>
  <si>
    <t>DP325</t>
  </si>
  <si>
    <t>ปากซอยประชาอุทิศ 26/6 ตรงข้าม makro foodservice</t>
  </si>
  <si>
    <t>พ่วงศาลา DS659</t>
  </si>
  <si>
    <t>P 1487/2</t>
  </si>
  <si>
    <t>DP990</t>
  </si>
  <si>
    <t>ปั๊มแก๊ส ลาดพร้าว ซ.79 (แยกประดิษฐ์ฯตัดลาดพร้าว)</t>
  </si>
  <si>
    <t>พ่วง Merto A120</t>
  </si>
  <si>
    <t>P 1489/1</t>
  </si>
  <si>
    <t>DP319</t>
  </si>
  <si>
    <t>ข้างโรงพยาบาลราชานุกูล (มาจากแยกประชาสงเคราะห์)</t>
  </si>
  <si>
    <t>พ่วงCookies P 1029/3</t>
  </si>
  <si>
    <t>P 1490/2</t>
  </si>
  <si>
    <t>DP991</t>
  </si>
  <si>
    <t>ระหว่างซอยลาดพร้าว 19-21 หน้าอาคาร MOVE AMAZE</t>
  </si>
  <si>
    <t>DDP004</t>
  </si>
  <si>
    <t>หน้า เซ็นทรัล เลียบด่วนรามอินทรา (Outbound)</t>
  </si>
  <si>
    <t>13.8019998,</t>
  </si>
  <si>
    <t>DDP005</t>
  </si>
  <si>
    <t>หน้ากรมส่งเสริมการเกษตร  (Outbound)</t>
  </si>
  <si>
    <t>13.8429292,</t>
  </si>
  <si>
    <t>P 1493/1</t>
  </si>
  <si>
    <t>DP553</t>
  </si>
  <si>
    <t>ทางเข้าปั๊ม Esso (The Nine พระราม 9 มุ่งหน้าไปศรีนครินทร์, Outbound)</t>
  </si>
  <si>
    <t>DDP006</t>
  </si>
  <si>
    <t>สถานีรถไฟฟ้าBTS ม.เกษตร ฝั่งตรงข้าม ม.เกษตร  (Inbound)</t>
  </si>
  <si>
    <t>13.8420799,</t>
  </si>
  <si>
    <t>DDP011</t>
  </si>
  <si>
    <t>ซอย สุจริต 1 ตรงข้าม วชิราวุธวิทยาลัย</t>
  </si>
  <si>
    <t>DDP013</t>
  </si>
  <si>
    <t>P 1275/1</t>
  </si>
  <si>
    <t>DP024</t>
  </si>
  <si>
    <t>หน้าศูนย์การค้า IN Square (1), ตรงข้ามตลาดนัดสวนจตุจักร</t>
  </si>
  <si>
    <t>บิลแยก ยังไม่เข้าบิลรวม</t>
  </si>
  <si>
    <t>P 1497/1</t>
  </si>
  <si>
    <t>DP956</t>
  </si>
  <si>
    <t>เยื้องห้าง Big C ราษฎร์บูรณะ  ก่อนถึงซอยราษฎร์บูรณะ 16</t>
  </si>
  <si>
    <t>พ่วงศาลา DS683</t>
  </si>
  <si>
    <t>P 1498/1</t>
  </si>
  <si>
    <t>DP957</t>
  </si>
  <si>
    <t>ตรงข้ามปั้มน้ำมันซัสโก้ ก่อนถึงซอยราษฎร์บูรณะ 12 (มุ่งหน้าแยกบุคคโล)</t>
  </si>
  <si>
    <t>พ่วงศาลา DS684</t>
  </si>
  <si>
    <t>P 1498/2</t>
  </si>
  <si>
    <t>DP363</t>
  </si>
  <si>
    <t xml:space="preserve">1. ตรงข้ามคริสตันปาร์ค ก่อนถึงปั๊มปตท.
 อยู่ระหว่างซอยโยธินพัฒนา 1-ซอยโยธินพัฒนา 7
(มุ่งหน้า ถนนลาดพร้าว)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</si>
  <si>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13.811215, 
</t>
  </si>
  <si>
    <t>street line</t>
  </si>
  <si>
    <t>พ่วง Cookies P1539/1</t>
  </si>
  <si>
    <t>vnp</t>
  </si>
  <si>
    <t>P 1499/2</t>
  </si>
  <si>
    <t>DP640</t>
  </si>
  <si>
    <t>ตรงข้ามมหาวิทยาลัยศรีประทุม ก่อนถึงรถไฟฟ้า BTS สถานีบางบัว (มาจากแยกเกษตรมุ่งหน้าวงเวียนบางเขน)</t>
  </si>
  <si>
    <t>P 1454/1</t>
  </si>
  <si>
    <t>DP078</t>
  </si>
  <si>
    <t>ก่อนถึงแยกถนนจันทร์ตัดนราธิวาสมุ่งหน้าถนนสาทร</t>
  </si>
  <si>
    <t>P 1500/2</t>
  </si>
  <si>
    <t>DP083</t>
  </si>
  <si>
    <t>สถานีรถไฟฟ้า BTS ช่องนนทรี (เยื้องธ.Standard Chartered Nakornthon),ก่อนถึงซ.สีลม 9</t>
  </si>
  <si>
    <t>พ่วงcookies P1500/1</t>
  </si>
  <si>
    <t>P 1455/1</t>
  </si>
  <si>
    <t>DP080</t>
  </si>
  <si>
    <t>หน้าห้างโลตัสพระราม 3</t>
  </si>
  <si>
    <t>P 1503/2</t>
  </si>
  <si>
    <t>DP958</t>
  </si>
  <si>
    <t>หน้าธนาคารกสิกรไทย สำนักงานใหญ่ราษฎร์บูรณะ</t>
  </si>
  <si>
    <t>พ่วงศาลา DS675</t>
  </si>
  <si>
    <t>P 1504/2</t>
  </si>
  <si>
    <t>DP554</t>
  </si>
  <si>
    <t>หน้าทางเข้าคอนโด PG RAMA 9</t>
  </si>
  <si>
    <t>P 1558/2</t>
  </si>
  <si>
    <t>DP087</t>
  </si>
  <si>
    <t>นราธิวาสฯ ซอย 15 (อาคารธนาสุวรรณดิถีทาวเวอร์) จุดที่ 2</t>
  </si>
  <si>
    <t>P 1505/2</t>
  </si>
  <si>
    <t>DP1054</t>
  </si>
  <si>
    <t>ปากซอยศรีนครินทร์ซอย 1 หน้าศูนย์ Honda (มุ่งหน้าบางนา)</t>
  </si>
  <si>
    <t>พ่วงศาลา DS521</t>
  </si>
  <si>
    <t>P 1524/1</t>
  </si>
  <si>
    <t>DP1058</t>
  </si>
  <si>
    <t>13.841771,1</t>
  </si>
  <si>
    <t>P 1508/2</t>
  </si>
  <si>
    <t>DP403</t>
  </si>
  <si>
    <t>หน้า IDEO Condo ก่อนถึง​ BTS พญาไท (มุ่งหน้าแยกพญาไท)​</t>
  </si>
  <si>
    <t>P 1509/1</t>
  </si>
  <si>
    <t>DP153</t>
  </si>
  <si>
    <t xml:space="preserve">อยู่ระหว่างซอยอินทามระ 17 และซอยอินทามระ 19 </t>
  </si>
  <si>
    <t>P 1510/1</t>
  </si>
  <si>
    <t>DP924</t>
  </si>
  <si>
    <t>หน้าปั๊มน้ำมัน Caltex เยื้องโรงแรมเซ็นจูรี่ (ระหว่างซ.ราชวิถี 2 และ 4)</t>
  </si>
  <si>
    <t>P 1511/1</t>
  </si>
  <si>
    <t>DP555</t>
  </si>
  <si>
    <t>ก่อนถึงด่านพระราม 9 ด่าน 2</t>
  </si>
  <si>
    <t>P 1511/2</t>
  </si>
  <si>
    <t>DP232</t>
  </si>
  <si>
    <t>ตรงข้ามเทคนิคกรุงเทพ  ก่อนถึงการประปานครหลวง สาขาทุ่งมหาเมฆ</t>
  </si>
  <si>
    <t>P 1512/2</t>
  </si>
  <si>
    <t>DP641</t>
  </si>
  <si>
    <t>หน้าพรรคภูมิใจไทย ก่อนถึงซอย พหลโยธิน 43</t>
  </si>
  <si>
    <t>P 1513/1</t>
  </si>
  <si>
    <t>DP154</t>
  </si>
  <si>
    <t xml:space="preserve">อยู่ระหว่างซอยอินทามระ 10 และซอยอินทามระ 12 </t>
  </si>
  <si>
    <t>P 1513/2</t>
  </si>
  <si>
    <t>DP739</t>
  </si>
  <si>
    <t>หน้าธนาคารกุรงไทยสาขาเพชรบุรีตัดใหม่ (เยื้องปณ.เพชรบุรี, ก่อนถึงซ.เพชรบุรี 47, Outbound)</t>
  </si>
  <si>
    <t>P 1514/1</t>
  </si>
  <si>
    <t>DP404</t>
  </si>
  <si>
    <t>อาคารโนเบิ้ลเฮ้าส์, ก่อนถึงแยกพญาไท, เยื้องโรงเรียนเสนารักษ์ (B)</t>
  </si>
  <si>
    <t>P 1515/2</t>
  </si>
  <si>
    <t>DP206</t>
  </si>
  <si>
    <t>ปากซอยอ่อนนุช 67/3 (มาจากพัฒนาการมุ่งหน้าลาดกระบัง)</t>
  </si>
  <si>
    <t>พ่วงศาลา DS535</t>
  </si>
  <si>
    <t>P 1516/1</t>
  </si>
  <si>
    <t>DP642</t>
  </si>
  <si>
    <t>หน้าธนาคารไทยพาณิชย์สาขาบางบัว ใต้รถไฟฟ้า BTS สถานีกรมป่าไม้ (มาจากแยกเกษตรมุ่งหน้าวงเวียนบางเขน)</t>
  </si>
  <si>
    <t>P 1505/1</t>
  </si>
  <si>
    <t>DP852</t>
  </si>
  <si>
    <t>หน้า Fullvita 1 มุ่งหน้าแยกแหม่งจ๋าย</t>
  </si>
  <si>
    <t>13.769489,</t>
  </si>
  <si>
    <t>P 1517/2</t>
  </si>
  <si>
    <t>DP679</t>
  </si>
  <si>
    <t>หน้าร้าน KFC ตรงข้ามซอยพัฒนาการซอย54  (มาจากแยกคลองตันมุ่งหน้าแยกพัฒนาการ)</t>
  </si>
  <si>
    <t>พ่วงCookies P 1517/1</t>
  </si>
  <si>
    <t>P 1376/1</t>
  </si>
  <si>
    <t>DP328</t>
  </si>
  <si>
    <t>หน้าโรงแรมกานต์มณีพาเลซ ซอยประดิพัทธ์15</t>
  </si>
  <si>
    <t>P 1295/2</t>
  </si>
  <si>
    <t>DP1153</t>
  </si>
  <si>
    <t>หน้าธนาคารซีไอเอ็มบีไทย  (ปากซอยุขุมวิท 53/1)</t>
  </si>
  <si>
    <t>พ่วงไฟเดิมในตู้ PDC</t>
  </si>
  <si>
    <t>P 1520/2</t>
  </si>
  <si>
    <t>DP364</t>
  </si>
  <si>
    <t>หน้าร้านโรงเหล้าแสงจันทร์</t>
  </si>
  <si>
    <t xml:space="preserve"> วังทองหลาง</t>
  </si>
  <si>
    <t>P 1521/1</t>
  </si>
  <si>
    <t>DP1056</t>
  </si>
  <si>
    <t>โรงแรมรอยัลปริ้นเซ็ส (ทางเข้าห้างซีคอนสแควร์)</t>
  </si>
  <si>
    <t>พ่วงศาลา DS525</t>
  </si>
  <si>
    <t>P 1521/2</t>
  </si>
  <si>
    <t>DP1057</t>
  </si>
  <si>
    <t>หน้าโรงแรม Dusit Princess ระหว่างซอยศรีนครินทร์ซอย 47-49  (มุ่งหน้าบางนา)</t>
  </si>
  <si>
    <t>P 1523/2</t>
  </si>
  <si>
    <t>DP156</t>
  </si>
  <si>
    <t>หน้าเมืองไทยลิสซิ่งจำกัด เยื้องโรงรับจำนำสุทธิสาร อินทามระ 26/2</t>
  </si>
  <si>
    <t>P 1006/1</t>
  </si>
  <si>
    <t>DP331</t>
  </si>
  <si>
    <t>หน้าห้าง The Crystal Park (Outbound) (2)</t>
  </si>
  <si>
    <t>พ่วง Cookies DP 330</t>
  </si>
  <si>
    <t>ไม่พบข้อมูลหัก บช.</t>
  </si>
  <si>
    <t>P 1525/1</t>
  </si>
  <si>
    <t>DP207</t>
  </si>
  <si>
    <t>หน้าบริษัท สยามดีเซล ออโต้ซัพพลาย ปากซอยอ่อนนุช 76 (มาจากลาดกระบังมุ่งหน้าพัฒนาการ)</t>
  </si>
  <si>
    <t>พ่วงศาลา DS536</t>
  </si>
  <si>
    <t>P 1103/2</t>
  </si>
  <si>
    <t>DP1113</t>
  </si>
  <si>
    <t xml:space="preserve">ใกล้แยก ถ.อินทราภรณ์มุ่งหน้าด่านประชาอุทิศ ขาเข้า เมือง(Inbound) </t>
  </si>
  <si>
    <t>รอติดตั้งมิเตอร์</t>
  </si>
  <si>
    <t>P 1494/1</t>
  </si>
  <si>
    <t>DP362</t>
  </si>
  <si>
    <t>หน้าร้านอาหารละเมอ ประดิษฐ์มนูธรรม / ตลาดนัดเลียบด่วน</t>
  </si>
  <si>
    <t>P 1527/1</t>
  </si>
  <si>
    <t>DP208</t>
  </si>
  <si>
    <t>หน้าปั้มเเก็สLPG ก่อนถึงซ. อ่อนนุช67/3</t>
  </si>
  <si>
    <t>P 1526/2</t>
  </si>
  <si>
    <t>DP365</t>
  </si>
  <si>
    <t>ก่อนขึ้นทางด่วนด่านลาดพร้าว (Outbound)</t>
  </si>
  <si>
    <t>P 1528/1</t>
  </si>
  <si>
    <t>DP405</t>
  </si>
  <si>
    <t>หน้าสาธิตจุฬาลงกรณ์มหาวิทยาลัย (อุโมงค์ข้ามทาง)</t>
  </si>
  <si>
    <t>พ่วงศาลา DS099</t>
  </si>
  <si>
    <t>P 1086/1</t>
  </si>
  <si>
    <t>DP382</t>
  </si>
  <si>
    <t xml:space="preserve">สถานีรถไฟฟ้า BTS ราชเทวี ก่อนถึงแยกราชเทวี </t>
  </si>
  <si>
    <t>ขอใหม่ ยังไม่มีการติดตั้งมิเตอร์</t>
  </si>
  <si>
    <t>P 1530/1</t>
  </si>
  <si>
    <t>DP366</t>
  </si>
  <si>
    <t>หน้าปั๊มน้ำมัน ปตท. ก่อนถึงโลตัส (Outbound)</t>
  </si>
  <si>
    <t>P 1531/1</t>
  </si>
  <si>
    <t>DP370</t>
  </si>
  <si>
    <t>หน้าสัมมากรเพลส ปากซอยรามคำแหง 110</t>
  </si>
  <si>
    <t>พ่วงศาลา DS503</t>
  </si>
  <si>
    <t>P 1123/1</t>
  </si>
  <si>
    <t>DP384</t>
  </si>
  <si>
    <t xml:space="preserve">สถานี BTS พญาไท </t>
  </si>
  <si>
    <t>P 1532/2</t>
  </si>
  <si>
    <t>DP367</t>
  </si>
  <si>
    <t xml:space="preserve">13.807966, 
</t>
  </si>
  <si>
    <t>พ่วง Cookies P1023/2</t>
  </si>
  <si>
    <t>P 1533/1</t>
  </si>
  <si>
    <t>DP406</t>
  </si>
  <si>
    <t>หน้าศูนย์อาหาร ศูนย์การค้ามาบุญครอง (มุ่งหน้าแยกปทุมวัน)</t>
  </si>
  <si>
    <t>P 1280/1</t>
  </si>
  <si>
    <t>DP393</t>
  </si>
  <si>
    <t>ใต้สถานีรถไฟฟ้า​ BTS ราชเทวี (มุ่งหน้าแยกประทุมวัน)​</t>
  </si>
  <si>
    <t>ย-29480</t>
  </si>
  <si>
    <t>P 1534/1</t>
  </si>
  <si>
    <t>DP993</t>
  </si>
  <si>
    <t>ปากซอยลาดพร้าว 71 มุ่งหน้าบางกะปิ (ก่อนถึง Big C)</t>
  </si>
  <si>
    <t>พ่วง Merto AA27</t>
  </si>
  <si>
    <t>P 1534/2</t>
  </si>
  <si>
    <t>DP368</t>
  </si>
  <si>
    <t>ก่อนขึ้นสะพานข้ามแยกเกษตร-นวมินทร์ (Outbound)</t>
  </si>
  <si>
    <t>P 1535/1</t>
  </si>
  <si>
    <t>DP854</t>
  </si>
  <si>
    <t>หน้าโรงแรม จัสติส รัชดา ก่อนถึง สน.พหลโยธิน</t>
  </si>
  <si>
    <t>P 1592/2</t>
  </si>
  <si>
    <t>DP408</t>
  </si>
  <si>
    <t>หน้าโรงแรมหัวช้างเฮอริเทจ</t>
  </si>
  <si>
    <t>P 1053/1</t>
  </si>
  <si>
    <t>DP413</t>
  </si>
  <si>
    <t>หน้า Tesco Lotus สาขาแยกเจริญผล</t>
  </si>
  <si>
    <t>โดนยกเลิกมอเตอร์ 23/6</t>
  </si>
  <si>
    <t>P 1538/2</t>
  </si>
  <si>
    <t>DP009</t>
  </si>
  <si>
    <t>หน้าโรงเรียนศรีพฤฒา เลยซอยนักกีฬาแหลมทองซอย 5</t>
  </si>
  <si>
    <t>พ่วงศาลา DS512</t>
  </si>
  <si>
    <t>P 1539/1</t>
  </si>
  <si>
    <t>DP369</t>
  </si>
  <si>
    <t>หน้าปั้ม ปตท. ก่อนถึง CDC มุ่งหน้าพระราม 9</t>
  </si>
  <si>
    <t>P 1540/1</t>
  </si>
  <si>
    <t>DP1092</t>
  </si>
  <si>
    <t>หน้าอาคารคิวเฮ้าส์ ลุมพินี (Q House Lumpini) ใกล้ซอยสาทร 1</t>
  </si>
  <si>
    <t>พ่วง Metro A 49</t>
  </si>
  <si>
    <t>P 1540/2</t>
  </si>
  <si>
    <t xml:space="preserve">2. หน้า Chic Republic 
อยู่เลยทางเข้าถนนโยธินพัฒนา 120 เมตร  
(มุ่งหน้า ถนนลาดพร้าว)           </t>
  </si>
  <si>
    <t xml:space="preserve">13.808787, 
</t>
  </si>
  <si>
    <t>P 1541/1</t>
  </si>
  <si>
    <t>DP371</t>
  </si>
  <si>
    <t>หน้าปั้ม ซัสโก้ ม.บ้านกลางเมือง</t>
  </si>
  <si>
    <t>P 1541/2</t>
  </si>
  <si>
    <t>DP945</t>
  </si>
  <si>
    <t>ปากซอยรามคำแหง 98 (มุ่งหน้าพระราม 9)</t>
  </si>
  <si>
    <t>P 1542/1</t>
  </si>
  <si>
    <t>DP372</t>
  </si>
  <si>
    <t>P 1542/2</t>
  </si>
  <si>
    <t>DP946</t>
  </si>
  <si>
    <t>ปากซอยรามคำแหง167/1 มุ่งหน้ามีนบุรี (ตรงข้ามบริษัท มิสทีน)</t>
  </si>
  <si>
    <t>P 1572/1</t>
  </si>
  <si>
    <t>DP240</t>
  </si>
  <si>
    <t>หน้าโรงพยาบาลตำรวจแห่งชาติ ก่อนถึงสำนักงานตำตรวจแห่งชาติ (มุ่งหน้าแยกปทุมวัน)</t>
  </si>
  <si>
    <t>ตู้ล็อคเปิดไม่ได้</t>
  </si>
  <si>
    <t xml:space="preserve"> PDC</t>
  </si>
  <si>
    <t>P 1543/2</t>
  </si>
  <si>
    <t>DP948</t>
  </si>
  <si>
    <t>หน้าโรงเรียนเตรียมอุดมน้อมเกล้า (มาจากซ.รามคำแหง 144, Inbound)</t>
  </si>
  <si>
    <t>พ่วงศาลา DS499</t>
  </si>
  <si>
    <t>P 1544/1</t>
  </si>
  <si>
    <t>DP1108</t>
  </si>
  <si>
    <t>ปากซอยสาทร 10 ใกล้บริษัท Thailand Privilege (ตรงไปทางเเยกสาทร-นราธิวาส )</t>
  </si>
  <si>
    <t>พ่วง Cookies P 1234/2</t>
  </si>
  <si>
    <t>P 1544/2</t>
  </si>
  <si>
    <t>DP373</t>
  </si>
  <si>
    <t>ร้านอาหารบ้านกลางเมือง (ก่อนขึ้นสะพานข้ามแยกลาดพร้าว, Inbound)</t>
  </si>
  <si>
    <t>P 1545/1</t>
  </si>
  <si>
    <t>DP062</t>
  </si>
  <si>
    <t>มาจากแยกสามเสน (ก่อนถึงสถานีรถไฟสามเสน)</t>
  </si>
  <si>
    <t>P 1546/2</t>
  </si>
  <si>
    <t>DP157</t>
  </si>
  <si>
    <t>ก่อนถึงซ.อินทรามาระ 1/1 เยื้องคอนโดลุมพินี วิลล์ พหล-สุทธิสาร (ซอยอินทามระ 2)</t>
  </si>
  <si>
    <t>P 1547/1</t>
  </si>
  <si>
    <t>DP1109</t>
  </si>
  <si>
    <t>ปากซอยสาทร 8 ใกล้บริษัท นวกิจประกันภัย สำนักงานใหญ่</t>
  </si>
  <si>
    <t>พ่วงศาลา DS013</t>
  </si>
  <si>
    <t>P 1547/2</t>
  </si>
  <si>
    <t>DP855</t>
  </si>
  <si>
    <t>หน้า Central พระราม 9</t>
  </si>
  <si>
    <t>P 1549/1</t>
  </si>
  <si>
    <t>DP030</t>
  </si>
  <si>
    <t>ปากซอยสุกร มาจากถนนเจริญกรุงมุ่งหน้าถนนมหาพฤธาราม (จุดที่ 1)</t>
  </si>
  <si>
    <t>พ่วงCookies P1549/2</t>
  </si>
  <si>
    <t>P 1423/2</t>
  </si>
  <si>
    <t>DP477</t>
  </si>
  <si>
    <t>ก่อนถึงธ.ออมสิน สาขาหัวลำโพง, เยื้องโรงแรมบางกอกเซ็นเตอร์ (A)</t>
  </si>
  <si>
    <t>95-376279</t>
  </si>
  <si>
    <t>P 1492/1</t>
  </si>
  <si>
    <t>DP551</t>
  </si>
  <si>
    <t>หน้าอาคารชำนาญเพ็ญชาติ บิสเนทเซ็นเตอร์ (มาจากฟอร์จูนก่อนถึงแยก อสมท.)</t>
  </si>
  <si>
    <t>รอกอล์ฟอัพเดท</t>
  </si>
  <si>
    <t>P 1554/1</t>
  </si>
  <si>
    <t>DP243</t>
  </si>
  <si>
    <t>หน้า Mini Big C ก่อนถึงมหาวิทยาลัยเทคโนโลยีราชมงคลกรุงเทพ (จุดที่ 2)</t>
  </si>
  <si>
    <t>พ่วงศาลา DS134</t>
  </si>
  <si>
    <t>P 1554/2</t>
  </si>
  <si>
    <t>DP254</t>
  </si>
  <si>
    <t>หน้า Mini Big C ก่อนถึงมหาวิทยาลัยเทคโนโลยีราชมงคลกรุงเทพ (จุดที่ 1)</t>
  </si>
  <si>
    <t>พ่วง Cookies P 1554/1</t>
  </si>
  <si>
    <t>P 1555/1</t>
  </si>
  <si>
    <t>DP265</t>
  </si>
  <si>
    <t>ก่อนถึงซ.นางลิ้นจี่ 6 (มาจากแยกรัชดา-นางลิ้นจี่) จุดที่ 1</t>
  </si>
  <si>
    <t>พ่วง Cookies P1555/2</t>
  </si>
  <si>
    <t>P 1520/1</t>
  </si>
  <si>
    <t>DP556</t>
  </si>
  <si>
    <t xml:space="preserve">โชว์รูม Toyota พระราม 9 (ทางไปถ.รามคำแหง, Outbound) </t>
  </si>
  <si>
    <t>P 1557/1</t>
  </si>
  <si>
    <t>DP084</t>
  </si>
  <si>
    <t>หน้าร้านอาหาร Sara Janes (ซาราเจนส์) ก่อนถึงซอยนราธิวาส 4</t>
  </si>
  <si>
    <t>พ่วงCookies P1557/2</t>
  </si>
  <si>
    <t>P 1648/1</t>
  </si>
  <si>
    <t>DP562</t>
  </si>
  <si>
    <t>เลยแยกพระราม 9-เอกมัยรามอินทราขาออก (หน้าบ.พระราม 9 ฮอนด้าคาร์ส์ จก.)</t>
  </si>
  <si>
    <t>บิลแยก ยังไม่เข้าบิลรวม มียอดค้าง 936.22บาท</t>
  </si>
  <si>
    <t>P 1558/1</t>
  </si>
  <si>
    <t>DP086</t>
  </si>
  <si>
    <t>นราธิวาสฯ ซอย 15 (อาคารธนาสุวรรณดิถีทาวเวอร์) จุดที่ 1</t>
  </si>
  <si>
    <t>พ่วงCookies P1558/2</t>
  </si>
  <si>
    <t>P 1005/1</t>
  </si>
  <si>
    <t>DP576</t>
  </si>
  <si>
    <t>สถานี BTS สะพานควาย ก่อนถึงโรงพยาบาลเปาโล เมโมเรียล (B)</t>
  </si>
  <si>
    <t>P 1559/1</t>
  </si>
  <si>
    <t>DP088</t>
  </si>
  <si>
    <t>ระหว่างนราธิวาสฯ ซอย 12- ซอย 10 (ก่อนถึงอาคารมนูญผล) จุดที่ 1</t>
  </si>
  <si>
    <t>พ่วงCookies P1559/2</t>
  </si>
  <si>
    <t>P 1087/2</t>
  </si>
  <si>
    <t>DP582</t>
  </si>
  <si>
    <t>หน้ามหาวิทยาลัยเกษตรศาสตร์  (Outbound)</t>
  </si>
  <si>
    <t xml:space="preserve"> 13.841169,</t>
  </si>
  <si>
    <t xml:space="preserve">บิลแยก ยังไม่เข้าบิลรวม </t>
  </si>
  <si>
    <t>P 1196/2</t>
  </si>
  <si>
    <t>DP603</t>
  </si>
  <si>
    <t>หน้าโรงรับจำนำ ก่อนถึงปากซอยพหลโยธิน2</t>
  </si>
  <si>
    <t>P 1560/2</t>
  </si>
  <si>
    <t>DP090</t>
  </si>
  <si>
    <t xml:space="preserve">นราธิวาสฯซอย 17 (ตรงข้ามการไฟฟ้าสายาย่อยเย็นอากาศ) </t>
  </si>
  <si>
    <t>P 1561/1</t>
  </si>
  <si>
    <t>DP091</t>
  </si>
  <si>
    <t xml:space="preserve">หน้าทางเข้าห้างแม็คโคร (สาขาสาทร) มาจากซ.นราธิวาสฯ 16 </t>
  </si>
  <si>
    <t>พ่วงCookies P1561/2</t>
  </si>
  <si>
    <t>P 1551/1</t>
  </si>
  <si>
    <t>DP645</t>
  </si>
  <si>
    <t>หน้าโรงเรียนหอวัง</t>
  </si>
  <si>
    <t>P 1562/1</t>
  </si>
  <si>
    <t>DP093</t>
  </si>
  <si>
    <t>หน้าร้านอาหารครัวอาอู๋ (เยื้องแม็คโคร) จุดที่ 1</t>
  </si>
  <si>
    <t>พ่วงศาลา DS336</t>
  </si>
  <si>
    <t>P 1562/2</t>
  </si>
  <si>
    <t>DP094</t>
  </si>
  <si>
    <t>หน้าร้านอาหารครัวอาอู๋ (เยื้องแม็คโคร)จุดที่ 2</t>
  </si>
  <si>
    <t>P 1563/1</t>
  </si>
  <si>
    <t>DP095</t>
  </si>
  <si>
    <t>หน้าบ. Mainly Silver Design (เลยแยกจันทร์นนทรี)</t>
  </si>
  <si>
    <t>พ่วงCookies P1563/2</t>
  </si>
  <si>
    <t>P 1626/1</t>
  </si>
  <si>
    <t>DP653</t>
  </si>
  <si>
    <t>ใกล้คลีนิคเมโกะ  ศัลยกรรมความงาม ตรงข้ามสวนจตุจักรมาจากแยกลาดพร้าวก่อนถึง BTS หมอชิต</t>
  </si>
  <si>
    <t>P 1564/2</t>
  </si>
  <si>
    <t>DP949</t>
  </si>
  <si>
    <t>ปากซอยรามคำแหงซอย 5 ตรงข้ามโรงพยาบาลแพทย์ปัญญา</t>
  </si>
  <si>
    <t>P 1565/1</t>
  </si>
  <si>
    <t>DP1026</t>
  </si>
  <si>
    <t xml:space="preserve">ด้านข้างสวนลุมพินี ฝั่งตรงข้ามสถานเอกราชฑูตญี่ปุ่นประจำประเทศไทย (แห่งใหม่  ถนนวิทยุ) </t>
  </si>
  <si>
    <t>พ่วงศาลา DS150</t>
  </si>
  <si>
    <t>P 1565/2</t>
  </si>
  <si>
    <t>DP247</t>
  </si>
  <si>
    <t>หน้าอาคารอื้อจือเหลียง(ไปแยกศาลาแดง)</t>
  </si>
  <si>
    <t>พ่วง-ป้ายศาลา DS029</t>
  </si>
  <si>
    <t>P 1566/1</t>
  </si>
  <si>
    <t>DP248</t>
  </si>
  <si>
    <t>ตรงข้ามอาคารอื้อจือเหลียง, หน้าสวนลุมพินี (ประตู 3)</t>
  </si>
  <si>
    <t>P 1566/2</t>
  </si>
  <si>
    <t>DP856</t>
  </si>
  <si>
    <t>ก่อนถึงแยกประชานุกุล (มุ่งหน้า Big C วงค์สว่าง)</t>
  </si>
  <si>
    <t>P 1568/1</t>
  </si>
  <si>
    <t>DP857</t>
  </si>
  <si>
    <t>หน้าคอนโด ศุภาลัย ปาร์ค@รัชโยธิน มุ่งหน้า แยกรัชโยธินมาจากประชานุกูล</t>
  </si>
  <si>
    <t>P 1569/1</t>
  </si>
  <si>
    <t>DP646</t>
  </si>
  <si>
    <t>ตรงข้ามห้าง Lotus เลยโรงเรียนหอวังมาจากแยกลาดพร้าวมุ่งหน้าแยกรัชโยธิน</t>
  </si>
  <si>
    <t>พ่วงศาลา DS296</t>
  </si>
  <si>
    <t>P 1569/2</t>
  </si>
  <si>
    <t>DP858</t>
  </si>
  <si>
    <t>ฝั่งตรงข้าม THE BAZAAR RATCHADAPHISEK</t>
  </si>
  <si>
    <t>P 1570/2</t>
  </si>
  <si>
    <t>DP959</t>
  </si>
  <si>
    <t>ปั๊มน้ำมัน ปตท. ก่อนถึง BigC ราษฎร์บูรณะ</t>
  </si>
  <si>
    <t>P 1326/1</t>
  </si>
  <si>
    <t>DP672</t>
  </si>
  <si>
    <t>หน้าธนาคารไทยพาณิชย์ พัฒนาการซ.9 (Outbound)</t>
  </si>
  <si>
    <t>โดนยกเลิกมอเตอร์ ปี 2020</t>
  </si>
  <si>
    <t>P 1434/2</t>
  </si>
  <si>
    <t>DP675</t>
  </si>
  <si>
    <t>เยื้องซอยพัฒนาการซอย 50 ก่อนถึงห้าง Lotus (มาจากแยกคลองตันมุ่งหน้าแยกพัฒนาการ)</t>
  </si>
  <si>
    <t>โดนถอดมิเตอร์ 24/5/2022</t>
  </si>
  <si>
    <t>P 1517/1</t>
  </si>
  <si>
    <t>DP678</t>
  </si>
  <si>
    <t>หน้า Tesco Lotus สาขาพัฒนาการ ตรงข้ามซอยพัฒนาการซอย 52  (มาจากแยกคลองตันมุ่งหน้าแยกพัฒนาการ)</t>
  </si>
  <si>
    <t>P 1572/2</t>
  </si>
  <si>
    <t>DP647</t>
  </si>
  <si>
    <t>ระหว่างซอยเสนานิคม 1กับซอยพหลโยธิน 30/1 (มาจากแยกเสนานิคมมุ่งหน้าแยกรัชโยธิน)</t>
  </si>
  <si>
    <t>P 1573/1</t>
  </si>
  <si>
    <t>DP742</t>
  </si>
  <si>
    <t>หน้าเซเว่นอีเลฟเว่น ตรงข้ามเพชรบุรีซอย 39</t>
  </si>
  <si>
    <t>พ่วงศาลา DS177</t>
  </si>
  <si>
    <t>P 1575/1</t>
  </si>
  <si>
    <t>DP1166</t>
  </si>
  <si>
    <t>หน้าบริษัทเต๊กฮวด บิซิเนส จำกัด หน้าซอยสุขุมวิท 30/1</t>
  </si>
  <si>
    <t>P 1575/2</t>
  </si>
  <si>
    <t>DP253</t>
  </si>
  <si>
    <t>หน้าสะพานลอยฝั่งซ้าย Central ชิดลม (มุ่งหน้าแยกชิดลม)</t>
  </si>
  <si>
    <t xml:space="preserve">เพลินจิตขาเข้า </t>
  </si>
  <si>
    <t>P 1576/2</t>
  </si>
  <si>
    <t>DP690</t>
  </si>
  <si>
    <t>เลย Big extra ประมาณ 300 เมตร มาจากถ.พุทธมณฑลสาย 3 (Inbound)</t>
  </si>
  <si>
    <t>หนองแขม</t>
  </si>
  <si>
    <t>พ่วงศาลา DS606</t>
  </si>
  <si>
    <t>P 1577/1</t>
  </si>
  <si>
    <t>DP950</t>
  </si>
  <si>
    <t>ซอยรามคำแหง14 หน้าปั๊ม Esso</t>
  </si>
  <si>
    <t>P 1578/1</t>
  </si>
  <si>
    <t>DP1168</t>
  </si>
  <si>
    <t>หน้าธนาคารกสิกรไทย สาขาพระโขนง บริเวรปากซอย สุขุมวิท 69/1</t>
  </si>
  <si>
    <t>พ่วง Merto B33</t>
  </si>
  <si>
    <t>P 1578/2</t>
  </si>
  <si>
    <t>DP691</t>
  </si>
  <si>
    <t>ก่อนถึงซอยเพชรเกษม 75 (ขาออก)</t>
  </si>
  <si>
    <t>พ่วงศาลา DS589</t>
  </si>
  <si>
    <t>P 1579/1</t>
  </si>
  <si>
    <t>DP519</t>
  </si>
  <si>
    <t>เลยบริษัท อินเตอร์ คร็อพ กรุ๊ป ก่อนถึงพระราม 6 ซอย 45( มาจากแยกประดิพัทธิ์)</t>
  </si>
  <si>
    <t>P 1218/2</t>
  </si>
  <si>
    <t>DP689</t>
  </si>
  <si>
    <t>เลยซ.เพชรเกษม 17,ตรงข้ามโรงเรียนวิบูลย์บริหารธุรกิจ  (มาจากแยกท่าพระ)</t>
  </si>
  <si>
    <t>โดนถอดมิเตอร์ 19/8/2022 ค้างจ่าย 1226.49</t>
  </si>
  <si>
    <t>P 1580/2</t>
  </si>
  <si>
    <t>DP692</t>
  </si>
  <si>
    <t>หน้าโรงพยาบาลวิชัยเวชฯ หนองแขม (ตรงข้ามซอยเพชรเกษม 77 )</t>
  </si>
  <si>
    <t>พ่วงศาลา DS605</t>
  </si>
  <si>
    <t>P 1581/1</t>
  </si>
  <si>
    <t>DP693</t>
  </si>
  <si>
    <t>ตรงข้ามมหาวิทยาลัยเอเซียอาคเนย์, ข้างซ.เพชรเกษม 77/4  (Outbound)</t>
  </si>
  <si>
    <t>พ่วงศาลา DS591</t>
  </si>
  <si>
    <t>P 1582/1</t>
  </si>
  <si>
    <t>DP862</t>
  </si>
  <si>
    <t>ตรงข้ามลานจอดรถ MRT ลาดพร้าว ก่อนถึงแยก รัชดา-ลาดพร้าว</t>
  </si>
  <si>
    <t>พ่วงจอป้อมแยกรัชดา-ลาดพร้าว</t>
  </si>
  <si>
    <t>P 1582/2</t>
  </si>
  <si>
    <t>DP694</t>
  </si>
  <si>
    <t>หน้ามหาวิทยาลัยเอเซียอาคเนย์ (ขาเข้า)</t>
  </si>
  <si>
    <t>พ่วงศาลา DS604</t>
  </si>
  <si>
    <t>P 1637/2</t>
  </si>
  <si>
    <t>DP722</t>
  </si>
  <si>
    <t xml:space="preserve"> หน้ากรมการพลังงานทหาร ระหว่างซอยเพชรบุรี 20-18 (มาจากแยกประตูน้ำมุ่งหน้าแยกราชเทวี)</t>
  </si>
  <si>
    <t>P 1584/1</t>
  </si>
  <si>
    <t>DP1169</t>
  </si>
  <si>
    <t>มาจาก ซ.สุขุมวิท 33, หน้า ธ.กสิกรไทย (อาคาร UBC)</t>
  </si>
  <si>
    <t>P 1584/2</t>
  </si>
  <si>
    <t>DP997</t>
  </si>
  <si>
    <t>หน้าสถานีรถไฟฟ้าใต้ดินลาดพร้าวประตู 3 (ก่อนถึงซ.ลาดพร้าว 17, เลยปั๊มน้ำมัน Q8)</t>
  </si>
  <si>
    <t>P 1585/2</t>
  </si>
  <si>
    <t>DP695</t>
  </si>
  <si>
    <t xml:space="preserve"> หน้าวัดอุดมรังสี (หนองค้างพลู) ใกล้สำนักงานเขตหนองแขม </t>
  </si>
  <si>
    <t>พ่วงศาลา DS593</t>
  </si>
  <si>
    <t>P 1586/1</t>
  </si>
  <si>
    <t>DP101</t>
  </si>
  <si>
    <t>หน้าบริษัทเสริมกิจยานยนต์ จำกัด (ก่อนถึงซอยสุขุมวิท44)</t>
  </si>
  <si>
    <t>P 1586/2</t>
  </si>
  <si>
    <t>DP648</t>
  </si>
  <si>
    <t>ตรงข้ามสวนจตุจักร (Inbound), (.ใกล้ BTS &amp; MRT )</t>
  </si>
  <si>
    <t>พ่วงศาลา DS318</t>
  </si>
  <si>
    <t>P 1587/1</t>
  </si>
  <si>
    <t>DP520</t>
  </si>
  <si>
    <t>ฝั่งตรงข้ามพระรามที่ 6 ซ.35 เยื้องโรงเรียนสามเสน</t>
  </si>
  <si>
    <t>พ่วงศาลา DS199</t>
  </si>
  <si>
    <t>P 1588/1</t>
  </si>
  <si>
    <t>DP407</t>
  </si>
  <si>
    <t>ทางออกสยามเซ็นเตอร์ (ตรงข้ามมาบุญครอง)</t>
  </si>
  <si>
    <t>พ่วงศาลา DS086</t>
  </si>
  <si>
    <t>P 1588/2</t>
  </si>
  <si>
    <t>DP487</t>
  </si>
  <si>
    <t>สถานีรถไฟฟ้าใต้ดินหัวลำโพงประตู 3</t>
  </si>
  <si>
    <t>พ่วง Merto A59</t>
  </si>
  <si>
    <t>P 1589/1</t>
  </si>
  <si>
    <t>DP521</t>
  </si>
  <si>
    <t>ฝั่งตรงข้ามทางขึ้นด่านแจ้งวัฒนะ</t>
  </si>
  <si>
    <t>พ่วงCookies P 1587/1</t>
  </si>
  <si>
    <t>P 1589/2</t>
  </si>
  <si>
    <t>DP696</t>
  </si>
  <si>
    <t>มาจากซ.เพชรเกษม 81/2, ตรงข้ามซอยเพชรเกษม 114</t>
  </si>
  <si>
    <t>พ่วงศาลา DS596</t>
  </si>
  <si>
    <t>P 1590/1</t>
  </si>
  <si>
    <t>DP1061</t>
  </si>
  <si>
    <t>หน้าปั้มน้ำมันบางจาก เลยโรงพยาบาลสมิติเวชศรีนครินทร์ (ก่อนถึงแยกกรุงเทพฯกรีฑา มุ่งหน้าบางกะปิ)</t>
  </si>
  <si>
    <t>P 1592/1</t>
  </si>
  <si>
    <t>DP063</t>
  </si>
  <si>
    <t>หน้าปั้มน้ำมันบางจาก ก่อนถึงสถานนีรถไฟฟ้าใต้ดิน MRT บางซื่อ (ประตู 1)</t>
  </si>
  <si>
    <t>P 1232/2</t>
  </si>
  <si>
    <t>DP732</t>
  </si>
  <si>
    <t>หน้าธนาคารไทยพาณิชย์สาขาถนนเพชรบุรีตัดใหม่ (มาจากแยกทองหล่อมุ่งหน้าแยกโศก-เพชรบุรี)</t>
  </si>
  <si>
    <t>โดนถอดมิเตอร์ 5/7/2022 ค้างจ่าย 761.17</t>
  </si>
  <si>
    <t>P 1593/1</t>
  </si>
  <si>
    <t>DP102</t>
  </si>
  <si>
    <t xml:space="preserve">หน้าทางเข้า MAJOR เอกมัย </t>
  </si>
  <si>
    <t>P 1594/1</t>
  </si>
  <si>
    <t>DP755</t>
  </si>
  <si>
    <t>ใกล้ปั๊มน้ำมันบางจาก (ก่อนถึงแยกถ.พระราม9-ถ.เพชรพระราม)</t>
  </si>
  <si>
    <t>เพชรพระราม</t>
  </si>
  <si>
    <t>P 1597/1</t>
  </si>
  <si>
    <t>DP409</t>
  </si>
  <si>
    <t xml:space="preserve">หน้าสถาบันโรคไตภูมิราชนครินทร์ </t>
  </si>
  <si>
    <t>P 1597/2</t>
  </si>
  <si>
    <t>DP271</t>
  </si>
  <si>
    <t xml:space="preserve">หน้าปากซอยสีลม 6 ข้างโรงบาลกรุงเทพคริสเตียน
</t>
  </si>
  <si>
    <t>P 1598/1</t>
  </si>
  <si>
    <t>DP743</t>
  </si>
  <si>
    <t>หน้าธนาคารทหารไทย ระหว่างแยกเอกมัยเหนือกับแยกทองหล่อ (มุ่งหน้าอุรุพงษ์)</t>
  </si>
  <si>
    <t>P 1598/2</t>
  </si>
  <si>
    <t>DP998</t>
  </si>
  <si>
    <t>ปากซอยประดิษฐ์มนูธรรม 2 (ข้างด่านประชาอุทิศ ขาเข้าเมือง)</t>
  </si>
  <si>
    <t>พ่วง BJ 1</t>
  </si>
  <si>
    <t>P 1599/1</t>
  </si>
  <si>
    <t>DP118</t>
  </si>
  <si>
    <t>หน้าทางเข้า-ออก Tesco Lotus (สาขาสุขุมวิท 50)</t>
  </si>
  <si>
    <t>สุขุมวิท 50</t>
  </si>
  <si>
    <t>P 1599/2</t>
  </si>
  <si>
    <t>DP649</t>
  </si>
  <si>
    <t>หน้าสถานีกองทัพบกช่อง 5 ตรงข้ามธนาคารธนชาติ (มุ่งหน้าอนุสาวรีย์ฯ)</t>
  </si>
  <si>
    <t>พ่วงศาลา DS329</t>
  </si>
  <si>
    <t>P 1600/1</t>
  </si>
  <si>
    <t>DP650</t>
  </si>
  <si>
    <t>ตรงข้ามโรงเรียนเสริมสวยนิรันดร์รัตน์ ก่อนถึงซ.พหลโยธิน 14 (ทางไปอนุสาวรีย์ชัยฯ, Inbound)</t>
  </si>
  <si>
    <t>P 1166/2</t>
  </si>
  <si>
    <t>DP806</t>
  </si>
  <si>
    <t>ใกล้สถานีรถไฟฟ้าใต้ดิน (MRT) ศูนย์การประชุมแห่งชาติสิริกิติ์ ประตู 4</t>
  </si>
  <si>
    <t>P 1601/2</t>
  </si>
  <si>
    <t>DP523</t>
  </si>
  <si>
    <t>หน้าคณะวิทยาศาสตร์ มหาวิทยาลัยมหิดล</t>
  </si>
  <si>
    <t>P 1602/1</t>
  </si>
  <si>
    <t>DP167</t>
  </si>
  <si>
    <t>หน้าปั้มน้ำมัน Susco ใกล้บริษัท ยูไนเต็ดแมชชินเนอรี่ จำกัด (มาจากแยกหลานหลวงมุ่งหน้าแยกผ่านฟ้า)</t>
  </si>
  <si>
    <t>P 1602/2</t>
  </si>
  <si>
    <t>DP489</t>
  </si>
  <si>
    <t>หน้าอาคารจามจุรีสแควร์ (ก่อนถึงสถานเสาวภา สภากาชาดไทย)</t>
  </si>
  <si>
    <t>พ่วงศาลา DS018</t>
  </si>
  <si>
    <t>P 1176/2</t>
  </si>
  <si>
    <t>DP810</t>
  </si>
  <si>
    <t>หน้าอาคาร เลค รัชดา ออฟฟิศ คอมเพล็กซ์</t>
  </si>
  <si>
    <t>P 1606/2</t>
  </si>
  <si>
    <t>DP1093</t>
  </si>
  <si>
    <t>ใกล้สถานฑูตเยอรมัน (มาจาก ซ.สาทร 1 )</t>
  </si>
  <si>
    <t>พ่วงศาลา DS001</t>
  </si>
  <si>
    <t>P 1609/1</t>
  </si>
  <si>
    <t>DP1110</t>
  </si>
  <si>
    <t>หน้าโรงแรมดับเบิ้ลยู(W BANGKOK)</t>
  </si>
  <si>
    <t>พ่วง Cookies P1544/1</t>
  </si>
  <si>
    <t>P 1609/2</t>
  </si>
  <si>
    <t>DP1126</t>
  </si>
  <si>
    <t>เชิงสะพานข้ามแยกบางพลัดเยื้องซอยสิรินธร 1(มุ่งหน้าแยกบางพลัด)</t>
  </si>
  <si>
    <t>P 1611/1</t>
  </si>
  <si>
    <t>DP217</t>
  </si>
  <si>
    <t>หน้าคณะรัฐศาสตร์มหาวิทยาลัยจุฬาฯ (S 180)</t>
  </si>
  <si>
    <t>พ่วงศาลา DS039</t>
  </si>
  <si>
    <t>P 1612/1</t>
  </si>
  <si>
    <t>DP375</t>
  </si>
  <si>
    <t>หน้า SC PARK ก่อนถึงแยกประชาอุทิศ (Inbound)</t>
  </si>
  <si>
    <t>P 1613/1</t>
  </si>
  <si>
    <t>DP218</t>
  </si>
  <si>
    <t>หน้าสมาคมนักเรียนเก่าเตรียมอุดมศึกษา ก่อนถึงคณะสัตวแพทยศาสตร์ จุฬาลงกรณ์มหาวิทยาลัย</t>
  </si>
  <si>
    <t>พ่วงศาลา DS041</t>
  </si>
  <si>
    <t>P 1613/2</t>
  </si>
  <si>
    <t>DP219</t>
  </si>
  <si>
    <t>หน้าสภากาชาดไทย</t>
  </si>
  <si>
    <t>พ่วงศาลา DS036</t>
  </si>
  <si>
    <t>P 1614/1</t>
  </si>
  <si>
    <t>DP559</t>
  </si>
  <si>
    <t>ก่อนถึงพระราม 9 ซอย 17</t>
  </si>
  <si>
    <t>พ่วง Polewap PE 158</t>
  </si>
  <si>
    <t>P 1614/2</t>
  </si>
  <si>
    <t>DP759</t>
  </si>
  <si>
    <t>ตรงข้ามอาคารมหาทุน</t>
  </si>
  <si>
    <t>พ่วงป้ายGeatwayด่านเพลินจิต</t>
  </si>
  <si>
    <t>P 1615/1</t>
  </si>
  <si>
    <t>DP1068</t>
  </si>
  <si>
    <t>หน้าศูนย์ฮอนด้า ก่อนถึงแยกพญาไท</t>
  </si>
  <si>
    <t>พ่วงศาลา DS114</t>
  </si>
  <si>
    <t>P 1615/2</t>
  </si>
  <si>
    <t>DP925</t>
  </si>
  <si>
    <t>หน้าร้านอนุสาวรีย์คลีนิค เวชกรรม เยื้องซอยราชวิถี 5</t>
  </si>
  <si>
    <t>P 1616/1</t>
  </si>
  <si>
    <t>DP410</t>
  </si>
  <si>
    <t>หน้าสถานีรถไฟฟ้า BTS อนุเสาวรีย์, หน้าปั๊มน้ำมันปตท.</t>
  </si>
  <si>
    <t>พ่วงCookies P1413/1</t>
  </si>
  <si>
    <t>P 1617/1</t>
  </si>
  <si>
    <t>DP1095</t>
  </si>
  <si>
    <t>หน้าปั๊มน้ำมัน Shell ก่อนถึง ซ.สวนพลู (ซ.สาทร 3), ใกล้สถานทูตฝรั่งเศส</t>
  </si>
  <si>
    <t>P 1617/2</t>
  </si>
  <si>
    <t>DP241</t>
  </si>
  <si>
    <t>แยกเฉลิมเผ่า ใกล้สถานีรถไฟฟ้า BTS สยาม (ฝั่งตรงข้ามสยามพารากอน มุ่งหน้าสยามกีฬาแห่งชาติ)</t>
  </si>
  <si>
    <t>พ่วงป้าย-MTP(A21)</t>
  </si>
  <si>
    <t>P 1281/2</t>
  </si>
  <si>
    <t>DP826</t>
  </si>
  <si>
    <t>หน้าคอนโด Siamese Exclusive Ratchada (ข้างอาคารโอลิมเปียไทยทาวเวอร์)</t>
  </si>
  <si>
    <t>ชื่อ สจส, เข้าบิลรวมแล้ว</t>
  </si>
  <si>
    <t>P 1619/1</t>
  </si>
  <si>
    <t>DP524</t>
  </si>
  <si>
    <t>ก่อนถึงแยกศรีอยุธยา,ใกล้รพ.สงฆ์ (ถ.พระราม 6-ถ.ศรีอยุธยา)</t>
  </si>
  <si>
    <t>พ่วงจอป้อมแยกศรีอยุธยา</t>
  </si>
  <si>
    <t>P 1094/1</t>
  </si>
  <si>
    <t>DP259</t>
  </si>
  <si>
    <t>มาจากแยกวิทยุ-สารสิน, เยื้องซ.ร่วมฤดี (ก่อนถึงอาคารสินธร มุ่งหน้าเพลินจิต)</t>
  </si>
  <si>
    <t>95-323956</t>
  </si>
  <si>
    <t>P 1620/1</t>
  </si>
  <si>
    <t>DP103</t>
  </si>
  <si>
    <t>สุขุมวิท 36 ตรงข้ามโรงเรียนนานาชาติบางกอก</t>
  </si>
  <si>
    <t>พ่วง Merto A13</t>
  </si>
  <si>
    <t>P 1620/2</t>
  </si>
  <si>
    <t>DP1069</t>
  </si>
  <si>
    <t xml:space="preserve">หน้าสถานบริการเจ้าพระยา 2 (ใกล้อาคารมหานครยิบซั่ม) </t>
  </si>
  <si>
    <t>พ่วงศาลา DS127</t>
  </si>
  <si>
    <t>P 1621/1</t>
  </si>
  <si>
    <t>DP1002</t>
  </si>
  <si>
    <t>หน้าทางลงสถานีรถไฟฟ้าใต้ดินพหลโยธิน BL14 มุ่งหน้าห้าแยกลาดพร้าว</t>
  </si>
  <si>
    <t>P 1622/2</t>
  </si>
  <si>
    <t>DP1142</t>
  </si>
  <si>
    <t>หน้าสถาบันบัณฑิตพัฒนบริหารศาสตร์  (NIDA) มุ่งหน้าลาดพร้าวขาเข้า</t>
  </si>
  <si>
    <t>P 1623/1</t>
  </si>
  <si>
    <t>DP918</t>
  </si>
  <si>
    <t>แยกสามเหลี่ยมดินแดง ฝั่งตรงข้ามป้อมตำตรวจ (เลี้ยวซ้ายก่อนถึงราชวิถีซอย 1)</t>
  </si>
  <si>
    <t>พ่วงจอป้อมแยกสามเหลี่ยมดินแดง</t>
  </si>
  <si>
    <t>P 1583/1</t>
  </si>
  <si>
    <t>DP261</t>
  </si>
  <si>
    <t xml:space="preserve">หน้าอาคาร ALL SEASON PLACE </t>
  </si>
  <si>
    <t>วิทยุขาออก</t>
  </si>
  <si>
    <t>95-681561</t>
  </si>
  <si>
    <t>P 1625/2</t>
  </si>
  <si>
    <t>DP652</t>
  </si>
  <si>
    <t>ก่อนถึงแยกกำแพงเพชร-พหลโยธิน (เยื้องกรมการขนส่งทางบก, ไปสวนจตุจักร, Outbound)</t>
  </si>
  <si>
    <t>P 1370/2</t>
  </si>
  <si>
    <t>DP1030</t>
  </si>
  <si>
    <t>แยกราชดำเนินตัดวิสุทธิกษัตริย์ (แยก จปร.)</t>
  </si>
  <si>
    <t xml:space="preserve">วิสุทธิกษัตริย์ </t>
  </si>
  <si>
    <t xml:space="preserve">มิเตอร์เดิม Metro </t>
  </si>
  <si>
    <t>P 1626/2</t>
  </si>
  <si>
    <t>DP654</t>
  </si>
  <si>
    <t>หน้าสถานีรถไฟฟ้า BTS อารีย์ มาจากซ.พหลโยธิน 6 (ทางไปอนุสาวรีย์ชัยฯ, Inbound)</t>
  </si>
  <si>
    <t>P 1627/2</t>
  </si>
  <si>
    <t>DP1070</t>
  </si>
  <si>
    <t>หน้าโรงพยาบาลสงฆ์ (ประตูทางออก) อาคาร 90 สมเด็จพระบรมราชชนนี</t>
  </si>
  <si>
    <t>P 1628/2</t>
  </si>
  <si>
    <t>DP655</t>
  </si>
  <si>
    <t>หน้าสถานีรถฟ้า BTS สนามเป้า</t>
  </si>
  <si>
    <t>พ่วงศาลา DS283</t>
  </si>
  <si>
    <t>P 1630/1</t>
  </si>
  <si>
    <t>DP1072</t>
  </si>
  <si>
    <t>หน้ากรรมการโอลิมปิคแห่งประเทศไทยในพระบรมราชูปถัมภ์ (ก่อนถึงศรีอยุธยา ซ.11)</t>
  </si>
  <si>
    <t>P 1630/2</t>
  </si>
  <si>
    <t>DP1122</t>
  </si>
  <si>
    <t>หน้าบริษัท บุญรอดบริวเวอรี่ จำกัด (ประตู 2)</t>
  </si>
  <si>
    <t>P 1631/1</t>
  </si>
  <si>
    <t>DP1123</t>
  </si>
  <si>
    <t xml:space="preserve">หน้าห้างแม็คโคร สามเสน, ก่อนถึงซ.สามเสน 25 </t>
  </si>
  <si>
    <t>P 1631/2</t>
  </si>
  <si>
    <t>DP656</t>
  </si>
  <si>
    <t>หน้าตึก IBM ก่อนถึงซอยพหลโยธิน 7(มาจากสะพานควายมุ่งหน้าอนุสาวรีย์)</t>
  </si>
  <si>
    <t>P 1428/1</t>
  </si>
  <si>
    <t>DP1083</t>
  </si>
  <si>
    <t>หน้าอาคารนวกิจประกันภัย (สำนักงานใหญ่) ใกล้อาคารสาทรธานี</t>
  </si>
  <si>
    <t>รอข้อมูลจากกอล์ฟ</t>
  </si>
  <si>
    <t>P 1632/2</t>
  </si>
  <si>
    <t>DP657</t>
  </si>
  <si>
    <t>หน้ากองปราบปราม ก่อนถึงห้าง Tesco Lotus ลาดพร้าว (มาจากแยกรัชโยธินมุ่งหน้าแยกลาดพร้าว)</t>
  </si>
  <si>
    <t>พ่วงศาลา DS316</t>
  </si>
  <si>
    <t>P 1633/1</t>
  </si>
  <si>
    <t>DP658</t>
  </si>
  <si>
    <t>หน้าสวนจตุจักรเยื้องธนาคารทหารไทยสำนักงานใหญ่ มาจาก BTS หมอชิตมุ่งหน้าแยกลาดพร้าว</t>
  </si>
  <si>
    <t>P 1633/2</t>
  </si>
  <si>
    <t>DP054</t>
  </si>
  <si>
    <t>หน้าอาคาร PM Tower, เยื้องซ.ตระกูลสุข (ก่อนถึงแยกประชาสงเคราะห์ขาออก)</t>
  </si>
  <si>
    <t>พ่วงศาลา DS231</t>
  </si>
  <si>
    <t>P 1287/2</t>
  </si>
  <si>
    <t>DP262</t>
  </si>
  <si>
    <t>หน้าอาคารบางกอกซิตี้ทาวเวอร์ (ก่อนถึงแยกสาทร-นราธิวาส)</t>
  </si>
  <si>
    <t>P 1634/2</t>
  </si>
  <si>
    <t>DP719</t>
  </si>
  <si>
    <t>หน้าโรงเรียนดอนบอสโก (มาจากซ.เพชรบุรี 45, Outbound)</t>
  </si>
  <si>
    <t>พ่วงศาลา DS163</t>
  </si>
  <si>
    <t>P 1636/2</t>
  </si>
  <si>
    <t>DP863</t>
  </si>
  <si>
    <t>หน้า บี-ควิก ซัสโก้ รัชดาภิเษก (ตรงข้ามบิ๊กซี แยกศูนย์วัฒนธรรม)</t>
  </si>
  <si>
    <t>พ่วงจอป้อมแยกเทียมร่วมมิตร</t>
  </si>
  <si>
    <t>P 1288/1</t>
  </si>
  <si>
    <t>DP263</t>
  </si>
  <si>
    <t>หน้าตึก EMPIRE TOWER แยกสาทร นราธิวาส มุ่งหน้าสะพานตากสิน</t>
  </si>
  <si>
    <t>P 1638/1</t>
  </si>
  <si>
    <t>DP723</t>
  </si>
  <si>
    <t>หน้ามูลนิธิช่วยคนปัญญาอ่อน</t>
  </si>
  <si>
    <t>P 1639/1</t>
  </si>
  <si>
    <t>DP724</t>
  </si>
  <si>
    <t>หน้าอาคารชัยสงวนตรงข้ามอาคารการท่องเที่ยวแห่งประเทศไทย ระหว่างซอยเพชรบุรีซอย41-43 (มาจากแยกมิตรสัมพันธ์มุ่งหน้าแยกอโศก-เพชร)</t>
  </si>
  <si>
    <t>P 1641/1</t>
  </si>
  <si>
    <t>DP1096</t>
  </si>
  <si>
    <t>ข้างธนาคารอิสลามแห่งประเทศไทย ตรงข้ามสาทรซอย 6</t>
  </si>
  <si>
    <t>P 1641/2</t>
  </si>
  <si>
    <t>DP211</t>
  </si>
  <si>
    <t>ทางเข้าโรงพยาบาลจุฬาฯ ประตู 15</t>
  </si>
  <si>
    <t>P 1642/1</t>
  </si>
  <si>
    <t>DP865</t>
  </si>
  <si>
    <t>หน้าทางเข้า Central Plaza Grand Rama 9</t>
  </si>
  <si>
    <t>พ่วงCookies P1080/2</t>
  </si>
  <si>
    <t>P 1643/1</t>
  </si>
  <si>
    <t>DP761</t>
  </si>
  <si>
    <t>สถานีรถไฟฟ้าเพลินจิต</t>
  </si>
  <si>
    <t>100.5491756,</t>
  </si>
  <si>
    <t>พ่วง Cookies P1339/2</t>
  </si>
  <si>
    <t>P 1644/2</t>
  </si>
  <si>
    <t>DP560</t>
  </si>
  <si>
    <t>เลยแยกรามคำแหง มุ่งหน้าประดิษฐ์มนูธรรม (ตรงข้ามพระราม 9 ซอย 27)</t>
  </si>
  <si>
    <t>P 1645/1</t>
  </si>
  <si>
    <t>DP561</t>
  </si>
  <si>
    <t>ก่อนถึง บริษัท ไทยยานยนตร์ อินเตอร์เซลส์ จำกัด (พระราม 9)</t>
  </si>
  <si>
    <t>P 1242/1</t>
  </si>
  <si>
    <t>DP1105</t>
  </si>
  <si>
    <t>ก่อนถึงแยกสาทร-สุรศักดิ์บริเวณใต้ทางด่วน</t>
  </si>
  <si>
    <t>P 1646/1</t>
  </si>
  <si>
    <t>DP170</t>
  </si>
  <si>
    <t>เลยซอยอรุณอัมรินทร์ 39 ประมาณ 40 เมตร</t>
  </si>
  <si>
    <t>พ่วงศาลา DS366</t>
  </si>
  <si>
    <t>P 1105/1</t>
  </si>
  <si>
    <t>DP1116</t>
  </si>
  <si>
    <t>P 1647/1</t>
  </si>
  <si>
    <t>DP238</t>
  </si>
  <si>
    <t xml:space="preserve">แยกสามย่าน รับรถพระราม4 มุ่งหน้า ศาลาแดง 
</t>
  </si>
  <si>
    <t>พ่วงป้าย-MTP</t>
  </si>
  <si>
    <t>P 1120/2</t>
  </si>
  <si>
    <t>DP1147</t>
  </si>
  <si>
    <t xml:space="preserve">หน้าสวนเพลิน Marketย้ายตำแหน่งใหม่มาหน้า MAJOR เอกมัย(ใกล้ปากซ.สุขุมวิท 61) ข้างป้ายรถเมล์ </t>
  </si>
  <si>
    <t>P 1354/1</t>
  </si>
  <si>
    <t>DP1157</t>
  </si>
  <si>
    <t>หน้าคอนโด Hyde heritage Thonglor</t>
  </si>
  <si>
    <t>P 1649/1</t>
  </si>
  <si>
    <t>DP1073</t>
  </si>
  <si>
    <t>หน้าคอนโด AP The ADDRESS PHAY THAI เยื้องสน.พญาไท</t>
  </si>
  <si>
    <t>พ่วง Cookies P 1475/2</t>
  </si>
  <si>
    <t>P 1649/2</t>
  </si>
  <si>
    <t>DP1074</t>
  </si>
  <si>
    <t>หน้าศูนย์รวมนักศึกษาเเบ๊บติสต์  Baptist Student Center ใกล้แยกศรีอยุธยา)</t>
  </si>
  <si>
    <t>P 1650/1</t>
  </si>
  <si>
    <t>DP1143</t>
  </si>
  <si>
    <t>หน้าโรงเรียนบางกะปิ  เลยซอยเสรีไทย 5 (มุ่งหน้าแยกนิด้า)</t>
  </si>
  <si>
    <t>P 1651/1</t>
  </si>
  <si>
    <t>DP681</t>
  </si>
  <si>
    <t>ซอยพัฒนาการซอย 25 ก่อนทางลงอุโมงค์ไปซอยรามคำแหง 24</t>
  </si>
  <si>
    <t>P 1431/1</t>
  </si>
  <si>
    <t>DP277</t>
  </si>
  <si>
    <t>หน้ารถไฟฟ้า BTS พร้อมพงษ์ (ระหว่างซ.สุขุมวิท 24 และ 26)</t>
  </si>
  <si>
    <t>32-42092</t>
  </si>
  <si>
    <t>P 1653/2</t>
  </si>
  <si>
    <t>DP749</t>
  </si>
  <si>
    <t>หน้าศูนย์ Toyota สาขาเพชรบุรีตัดใหม่ เลยโรงพยาบาลเพชรเวช (ก่อนข้ามสะพานมุ่งหน้าแยกคลองตัน)</t>
  </si>
  <si>
    <t>P 1654/1</t>
  </si>
  <si>
    <t>DP239</t>
  </si>
  <si>
    <t>หน้าคอนโดศุภาลัยปาร์ค</t>
  </si>
  <si>
    <t>P 1654/2</t>
  </si>
  <si>
    <t>แยกสามย่าน (ฝั่งอาคารจามจุรี สแควร์)</t>
  </si>
  <si>
    <t>P 1655/2</t>
  </si>
  <si>
    <t>DP105</t>
  </si>
  <si>
    <t>หน้าปั๊มน้ำมันบางจาก เลยซ.สุขุมวิท 99</t>
  </si>
  <si>
    <t>P 1656/2</t>
  </si>
  <si>
    <t>DP106</t>
  </si>
  <si>
    <t>หน้าโรงงานวิเศษนิยม (ก่อนถึง BTS อ่อนนุชขาออก)</t>
  </si>
  <si>
    <t>P 1657/1</t>
  </si>
  <si>
    <t>DP107</t>
  </si>
  <si>
    <t>ก่อนถึงประปาพระโขนง (เลยแยกซ.สุขุมวิท 50 ขาเข้า)</t>
  </si>
  <si>
    <t>P 1645/2</t>
  </si>
  <si>
    <t>DP278</t>
  </si>
  <si>
    <t>หน้าโรงแรม Holiday in หน้าสุขุมวิท ซ.22</t>
  </si>
  <si>
    <t>P 1050/2</t>
  </si>
  <si>
    <t>DP119</t>
  </si>
  <si>
    <t>ร้านอาหาร Mellow สุขุมวิท 55 ก่อน ถึงซอยทองหล่อ16</t>
  </si>
  <si>
    <t>P 1658/2</t>
  </si>
  <si>
    <t>DP109</t>
  </si>
  <si>
    <t>หน้า ธ.กรุงไทย ก่อนถึงซ.สุขุมวิท 93 (เยื้อง ซ.สุขุมวิท 56)</t>
  </si>
  <si>
    <t>P 1659/1</t>
  </si>
  <si>
    <t>DP110</t>
  </si>
  <si>
    <t>หน้าคอนโด The Crest Sukhumvit 34</t>
  </si>
  <si>
    <t>P 1659/2</t>
  </si>
  <si>
    <t>DP1097</t>
  </si>
  <si>
    <t>หน้าอาคารไทยวา (ใกล้โรงแรมสุโขทัย ก่อนถึงซ.สวนพลู)</t>
  </si>
  <si>
    <t>พ่วงศาลา DS003</t>
  </si>
  <si>
    <t>P 1660/1</t>
  </si>
  <si>
    <t>DP1098</t>
  </si>
  <si>
    <t>หน้าอาคารสาทรธิตี้</t>
  </si>
  <si>
    <t>พ่วงศาลา DS007</t>
  </si>
  <si>
    <t>P 1661/1</t>
  </si>
  <si>
    <t>DP113</t>
  </si>
  <si>
    <t xml:space="preserve">เยื้องสามย่านมิตรทาวน์ มุ่งหน้าแยกสามย่าน </t>
  </si>
  <si>
    <t>P 1425/1</t>
  </si>
  <si>
    <t>DP135</t>
  </si>
  <si>
    <t>หน้าโรงแรมสเตย์บริจ สวีท กรุงเทพ ทองหล่อ บริเวณปากซอยทองหล่อ 5</t>
  </si>
  <si>
    <t>P 1662/2</t>
  </si>
  <si>
    <t>DP1075</t>
  </si>
  <si>
    <t>ตรงข้ามโรงพยาบาลพญาไท 1 (ทางไปแยกราชปรารถ), ระหว่างซ.ศรีอยุธยา 2 และ 4</t>
  </si>
  <si>
    <t>P 1663/1</t>
  </si>
  <si>
    <t>DP411</t>
  </si>
  <si>
    <t xml:space="preserve">ประตูใหญ่มหาวิทยาลัยจุฬาฯ </t>
  </si>
  <si>
    <t>พ่วงศาลา DS093</t>
  </si>
  <si>
    <t>P 1663/2</t>
  </si>
  <si>
    <t>DP1028</t>
  </si>
  <si>
    <t>หน้าสมาคมสร้างคุณค่าแห่งประเทศไทย, ก่อนถึงสวนลุมไนท์บาซาร์ (มาจากซ.ร่วมฤดี)</t>
  </si>
  <si>
    <t>พ่วงศาลา DS145</t>
  </si>
  <si>
    <t>P 1664/2</t>
  </si>
  <si>
    <t>DP194</t>
  </si>
  <si>
    <t>เลยปั้มเชลล์เยื้องซอยสุขุมวิท 21ซอย3 (มาจากแยกอโศก-เพชรมุ่งหน้าแยกอโศก-สุขุมวิท)</t>
  </si>
  <si>
    <t>P 1665/1</t>
  </si>
  <si>
    <t>DP660</t>
  </si>
  <si>
    <t>หน้ากรมอุทยานแห่งชาติสัตว์ป่าและพรรพืช (มาจากแยกเกษตรมุ่งหน้าบางบัว)</t>
  </si>
  <si>
    <t>พ่วงศาลา DS305</t>
  </si>
  <si>
    <t>P 1666/1</t>
  </si>
  <si>
    <t>DP255</t>
  </si>
  <si>
    <t>หน้าห้าง Central World (หน้าแท่งตำรวจ Police Help)</t>
  </si>
  <si>
    <t>พ่วงป้าย-MTP(A26)</t>
  </si>
  <si>
    <t>P 1666/2</t>
  </si>
  <si>
    <t>DP725</t>
  </si>
  <si>
    <t>หน้าศูนย์รวมรถยนต์มักกะสัน จำกัด (ตรงข้ามโรงเรียนมักกะสันวิทยา)</t>
  </si>
  <si>
    <t>พ่วงศาลา DS161</t>
  </si>
  <si>
    <t>P 1667/1</t>
  </si>
  <si>
    <t>DP762</t>
  </si>
  <si>
    <t>หน้าห้างเซ็นทรัลเอ็มบาสซี (Central embassy)</t>
  </si>
  <si>
    <t>P 1668/1</t>
  </si>
  <si>
    <t>DP907</t>
  </si>
  <si>
    <t>ข้างโรงพยาบาลจุฬาฯป้ายแรกจากแยกศาลาแดง (S 173)</t>
  </si>
  <si>
    <t>P 1669/1</t>
  </si>
  <si>
    <t>DP909</t>
  </si>
  <si>
    <t>ตรงข้ามรีเจนท์เฮาส์  183 ราชดำริ</t>
  </si>
  <si>
    <t>พ่วงศาลา DS065</t>
  </si>
  <si>
    <t>P 1669/2</t>
  </si>
  <si>
    <t>DP910</t>
  </si>
  <si>
    <t>หน้าศูนย์การค้า เดอะ เพนนินซูล่า พลาซ่า (ซอยมหาดเล็กหลวง 1) ใกล้สถานีรถไฟฟ้า BTS ราชดำริ</t>
  </si>
  <si>
    <t>พ่วงศาลา DS048</t>
  </si>
  <si>
    <t>P 1670/1</t>
  </si>
  <si>
    <t>DP661</t>
  </si>
  <si>
    <t>หน้า MB Grand มาจากซ.พหลโยธิน 11, เยื้องธ.ออมสิน สนง.ใหญ่ (A)</t>
  </si>
  <si>
    <t>P 1670/2</t>
  </si>
  <si>
    <t>DP256</t>
  </si>
  <si>
    <t>19 At Chidlom Shopping Mall</t>
  </si>
  <si>
    <t xml:space="preserve">พ่วง MTP </t>
  </si>
  <si>
    <t>P 1601/1</t>
  </si>
  <si>
    <t>DP234</t>
  </si>
  <si>
    <t>หน้า RCD ใกล้ J Avenue (ปากซอยทองหล่อ15)</t>
  </si>
  <si>
    <t>P 1671/2</t>
  </si>
  <si>
    <t>DP911</t>
  </si>
  <si>
    <t>หน้าทางออกโรงโรงพยาบาลจุฬาลงกรณ์ สภากาชาดไทย (ประตูทางออก 9)</t>
  </si>
  <si>
    <t>พ่วงศาลานอกสัญญา CS 106</t>
  </si>
  <si>
    <t>P 1672/2</t>
  </si>
  <si>
    <t>DP195</t>
  </si>
  <si>
    <t>เลยปั้มเชลล์เยื้องอาคารรัชต์ภาคย์ (มาจากแยกอโศก-เพชรมุ่งหน้าแยกอโศก-สุขุมวิท)</t>
  </si>
  <si>
    <t>P 1673/1</t>
  </si>
  <si>
    <t>DP866</t>
  </si>
  <si>
    <t>หน้าสำนักงาน AIA Capital Center (จุดที่ 3)</t>
  </si>
  <si>
    <t>P 1675/1</t>
  </si>
  <si>
    <t>DP867</t>
  </si>
  <si>
    <t>ก่อนถึงซ.รัชดาภิเษก 14 (ตรงข้ามโรงเรียนกุลนที, Inbound)</t>
  </si>
  <si>
    <t>พ่วงศาลา DS275</t>
  </si>
  <si>
    <t>P 1676/1</t>
  </si>
  <si>
    <t>DP868</t>
  </si>
  <si>
    <t>ตรงข้ามฟอร์จูนทาวน์ (A)</t>
  </si>
  <si>
    <t>พ่วง Cookies P 1547/2</t>
  </si>
  <si>
    <t>P 1677/1</t>
  </si>
  <si>
    <t>DP869</t>
  </si>
  <si>
    <t>หน้าปากซอยรัชดาภิเษก 22 ตรงข้ามโรงแรม เดอะเทรเวลเลอร์</t>
  </si>
  <si>
    <t>พ่วงศาลา DS272</t>
  </si>
  <si>
    <t>P 1677/2</t>
  </si>
  <si>
    <t>DP870</t>
  </si>
  <si>
    <t>หน้าร้านชุดแต่งงานอะดอร์ร่า ฝั่งตรงข้ามชุมชนริมคลองบางซื่อ เลยซอยรัชดาภิเษก 22</t>
  </si>
  <si>
    <t>P 1678/1</t>
  </si>
  <si>
    <t>DP871</t>
  </si>
  <si>
    <t xml:space="preserve">ตรงข้ามสน.สุทธิสาร, ก่อนถึงซอยรัชดาภิเษก 20 </t>
  </si>
  <si>
    <t>พ่วงศาลา DS274</t>
  </si>
  <si>
    <t>P 1678/2</t>
  </si>
  <si>
    <t>DP872</t>
  </si>
  <si>
    <t>หน้าสถานีรถไฟฟ้าใต้ดินสุทธิสาร, มาจากแยกรัชดา-สุทธิสาร (มุ่งหน้าไปห้วยขวาง, Inbound)</t>
  </si>
  <si>
    <t>P 1679/2</t>
  </si>
  <si>
    <t>DP873</t>
  </si>
  <si>
    <t>หน้าอาคารเมืองไทยภัทรคอมเพล็ก</t>
  </si>
  <si>
    <t>P 1680/1</t>
  </si>
  <si>
    <t>DP874</t>
  </si>
  <si>
    <t>เลยซอยรัชดาภิเษก 4 หน้าผับ SNOP ก่อนถึง Somerset Service Residence</t>
  </si>
  <si>
    <t>พ่วงศาลา DS280</t>
  </si>
  <si>
    <t>P 1680/2</t>
  </si>
  <si>
    <t>DP875</t>
  </si>
  <si>
    <t>หน้าศูนย์โตโยต้าซัมมิท สาขารัชดาภิเษก (ก่อนถึงเซนทรัลพระราม 9)</t>
  </si>
  <si>
    <t>P 1681/1</t>
  </si>
  <si>
    <t>DP876</t>
  </si>
  <si>
    <t>หน้าโรงแรม Ibis Styles รัชดา มาจากแยกประชาสงเคราะห์ มุ่งหน้าพระราม 9</t>
  </si>
  <si>
    <t>พ่วงศาลา DS277</t>
  </si>
  <si>
    <t>P 1681/2</t>
  </si>
  <si>
    <t>DP877</t>
  </si>
  <si>
    <t>หน้าโรงแรมสวิสโอเต็ล เลอคองคอร์ด (ก่อนถึงซ.รัชดาภิเษก 12, Inbound)</t>
  </si>
  <si>
    <t>P 1682/1</t>
  </si>
  <si>
    <t>DP878</t>
  </si>
  <si>
    <t>หน้าโรงเรียนเตรียมอุดมศึกษา รัชดา (ก่อนถึงรัชดาภิเษกซ.10)</t>
  </si>
  <si>
    <t>P 1683/1</t>
  </si>
  <si>
    <t>DP880</t>
  </si>
  <si>
    <t>ก่อนถึงสถานีรถไฟฟ้าใต้ดินศูนย์วัฒนธรรมแห่งประเทศไทย(ประตู)1 เยื้องบริษัท ไทยประกันชีวิต จำกัด</t>
  </si>
  <si>
    <t>พ่วงศาลา DS278</t>
  </si>
  <si>
    <t>P 1683/2</t>
  </si>
  <si>
    <t>DP881</t>
  </si>
  <si>
    <t>ตรงข้ามตึก RS TOWER บริเวณสถานีรถไฟฟ้า MRT สถานีศูนย์วัฒนธรรม ประตู 1</t>
  </si>
  <si>
    <t>P 1684/1</t>
  </si>
  <si>
    <t>DP751</t>
  </si>
  <si>
    <t>หน้าอาคาร Bangkok Tower จุดที่ 1 (มาจากแยกทองหล่อมุ่งหน้าแยกอโศก-เพชรบุรี)</t>
  </si>
  <si>
    <t>พ่วงศาลา DS172</t>
  </si>
  <si>
    <t>P 1684/2</t>
  </si>
  <si>
    <t>DP752</t>
  </si>
  <si>
    <t>หน้าอาคาร Bangkok Tower จุดที่ 2 (มาจากแยกทองหล่อมุ่งหน้าแยกอโศก-เพชรบุรี)</t>
  </si>
  <si>
    <t>P 1685/1</t>
  </si>
  <si>
    <t>DP753</t>
  </si>
  <si>
    <t>หน้าอาคารอิตัลไทยจุดที่ 1 (มาจากแยกอโศก-เพชร มุ่งหน้าแยกคลองตัน)</t>
  </si>
  <si>
    <t>พ่วงศาลา DS166</t>
  </si>
  <si>
    <t>P 1685/2</t>
  </si>
  <si>
    <t>DP754</t>
  </si>
  <si>
    <t>ฝั่งตรงข้ามอาคารอิตัลไทย</t>
  </si>
  <si>
    <t>P 1686/1</t>
  </si>
  <si>
    <t>DP563</t>
  </si>
  <si>
    <t>มาจากแยกผังเมือง ก่อนถึงตึก KPN (จุดที่ 2)</t>
  </si>
  <si>
    <t>พ่วง Cookies P1259/1</t>
  </si>
  <si>
    <t>P 1686/2</t>
  </si>
  <si>
    <t>DP564</t>
  </si>
  <si>
    <t>มาจากแยกผังเมือง ก่อนถึงตึก KPN (จุดที่ 3)</t>
  </si>
  <si>
    <t>P 1687/1</t>
  </si>
  <si>
    <t>DP565</t>
  </si>
  <si>
    <t>ตรงข้ามปากทางเข้าซอยศูนย์วิจัย 4 (ทางไปแยกพระราม 9-รามอินทรา)</t>
  </si>
  <si>
    <t>พ่วงPolewap PE 161</t>
  </si>
  <si>
    <t>P 1687/2</t>
  </si>
  <si>
    <t>DP566</t>
  </si>
  <si>
    <t>อยู่ระหว่างพระราม 9 ซอย 17 ถึงพระราม 9 ซอย 19 (ก่อนถึงแยกพระราม 9)</t>
  </si>
  <si>
    <t>พ่วงศาลา DS343</t>
  </si>
  <si>
    <t>P 1689/1</t>
  </si>
  <si>
    <t>DP569</t>
  </si>
  <si>
    <t>เยื้องตึก KPN ก่อนถึงโรงพยาบาลปิยะเวช (ขาเข้า) จุดที่ 1</t>
  </si>
  <si>
    <t>พ่วงศาลานอกสัญญา S 1689</t>
  </si>
  <si>
    <t>P 1689/2</t>
  </si>
  <si>
    <t>DP570</t>
  </si>
  <si>
    <t>เยื้องตึก KPN ก่อนถึงโรงพยาบาลปิยะเวช (ขาเข้า) จุดที่ 2</t>
  </si>
  <si>
    <t>P 1690/2</t>
  </si>
  <si>
    <t>DP571</t>
  </si>
  <si>
    <t>หน้าโชว์รูมฮุนได ก่อนถึงปั๊ม Shell</t>
  </si>
  <si>
    <t>P 1691/2</t>
  </si>
  <si>
    <t>DP290</t>
  </si>
  <si>
    <t>ตรงข้ามบริษัท ช.พัฒนาคาร์เร้นท์ จำกัด มาจากแยกเพชรพระรามมุ่งหน้าแยกเจริญผล</t>
  </si>
  <si>
    <t>บรรทัดทอง</t>
  </si>
  <si>
    <t>SP 1263/1</t>
  </si>
  <si>
    <t>DP492</t>
  </si>
  <si>
    <t>เลยแยกสามย่าน, หน้าอาคารจามจุรีสแควร์</t>
  </si>
  <si>
    <t>พ่วงศาลา DS019</t>
  </si>
  <si>
    <t>SP 1381/1</t>
  </si>
  <si>
    <t>DP662</t>
  </si>
  <si>
    <t>เลยปั้มน้ำมัน Caltex เยื้องซอยพหลโยธิน 5 (มาจาก BTS อารีย์มุ่งหน้าอนุสาวรีย์)</t>
  </si>
  <si>
    <t>SP 1384/2</t>
  </si>
  <si>
    <t>DP663</t>
  </si>
  <si>
    <t>หน้าอาคาร เอส พี อี ทาวเวอร์ เลยพหลโยธินซอย 2  (มุ่งหน้าอนุสาวรีชัย)</t>
  </si>
  <si>
    <t>SP 1471/1</t>
  </si>
  <si>
    <t>DP525</t>
  </si>
  <si>
    <t>หน้ากระทรวงการต่างประเทศ (จุดที่ 2)</t>
  </si>
  <si>
    <t>P 1015/2</t>
  </si>
  <si>
    <t>DP224</t>
  </si>
  <si>
    <t xml:space="preserve">ถนนเอกมัย ตรงข้ามโรงพิมพ์สนง.สลากกินแบ่งรัฐบาล
</t>
  </si>
  <si>
    <t>P 1020/1</t>
  </si>
  <si>
    <t>DP227</t>
  </si>
  <si>
    <t xml:space="preserve">11. หน้าร้านโชคดีติ่มซำ 
ก่อนถึงเอกมัยซอย1 ฝั่งตรงข้ามเอกมัยซอย4-ซอย6
มุ่งหน้า ถนนเพชรบุรี    </t>
  </si>
  <si>
    <t>P 1066/2</t>
  </si>
  <si>
    <t>DP229</t>
  </si>
  <si>
    <t xml:space="preserve">12.เลยเอกมัย ซ.9 ติดกับร้าน KFC Drive
มุ่งหน้า ถนนเพชรบุรี    </t>
  </si>
  <si>
    <t>P 1270/1</t>
  </si>
  <si>
    <t>DP279</t>
  </si>
  <si>
    <t>หน้าคอนโด the Acove thonglor บริเวณปากซอยเอกมัย 5</t>
  </si>
  <si>
    <t>BK-55049</t>
  </si>
  <si>
    <t>P 1624/1</t>
  </si>
  <si>
    <t>DP233</t>
  </si>
  <si>
    <t>หน้าอาคารดิฮอร์ริซอล (ตรงข้ามร้านอาหารญี่ปุ่นคุโรดะ)</t>
  </si>
  <si>
    <t>P 1408/1</t>
  </si>
  <si>
    <t>DP149</t>
  </si>
  <si>
    <t xml:space="preserve">มาจากแยกสุทธิสาร-วิภาวดี(เยื้องซอยอินทามระ 31)มุ่งหน้าสะพานควาย
</t>
  </si>
  <si>
    <t>P 1632/1</t>
  </si>
  <si>
    <t>DP284</t>
  </si>
  <si>
    <t>หน้า 7-11 สาขา 3801 โอเชี่ยนทาวเวอร์ (ปากซอยสุขุมวิท 21 ซอย 3)</t>
  </si>
  <si>
    <t>อโศก</t>
  </si>
  <si>
    <t>P 1060/2</t>
  </si>
  <si>
    <t>DP173</t>
  </si>
  <si>
    <t>หน้าอาคารเสริมมิตรทาวเวอร์ (จากแยกถ.สุขุมวิท-ตรงไปตัดถ.เพชรบุรี)</t>
  </si>
  <si>
    <t>AK-19157</t>
  </si>
  <si>
    <t>DDP014</t>
  </si>
  <si>
    <t>รออัพเดท</t>
  </si>
  <si>
    <t>DDP015</t>
  </si>
  <si>
    <t>DDP007</t>
  </si>
  <si>
    <t>ซอย พหลโยธิน 17  (ขาออก) ตรงข้าม สนง.กองปราบปราม</t>
  </si>
  <si>
    <t>แนวทางพ่วงศาลา DS 296 โรงเรียนหอวัง</t>
  </si>
  <si>
    <t>DDP010</t>
  </si>
  <si>
    <t>หน้าวชิราวุธวิทยาลัย ก่อนถึงแยกสุโขทัย สนง.เขตดุสิต</t>
  </si>
  <si>
    <t>DDP016</t>
  </si>
  <si>
    <t>เลยอนุบาลชุติมา (ขาเข้า)</t>
  </si>
  <si>
    <t>DDP008</t>
  </si>
  <si>
    <t>หน้าศิริชัยไก่ย่าง ซอยรัชดาภิเษก37 (ขาออก)</t>
  </si>
  <si>
    <t>DDP009</t>
  </si>
  <si>
    <t>หน้ากรมยุทธบริการทหาร มุ่งหน้าแยกวงค์สว่าง (ขาออก)</t>
  </si>
  <si>
    <t>Media Id Old</t>
  </si>
  <si>
    <t>Media Id New</t>
  </si>
  <si>
    <t>เขตการไฟฟ้า</t>
  </si>
  <si>
    <t>Standard</t>
  </si>
  <si>
    <t>Light Function</t>
  </si>
  <si>
    <t>Full Function</t>
  </si>
  <si>
    <t>หนองจอก</t>
  </si>
  <si>
    <t>มิเตอร์โดนถอด</t>
  </si>
  <si>
    <t>CS 001</t>
  </si>
  <si>
    <t>DS233</t>
  </si>
  <si>
    <t>ก่อนถึงทางเข้าแฟลต 5</t>
  </si>
  <si>
    <t>No Code</t>
  </si>
  <si>
    <t>DS090</t>
  </si>
  <si>
    <t>หน้าโรงเรียนเตรียมอุดมศึกษา (2), มาจากมาบุญครอง</t>
  </si>
  <si>
    <t>DS188</t>
  </si>
  <si>
    <t>ตรงข้ามกระทรวงอุตสาหกรรม(หน้าคณะวิทยาศาสตร์มหิดล)</t>
  </si>
  <si>
    <t>DS158</t>
  </si>
  <si>
    <t xml:space="preserve">เยื้องอาคารวานิช ช่อง 3 </t>
  </si>
  <si>
    <t>DS167</t>
  </si>
  <si>
    <t>ซอยเพชรบุรี 47</t>
  </si>
  <si>
    <t>มิตรไมตรี</t>
  </si>
  <si>
    <t>S1664</t>
  </si>
  <si>
    <t>DS455</t>
  </si>
  <si>
    <t>เลยคลองบึงแตงโม</t>
  </si>
  <si>
    <t>DS056</t>
  </si>
  <si>
    <t>ข้างสวนลุมพินี (3), ตรงข้ามร.พ. จุฬาฯ</t>
  </si>
  <si>
    <t>DS065</t>
  </si>
  <si>
    <t>ตรงข้าม เอ.ยู.เอ (4), ทางไปเซ็นทรัลเวิลด์พลาซ่า</t>
  </si>
  <si>
    <t>DS070</t>
  </si>
  <si>
    <t>สายเมนขาดใต้ดิน</t>
  </si>
  <si>
    <t>สายขาดใต้ดิน</t>
  </si>
  <si>
    <t>DS121</t>
  </si>
  <si>
    <t>หน้ากระทรวงต่างประเทศ</t>
  </si>
  <si>
    <t>อโศก-ดินแดง</t>
  </si>
  <si>
    <t>อังรีดูนังค์</t>
  </si>
  <si>
    <t>DS043</t>
  </si>
  <si>
    <t>DS044</t>
  </si>
  <si>
    <t>หน้าราชกรีฑาสโมสร (ตรงข้ามคณะสัตว์แพทย์ฯ)</t>
  </si>
  <si>
    <t>DS045</t>
  </si>
  <si>
    <t>หน้ามูลนิธิสงเคราะห์เด็กสภากาชาดไทย (ทางเข้าหอพักพยาบาล)</t>
  </si>
  <si>
    <t>บริเวณทางออกโรงแรม พาร์ค พลาซ่า สุขุมวิท</t>
  </si>
  <si>
    <t>หน้าปั๊มShell ปากซอยสุขุมวิท23</t>
  </si>
  <si>
    <t xml:space="preserve">ค่าใช้จ่ายในงานอุบัติเหตุ </t>
  </si>
  <si>
    <t>รายละเอียด</t>
  </si>
  <si>
    <t>ราคารวม</t>
  </si>
  <si>
    <t>กระจกTempered Glass</t>
  </si>
  <si>
    <t>ซิลิโคน</t>
  </si>
  <si>
    <t>จำนวน</t>
  </si>
  <si>
    <t>เทปกาว 2 หน้า</t>
  </si>
  <si>
    <t>ราคา/หน่วย</t>
  </si>
  <si>
    <t>ค่าแรงช่าง</t>
  </si>
  <si>
    <t>ค่าน้ำมันรถ</t>
  </si>
  <si>
    <t>อุปกรณสิ้นเปลือง(เศษผ้า,น้ำมันสน,ใบมีดขูดคราบกาว,ดอกรีเวท)</t>
  </si>
  <si>
    <t>รวมราคา</t>
  </si>
  <si>
    <t>No</t>
  </si>
  <si>
    <t>กำหนดไฟติด</t>
  </si>
  <si>
    <t>ไฟติดแล้ว</t>
  </si>
  <si>
    <t>ไฟติดจริง</t>
  </si>
  <si>
    <t>อัพเดทสถานะ</t>
  </si>
  <si>
    <t>ค่าใช้จ่าย</t>
  </si>
  <si>
    <t>แจ้งการไฟฟ้าแล้วรอการไฟฟ้าแก้ไข</t>
  </si>
  <si>
    <t>ระหว่างดำเนินการประสานขอมิเตอร์ใหม่</t>
  </si>
  <si>
    <t>เคลมประกัน</t>
  </si>
  <si>
    <t>โดนรื้อถอนเสาไฟฟ้า</t>
  </si>
  <si>
    <t>สายของการไฟฟ้าโดนตัดในตู้ PDC</t>
  </si>
  <si>
    <t>ระหว่างตรวจสอบ</t>
  </si>
  <si>
    <t>BP168-1</t>
  </si>
  <si>
    <t>DDP017</t>
  </si>
  <si>
    <t>BP168-2</t>
  </si>
  <si>
    <t>DDP018</t>
  </si>
  <si>
    <t>DDP019</t>
  </si>
  <si>
    <t>DDP020</t>
  </si>
  <si>
    <t>BSP188-1</t>
  </si>
  <si>
    <t>DDP021</t>
  </si>
  <si>
    <t>DDP022</t>
  </si>
  <si>
    <t>เลยซอยสุขุมวิท2 หน้าธนาคารกรุงไทย (จุดที่ 1)</t>
  </si>
  <si>
    <t>เลยซอยสุขุมวิท2 หน้าธนาคารกรุงไทย (จุดที่ 2)</t>
  </si>
  <si>
    <t>หน้าอาคารเอมิเรตส์ ถนนอโศกมนตรี</t>
  </si>
  <si>
    <t>สุขุมวิท 21</t>
  </si>
  <si>
    <t>หน้าตลาดตรงข้าม 7-11 ถนนอโศกมนตรี</t>
  </si>
  <si>
    <t>หน้าอาคาร SUBVARA LUXURY มุ่งหน้าแยกพระราม 9</t>
  </si>
  <si>
    <t>ปากซอยรามคำแหง 129/2 Outbound</t>
  </si>
  <si>
    <t>พ่วงCookies DP 1085</t>
  </si>
  <si>
    <t xml:space="preserve"> พ่วง Ploe Wrap PS 063</t>
  </si>
  <si>
    <t>พ่วง Cookies DP 195</t>
  </si>
  <si>
    <t>พ่วงศาลา DS 043</t>
  </si>
  <si>
    <t>พ่วงศาลา DS 288</t>
  </si>
  <si>
    <t>P 1153/1</t>
  </si>
  <si>
    <t>พ่วงCookies P1686/1</t>
  </si>
  <si>
    <t>P 1001/2</t>
  </si>
  <si>
    <t>สถานะไฟฟ้า</t>
  </si>
  <si>
    <t>ไฟดับ</t>
  </si>
  <si>
    <t>สาเหตุ</t>
  </si>
  <si>
    <t>โดนถอดมิเตอร์</t>
  </si>
  <si>
    <t>สายการไฟฟ้าขาด</t>
  </si>
  <si>
    <t>Power Supplyเสีย</t>
  </si>
  <si>
    <t>ป้านโดนรื้อถอน</t>
  </si>
  <si>
    <t>ไฟไม่จ่ายเข้าป้าย</t>
  </si>
  <si>
    <t>เขตก่อสร้าง</t>
  </si>
  <si>
    <t>ขอมอเตอร์ใหม่</t>
  </si>
  <si>
    <t>ระหว่างเสนอราคา</t>
  </si>
  <si>
    <t>สายขาดใต้ดินและโดนถอดมิเตอร์ ต้องขอไฟฟ้าใหม่</t>
  </si>
  <si>
    <t>ไฟมา 2 เส้น</t>
  </si>
  <si>
    <t>ระหว่างแก้ไข</t>
  </si>
  <si>
    <t>สายไฟฟ้าหาย</t>
  </si>
  <si>
    <t>สายไฟขาดใต้ดิน</t>
  </si>
  <si>
    <t>มีการเปิดพื้นฟุตบาท สายเมนขาดใต้ดิน รอ สนย.แก้ไข</t>
  </si>
  <si>
    <t>โดนรื้อถอนเสาไฟฟ้า รอการไฟฟ้าติดมิเตอร์</t>
  </si>
  <si>
    <t>พ่วง Cookies DP 002</t>
  </si>
  <si>
    <t>พ่วง DP 002 ระหว่างแก้ไข DP 002</t>
  </si>
  <si>
    <t>ระหว่างดำเนการ เดินไฟขอมิเตอร์ใหม่</t>
  </si>
  <si>
    <t>พ่วงศาลานอกสัญญา ศาลาไฟดับ</t>
  </si>
  <si>
    <t>ฟิวส์การไฟฟ้าขาด</t>
  </si>
  <si>
    <t>ระหว่างดำเนินการขอมิเตอร์ใหม่</t>
  </si>
  <si>
    <t>สายช๊อตใต้ดินระหว่างการแก้ไข</t>
  </si>
  <si>
    <t xml:space="preserve">พ่วง DP 195 </t>
  </si>
  <si>
    <t>ไฟไม่มามิเตออร์ ระหว่างตรวจสอบ</t>
  </si>
  <si>
    <t>รอตั้งป้ายใหม่</t>
  </si>
  <si>
    <t>สายไฟโดนโจรกรรม</t>
  </si>
  <si>
    <t>วันที่รับแจ้ง</t>
  </si>
  <si>
    <t>SLA</t>
  </si>
  <si>
    <t>ระหว่างประสานผู้รับเหมา เข้าแก้ไข</t>
  </si>
  <si>
    <t>เลียบคลองผดุงกรุงเกษม ตรงข้าม หจก.เอส เอ็น คูลลิ่ง เซ็นเตอร์ (ขาเข้า)</t>
  </si>
  <si>
    <t>ตารางสรุปไฟฟ้าดับ</t>
  </si>
  <si>
    <t>วันที่ปัจจุบัน</t>
  </si>
  <si>
    <t>ไฟติด</t>
  </si>
  <si>
    <t>สายไฟช๊อตใต้ดิน</t>
  </si>
  <si>
    <t>ผู้รับเหมา</t>
  </si>
  <si>
    <t>ราคา</t>
  </si>
  <si>
    <t>สายไฟฟ้า</t>
  </si>
  <si>
    <t>สายใหม่</t>
  </si>
  <si>
    <t>ระยะสาย(เมตร)</t>
  </si>
  <si>
    <t>ทีมดำเนินการ</t>
  </si>
  <si>
    <t>สายไฟโดนตัด</t>
  </si>
  <si>
    <t>ก่อนถึงแยกพระราม9-ประดิษฐ์มนูธรรม มุ่งหน้าเอกมัย (จุดที่ 3)</t>
  </si>
  <si>
    <t>ขอไม่เคลม</t>
  </si>
  <si>
    <t>พ่วงจุดที่ 2</t>
  </si>
  <si>
    <t>ระหว่างการไฟฟ้าแก้ไข</t>
  </si>
  <si>
    <t>มิเตอร์ชำรุด</t>
  </si>
  <si>
    <t>ป้ายโดนรถชน</t>
  </si>
  <si>
    <t>ลำดับ</t>
  </si>
  <si>
    <t>จำนวน(ป้าย)</t>
  </si>
  <si>
    <t>สายไฟฟ้าช๊อตใต้ดิน</t>
  </si>
  <si>
    <t>สายไฟฟ้าถูกโจรกรรม</t>
  </si>
  <si>
    <t>การไฟฟ้า</t>
  </si>
  <si>
    <t>cookies</t>
  </si>
  <si>
    <t>ศาลา</t>
  </si>
  <si>
    <t>จำนวนไฟดับ ทั้งหมด</t>
  </si>
  <si>
    <t>รอไฟติด</t>
  </si>
  <si>
    <t>ป้ายโดนรื้อถอน</t>
  </si>
  <si>
    <t>ป้ายไฟดับ</t>
  </si>
  <si>
    <t>รวมจำนวน</t>
  </si>
  <si>
    <t xml:space="preserve">SLA </t>
  </si>
  <si>
    <t>อยู่ใน SLA</t>
  </si>
  <si>
    <t>เกิน SLA</t>
  </si>
  <si>
    <t xml:space="preserve">วันที่ </t>
  </si>
  <si>
    <t>เดือนเมษายน</t>
  </si>
  <si>
    <t>เดือนมีนาคม</t>
  </si>
  <si>
    <t xml:space="preserve">พื้นที่ก่อสร้าง </t>
  </si>
  <si>
    <t>สายช๊อตใต้ดิน</t>
  </si>
  <si>
    <t>DDP023</t>
  </si>
  <si>
    <t>หน้าอาคาร Plan B Tower (Inbound)</t>
  </si>
  <si>
    <t>timerชำรุด</t>
  </si>
  <si>
    <t>มีงานเปิดพื้นทำฟุตบาท</t>
  </si>
  <si>
    <t>มีการปรับปรุงฟุตบาท</t>
  </si>
  <si>
    <t>สายขาดได้ดิน</t>
  </si>
  <si>
    <t>สายเก่า</t>
  </si>
  <si>
    <t>รอเคลม</t>
  </si>
  <si>
    <t>พ่วงไฟอาคาร</t>
  </si>
  <si>
    <t>บ่อทางเข้า</t>
  </si>
  <si>
    <t>พ่วง Cookies DDP 017</t>
  </si>
  <si>
    <t>พ่วง Cookies DDP 018</t>
  </si>
  <si>
    <t>ฟิวส์การไฟฟ้า</t>
  </si>
  <si>
    <t>หน้าห้าง Terminal 21 พระราม3</t>
  </si>
  <si>
    <t>ผรม</t>
  </si>
  <si>
    <t>เสก</t>
  </si>
  <si>
    <t>สายไฟฟ้าโดนโจรกรรม</t>
  </si>
  <si>
    <t>เสาไฟฟ้าโดนรื้อถอน</t>
  </si>
  <si>
    <t>ธนพงษ์</t>
  </si>
  <si>
    <t>Metro Poster A 19</t>
  </si>
  <si>
    <t>Metro Poster B 3</t>
  </si>
  <si>
    <t>สายไฟฟ้าขาด</t>
  </si>
  <si>
    <t>ถนนพระราม 2 ตัดถนนกาญจนาภิเษก</t>
  </si>
  <si>
    <t>พระราม 2</t>
  </si>
  <si>
    <t>แยกหัวลำโพง รับรถพระราม 4 มุ่งหน้าเยาวราช</t>
  </si>
  <si>
    <t>เคลมคู่กรณี</t>
  </si>
  <si>
    <t>สายไฟ Plan B</t>
  </si>
  <si>
    <t>กรณี</t>
  </si>
  <si>
    <t>ระหว่างติดตามคู่กรณี</t>
  </si>
  <si>
    <t>แนวทางแก้ไข</t>
  </si>
  <si>
    <t>เดินสายใหม่</t>
  </si>
  <si>
    <t>เดินสายใหม่บางส่วนและต่อเรซิ่น</t>
  </si>
  <si>
    <t>ตั้งเสาเหล็กรับสายไฟฟ้าแนบหลังป้าย และให้สูงจากป้ายประมาณ 4 เมตรและเดินสายไฟฟ้าใหม่</t>
  </si>
  <si>
    <t>ระหว่างทีมสำรวจจุดใหม่(ถ้าจุดใหม่ติดตู้ได้จะต้องมีค่าเดินสายไฟจากแนวเดิม ขึ้นเสาและจั้มสาย )</t>
  </si>
  <si>
    <t>26/6//2023</t>
  </si>
  <si>
    <t>สายไฟป้ายและสายการไฟฟ้าโดนตัด</t>
  </si>
  <si>
    <t>รอติดมิเตอร์</t>
  </si>
  <si>
    <t>ระหว่างดำเนินการ</t>
  </si>
  <si>
    <t>วุฒิชัย</t>
  </si>
  <si>
    <t>สุทธิสาร</t>
  </si>
  <si>
    <t>สายไฟฟ้าขาดใต้ดิน</t>
  </si>
  <si>
    <t>สเตฟานี่</t>
  </si>
  <si>
    <t>สาเหตุ อาจจะเกิดจากการทำระบบท่อประปาใหม่  ต้องเดินสายใหม่ เข้าตู้ Control เดิม</t>
  </si>
  <si>
    <t>สาเหตุ อาจจะเกิดจากการทำฟุตบาทใหม่  ต้องเดินสายใหม่ จากตู้ PDC เข้าศาลา</t>
  </si>
  <si>
    <t>สาเหตุ อาจจะเกิดจากการทำฟุตบาทใหม่  ต้องเดินสายใหม่จากตู้ PDC เข้าป้าย</t>
  </si>
  <si>
    <t>ปรับปรุงฟุตบาท</t>
  </si>
  <si>
    <t>30/8//2023</t>
  </si>
  <si>
    <t>ฟิวส์ขาด</t>
  </si>
  <si>
    <t>BP276-2(DP 015)</t>
  </si>
  <si>
    <t>BP276-1(DP 014)</t>
  </si>
  <si>
    <t>พ่วงศาลาDS 175</t>
  </si>
  <si>
    <t>พ่วงศาลา DS 321</t>
  </si>
  <si>
    <t>พ่วงสือแพลน บี</t>
  </si>
  <si>
    <t>พ่วง BJ 2</t>
  </si>
  <si>
    <t>พ่วงสื่อแพลน บี</t>
  </si>
  <si>
    <t>พ่วง Metro Poster AA23</t>
  </si>
  <si>
    <t>แยกสามย่าน ก่อนถึงคริสตจักรที่สองสามย่าน</t>
  </si>
  <si>
    <t xml:space="preserve">พระราม4 </t>
  </si>
  <si>
    <t>ช.การช่าง</t>
  </si>
  <si>
    <t>แยกสาทร-ประมวญ ก่อนถึงโรงเรียนกรุงเทพคริสเตียนวิทยาลัย</t>
  </si>
  <si>
    <t xml:space="preserve">สาทรเหนือ </t>
  </si>
  <si>
    <t>มาจากซ.สุขุมวิท 67 ก่อนถึงสถานีรถไฟฟ้า BTS พระโขนง</t>
  </si>
  <si>
    <t>ตรงข้ามสวนจตุจักร (Inbound) , (ใกล้ BTS &amp; MRT ) จุดที่ 2</t>
  </si>
  <si>
    <t>ก่อนถึงทางเข้าตึกการท่องเที่ยวแห่งประเทศไทย 20 เมตร</t>
  </si>
  <si>
    <t>ซอยสุขุมวิท 57 มาจากสถานีรถไฟฟ้า Bts ทองหล่อ (ก่อนถึงธ.กสิกรไทย)</t>
  </si>
  <si>
    <t>ซอยสุขุมวิท 41 หน้า Tops market</t>
  </si>
  <si>
    <t>120 cm</t>
  </si>
  <si>
    <t>60 cm.</t>
  </si>
  <si>
    <t>Topview</t>
  </si>
  <si>
    <t>Side View</t>
  </si>
  <si>
    <t>30 cm.</t>
  </si>
  <si>
    <t xml:space="preserve"> ก่อนถึงปั๊มน้ำมันบางจาก ระยะ 30เมตร
(มุ่งหน้า ถนนลาดพร้าว)ก่อถึง CDC</t>
  </si>
  <si>
    <t>หน้าปั้มบางจากก่อนขึ้นสะพานข้ามแยกลาดพร้าวฝั่งมุ่งหน้ารามอินทรา ขาออก</t>
  </si>
  <si>
    <t xml:space="preserve">TUBE=50X50X4 MM. </t>
  </si>
  <si>
    <t>MRT ศูนย์ประชุมแห่งชาติสิริกิติ์ (จุดที่ 1 )</t>
  </si>
  <si>
    <t>รัชดาภิเษก-คลองเตย</t>
  </si>
  <si>
    <t>MRT ศูนย์ประชุมแห่งชาติสิริกิติ์ (จุดที่ 2 )</t>
  </si>
  <si>
    <t>MTP AA1</t>
  </si>
  <si>
    <t>หน้าห้าง Gateway เอกมัย</t>
  </si>
  <si>
    <t>MTP AA15</t>
  </si>
  <si>
    <t>ทางเข้า - ออก ห้าง Gateway เอกมัย</t>
  </si>
  <si>
    <t>GATE WAY</t>
  </si>
  <si>
    <t>สายเมนโดนโจกรรม</t>
  </si>
  <si>
    <t>สายเมนช๊อตใต้ดิน</t>
  </si>
  <si>
    <t>ไฟไหม้ตู้คอลโทรล</t>
  </si>
  <si>
    <t>วันที่เกินรับแจ้ง</t>
  </si>
  <si>
    <t>4 วัน หลังจากอนุมัติ</t>
  </si>
  <si>
    <t>เดินพ่วง Cookies</t>
  </si>
  <si>
    <t>เดินเข้าตู้คอลโทรลเดิม</t>
  </si>
  <si>
    <t>เดินพ่วงศาลานอกสัญญา</t>
  </si>
  <si>
    <t>เปลี่ยนอุปกรณ์ในตู้ใหม่และเดินสายไฟฟ้าใหม่</t>
  </si>
  <si>
    <t>เดินเข้ามิเตอร์เดิม</t>
  </si>
  <si>
    <t>เดินไฟขอมเตอร์ใหม่</t>
  </si>
  <si>
    <t xml:space="preserve">เดินเข้ามิเตอร์เดิม </t>
  </si>
  <si>
    <t>สนใจโทร 064-7817423 ป่วน</t>
  </si>
  <si>
    <t xml:space="preserve">รับขัดไฟหน้ารถยนต์  แก้โคมไฟเหลือง </t>
  </si>
  <si>
    <t>ราคาเริ่มต้น 200-400/คู่</t>
  </si>
  <si>
    <t xml:space="preserve"> แบบไม่แกะภายในโคม</t>
  </si>
  <si>
    <t xml:space="preserve">หน้าโรงเรียนเตรียมอุดมศึกษา </t>
  </si>
  <si>
    <t>พ่วงศาลา DS090</t>
  </si>
  <si>
    <t>หน้า Big C รัชดาภิเษก</t>
  </si>
  <si>
    <t>รัชดาฯ-คลองเตย</t>
  </si>
  <si>
    <t>พ่วง Cookies DP 455</t>
  </si>
  <si>
    <t>DP944</t>
  </si>
  <si>
    <t>แม่ไกลทอง ไกลยะลาด</t>
  </si>
  <si>
    <t xml:space="preserve">บ้านดอนข่า  เมืองวาปี  </t>
  </si>
  <si>
    <t>แขวงสาละวัน</t>
  </si>
  <si>
    <t>ระวังของแตก</t>
  </si>
  <si>
    <t>สถานีรถไฟฟ้าใต้ดินหัวลำโพงประตู 4</t>
  </si>
  <si>
    <t>MTP A59</t>
  </si>
  <si>
    <t>ทุนประกัน</t>
  </si>
  <si>
    <t>รอรูปเคลมประกัน</t>
  </si>
  <si>
    <t>พ่วง Cookies DP 779</t>
  </si>
  <si>
    <t>พ่วง Cookies DP 780</t>
  </si>
  <si>
    <t>รื้อถอน</t>
  </si>
  <si>
    <t>การไฟฟ้าแก้ไขไฟติดแล้ว</t>
  </si>
  <si>
    <t>ไม่มี</t>
  </si>
  <si>
    <t>Type</t>
  </si>
  <si>
    <t>JC</t>
  </si>
  <si>
    <t>NOTO</t>
  </si>
  <si>
    <t>เสาไฟฟ้าถูกรื้อถอน</t>
  </si>
  <si>
    <t>มิเตอร์ถูกไฟไหม้</t>
  </si>
  <si>
    <t>ระหว่างทีมประสานงานการไฟฟ้า</t>
  </si>
  <si>
    <t>ผู้ดำเนินการ</t>
  </si>
  <si>
    <t>4/</t>
  </si>
  <si>
    <t>วันที่แจ้งกฏหมาย</t>
  </si>
  <si>
    <t>วันที่ได้รับเอกสารมอบอำนาจ</t>
  </si>
  <si>
    <t>วันที่แจ้งความ</t>
  </si>
  <si>
    <t>วันที่ขออนุมัติ</t>
  </si>
  <si>
    <t>วันที่ได้รับอนุมัติ</t>
  </si>
  <si>
    <t>วันที่เข้าซ่อม</t>
  </si>
  <si>
    <t>วันที่ซ่อมเสร็จ</t>
  </si>
  <si>
    <t>DP750</t>
  </si>
  <si>
    <t>แยกรัชดา เทียมร่วมมิตร รับรถถนนเทียมร่วมมิตร มุ่งหน้ารัชดาภิเษก(ย้ายมาจากแยกหลานหลวง)</t>
  </si>
  <si>
    <t>MTP A113</t>
  </si>
  <si>
    <t>วันที่ตรวจสอบ</t>
  </si>
  <si>
    <t>แผนการแก้ไข</t>
  </si>
  <si>
    <t>วันที่แก้ไขเสร็จ</t>
  </si>
  <si>
    <t>นอกสัญญา</t>
  </si>
  <si>
    <t>สายไฟฟ้าในโครงการ</t>
  </si>
  <si>
    <t>สายไฟหลังโครงการ</t>
  </si>
  <si>
    <t>สถานะ</t>
  </si>
  <si>
    <t>พื้นที่จัดเก็บ</t>
  </si>
  <si>
    <t>ผรม.</t>
  </si>
  <si>
    <t>ยังไม่รื้อถอน</t>
  </si>
  <si>
    <t>หน้าโรงพยาบาลสัตว์แรมมาเอ็กโซติกเพ็ดแคร์ ก่อนถึงพัฒนาการ ซอย 92 (1)</t>
  </si>
  <si>
    <t>หน้าโรงพยาบาลสัตว์แรมมาเอ็กโซติกเพ็ดแคร์ ก่อนถึงพัฒนาการ ซอย 92 (2)</t>
  </si>
  <si>
    <t>ตรงข้ามวัดเครือวัลย์วรวิหาร</t>
  </si>
  <si>
    <t>Latitude</t>
  </si>
  <si>
    <t>Longitude</t>
  </si>
  <si>
    <t>ใต้ทางด่วน อโศก 3 มุ่งหน้า แยกพระราม 9 (Outbound )</t>
  </si>
  <si>
    <t>ตรงข้าม Mattress City มุ่งหน้า แยกพระราม 9 (Outbound )</t>
  </si>
  <si>
    <t>พ่วงCokies DP174</t>
  </si>
  <si>
    <t>ตรงข้าม Dermaster มุ่งหน้าแยกพระราม 9 ( Outbound )</t>
  </si>
  <si>
    <t xml:space="preserve">ตรงข้าม ร.พ.ผิวหนัง อโศก </t>
  </si>
  <si>
    <t>พ่วงCokies DP178</t>
  </si>
  <si>
    <t>Coad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</si>
</sst>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87" formatCode="[$-1010409]d\ mmm\ yy;@"/>
    <numFmt numFmtId="188" formatCode="B1d\-mmm\-yy"/>
    <numFmt numFmtId="189" formatCode="_-* #,##0.00_-;\-* #,##0.00_-;_-* &quot;-&quot;??_-;_-@"/>
    <numFmt numFmtId="190" formatCode="0.000000"/>
    <numFmt numFmtId="191" formatCode="_-* #,##0.000000_-;\-* #,##0.000000_-;_-* &quot;-&quot;??_-;_-@_-"/>
    <numFmt numFmtId="192" formatCode="_-* #,##0_-;\-* #,##0_-;_-* &quot;-&quot;??_-;_-@"/>
    <numFmt numFmtId="193" formatCode="0.00000"/>
  </numFmts>
  <fonts count="57">
    <font>
      <sz val="11"/>
      <color theme="1"/>
      <name val="Tahoma"/>
      <family val="2"/>
      <charset val="222"/>
      <scheme val="minor"/>
    </font>
    <font>
      <sz val="11"/>
      <color theme="1"/>
      <name val="Cordia New"/>
      <family val="2"/>
    </font>
    <font>
      <b/>
      <sz val="12"/>
      <color theme="1"/>
      <name val="Cordia New"/>
      <family val="2"/>
    </font>
    <font>
      <sz val="8"/>
      <name val="Tahoma"/>
      <family val="2"/>
      <charset val="222"/>
      <scheme val="minor"/>
    </font>
    <font>
      <b/>
      <sz val="11"/>
      <color theme="1"/>
      <name val="Cordia New"/>
      <family val="2"/>
    </font>
    <font>
      <sz val="12"/>
      <color theme="1"/>
      <name val="Cordia New"/>
      <family val="2"/>
    </font>
    <font>
      <sz val="10"/>
      <color theme="1"/>
      <name val="Cordia New"/>
      <family val="2"/>
    </font>
    <font>
      <sz val="11"/>
      <color theme="1"/>
      <name val="Tahoma"/>
      <family val="2"/>
      <charset val="222"/>
      <scheme val="minor"/>
    </font>
    <font>
      <sz val="11"/>
      <name val="Calibri"/>
      <family val="2"/>
    </font>
    <font>
      <sz val="11"/>
      <name val="Century Gothic"/>
      <family val="2"/>
    </font>
    <font>
      <b/>
      <u/>
      <sz val="11"/>
      <color theme="1"/>
      <name val="Century Gothic"/>
      <family val="2"/>
    </font>
    <font>
      <b/>
      <u/>
      <sz val="11"/>
      <name val="Century Gothic"/>
      <family val="2"/>
    </font>
    <font>
      <sz val="11"/>
      <color theme="1"/>
      <name val="Century Gothic"/>
      <family val="2"/>
    </font>
    <font>
      <sz val="9"/>
      <color rgb="FF000000"/>
      <name val="Tahoma"/>
      <family val="2"/>
      <charset val="222"/>
      <scheme val="minor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5"/>
      <name val="CordiaUPC"/>
      <family val="2"/>
    </font>
    <font>
      <u/>
      <sz val="11"/>
      <color theme="10"/>
      <name val="Tahoma"/>
      <family val="2"/>
      <charset val="222"/>
      <scheme val="minor"/>
    </font>
    <font>
      <sz val="9"/>
      <color theme="1"/>
      <name val="Tahoma"/>
      <family val="2"/>
      <scheme val="minor"/>
    </font>
    <font>
      <sz val="10"/>
      <name val="Arial"/>
      <family val="2"/>
    </font>
    <font>
      <sz val="11"/>
      <color rgb="FF000000"/>
      <name val="Century Gothic"/>
      <family val="2"/>
    </font>
    <font>
      <sz val="9"/>
      <name val="Tahoma"/>
      <family val="2"/>
      <scheme val="minor"/>
    </font>
    <font>
      <sz val="11"/>
      <color rgb="FFFF0000"/>
      <name val="Century Gothic"/>
      <family val="2"/>
    </font>
    <font>
      <sz val="9"/>
      <name val="Calibri"/>
      <family val="2"/>
    </font>
    <font>
      <sz val="14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10"/>
      <color indexed="8"/>
      <name val="Century Gothic"/>
      <family val="2"/>
    </font>
    <font>
      <sz val="10"/>
      <color rgb="FF000000"/>
      <name val="Century Gothic"/>
      <family val="2"/>
    </font>
    <font>
      <sz val="14"/>
      <color theme="1"/>
      <name val="Cordia New"/>
      <family val="2"/>
      <charset val="222"/>
    </font>
    <font>
      <sz val="14"/>
      <color theme="1"/>
      <name val="Cordia New"/>
      <family val="2"/>
    </font>
    <font>
      <b/>
      <sz val="18"/>
      <color indexed="81"/>
      <name val="Tahoma"/>
      <family val="2"/>
    </font>
    <font>
      <sz val="8"/>
      <color theme="1"/>
      <name val="Century Gothic"/>
      <family val="2"/>
    </font>
    <font>
      <b/>
      <sz val="10"/>
      <name val="Century Gothic"/>
      <family val="2"/>
    </font>
    <font>
      <sz val="10"/>
      <name val="Calibri"/>
      <family val="2"/>
    </font>
    <font>
      <sz val="10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sz val="10"/>
      <name val="Century Gothic"/>
      <family val="2"/>
      <charset val="222"/>
    </font>
    <font>
      <sz val="11"/>
      <name val="Tahoma"/>
      <family val="2"/>
      <charset val="222"/>
    </font>
    <font>
      <sz val="14"/>
      <color theme="1"/>
      <name val="Tahoma"/>
      <family val="2"/>
      <charset val="222"/>
      <scheme val="minor"/>
    </font>
    <font>
      <sz val="16"/>
      <name val="Angsana New"/>
      <family val="1"/>
    </font>
    <font>
      <sz val="72"/>
      <color theme="1"/>
      <name val="Tahoma"/>
      <family val="2"/>
      <charset val="222"/>
      <scheme val="minor"/>
    </font>
    <font>
      <sz val="72"/>
      <color rgb="FFFF0000"/>
      <name val="Tahoma"/>
      <family val="2"/>
      <charset val="222"/>
      <scheme val="minor"/>
    </font>
    <font>
      <sz val="8"/>
      <name val="Century Gothic"/>
      <family val="2"/>
    </font>
    <font>
      <sz val="10"/>
      <color theme="1"/>
      <name val="Century Gothic"/>
      <family val="2"/>
      <charset val="222"/>
    </font>
    <font>
      <sz val="9"/>
      <color theme="1"/>
      <name val="Century Gothic"/>
      <family val="2"/>
    </font>
    <font>
      <sz val="9"/>
      <name val="Century Gothic"/>
      <family val="2"/>
    </font>
    <font>
      <sz val="12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rgb="FFFF0000"/>
      <name val="Tahoma"/>
      <family val="2"/>
      <scheme val="minor"/>
    </font>
    <font>
      <b/>
      <sz val="12"/>
      <name val="Tahoma"/>
      <family val="2"/>
      <scheme val="minor"/>
    </font>
    <font>
      <sz val="11"/>
      <name val="Tahoma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B6DDE8"/>
      </patternFill>
    </fill>
    <fill>
      <patternFill patternType="solid">
        <fgColor rgb="FF002060"/>
        <bgColor rgb="FF8EB4E3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B6DDE8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rgb="FFB6DDE8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B6DDE8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B6DDE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rgb="FF8EB4E3"/>
      </patternFill>
    </fill>
    <fill>
      <patternFill patternType="solid">
        <fgColor rgb="FF0070C0"/>
        <bgColor rgb="FFB6DDE8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1">
    <xf numFmtId="0" fontId="0" fillId="0" borderId="0"/>
    <xf numFmtId="43" fontId="7" fillId="0" borderId="0" applyFont="0" applyFill="0" applyBorder="0" applyAlignment="0" applyProtection="0"/>
    <xf numFmtId="0" fontId="13" fillId="0" borderId="0">
      <alignment horizontal="center" vertical="center"/>
    </xf>
    <xf numFmtId="0" fontId="13" fillId="0" borderId="0">
      <alignment horizontal="left" vertical="top"/>
    </xf>
    <xf numFmtId="0" fontId="13" fillId="0" borderId="0">
      <alignment horizontal="left" vertical="top"/>
    </xf>
    <xf numFmtId="0" fontId="19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4" fillId="0" borderId="0"/>
    <xf numFmtId="0" fontId="35" fillId="0" borderId="0"/>
  </cellStyleXfs>
  <cellXfs count="641">
    <xf numFmtId="0" fontId="0" fillId="0" borderId="0" xfId="0"/>
    <xf numFmtId="0" fontId="1" fillId="0" borderId="0" xfId="0" applyFont="1"/>
    <xf numFmtId="18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7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left"/>
    </xf>
    <xf numFmtId="187" fontId="2" fillId="5" borderId="0" xfId="0" applyNumberFormat="1" applyFont="1" applyFill="1" applyAlignment="1">
      <alignment horizontal="center"/>
    </xf>
    <xf numFmtId="187" fontId="2" fillId="4" borderId="0" xfId="0" applyNumberFormat="1" applyFont="1" applyFill="1" applyAlignment="1">
      <alignment horizontal="center"/>
    </xf>
    <xf numFmtId="187" fontId="2" fillId="3" borderId="0" xfId="0" applyNumberFormat="1" applyFont="1" applyFill="1" applyAlignment="1">
      <alignment horizontal="center"/>
    </xf>
    <xf numFmtId="187" fontId="2" fillId="2" borderId="0" xfId="0" applyNumberFormat="1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187" fontId="1" fillId="0" borderId="0" xfId="0" applyNumberFormat="1" applyFont="1" applyFill="1" applyAlignment="1">
      <alignment horizontal="center"/>
    </xf>
    <xf numFmtId="187" fontId="2" fillId="6" borderId="0" xfId="0" applyNumberFormat="1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187" fontId="1" fillId="5" borderId="0" xfId="0" applyNumberFormat="1" applyFont="1" applyFill="1" applyAlignment="1">
      <alignment horizontal="center"/>
    </xf>
    <xf numFmtId="187" fontId="4" fillId="5" borderId="0" xfId="0" applyNumberFormat="1" applyFont="1" applyFill="1" applyAlignment="1">
      <alignment horizontal="center"/>
    </xf>
    <xf numFmtId="0" fontId="5" fillId="0" borderId="0" xfId="0" applyFont="1"/>
    <xf numFmtId="14" fontId="1" fillId="0" borderId="0" xfId="0" applyNumberFormat="1" applyFont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187" fontId="1" fillId="7" borderId="0" xfId="0" applyNumberFormat="1" applyFon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187" fontId="4" fillId="8" borderId="0" xfId="0" applyNumberFormat="1" applyFont="1" applyFill="1" applyAlignment="1">
      <alignment horizontal="center"/>
    </xf>
    <xf numFmtId="0" fontId="1" fillId="9" borderId="0" xfId="0" applyFont="1" applyFill="1"/>
    <xf numFmtId="0" fontId="1" fillId="9" borderId="0" xfId="0" applyFont="1" applyFill="1" applyAlignment="1">
      <alignment horizontal="center"/>
    </xf>
    <xf numFmtId="0" fontId="1" fillId="9" borderId="0" xfId="0" applyFont="1" applyFill="1" applyAlignment="1">
      <alignment horizontal="left"/>
    </xf>
    <xf numFmtId="187" fontId="4" fillId="9" borderId="0" xfId="0" applyNumberFormat="1" applyFont="1" applyFill="1" applyAlignment="1">
      <alignment horizontal="center"/>
    </xf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left"/>
    </xf>
    <xf numFmtId="187" fontId="4" fillId="10" borderId="0" xfId="0" applyNumberFormat="1" applyFont="1" applyFill="1" applyAlignment="1">
      <alignment horizontal="center"/>
    </xf>
    <xf numFmtId="187" fontId="1" fillId="10" borderId="0" xfId="0" applyNumberFormat="1" applyFont="1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1" fillId="11" borderId="0" xfId="0" applyFont="1" applyFill="1" applyAlignment="1">
      <alignment horizontal="left"/>
    </xf>
    <xf numFmtId="187" fontId="4" fillId="11" borderId="0" xfId="0" applyNumberFormat="1" applyFont="1" applyFill="1" applyAlignment="1">
      <alignment horizontal="center"/>
    </xf>
    <xf numFmtId="187" fontId="1" fillId="11" borderId="0" xfId="0" applyNumberFormat="1" applyFont="1" applyFill="1" applyAlignment="1">
      <alignment horizontal="center"/>
    </xf>
    <xf numFmtId="0" fontId="1" fillId="12" borderId="0" xfId="0" applyFont="1" applyFill="1"/>
    <xf numFmtId="0" fontId="1" fillId="12" borderId="0" xfId="0" applyFont="1" applyFill="1" applyAlignment="1">
      <alignment horizontal="center"/>
    </xf>
    <xf numFmtId="0" fontId="1" fillId="12" borderId="0" xfId="0" applyFont="1" applyFill="1" applyAlignment="1">
      <alignment horizontal="left"/>
    </xf>
    <xf numFmtId="187" fontId="4" fillId="12" borderId="0" xfId="0" applyNumberFormat="1" applyFont="1" applyFill="1" applyAlignment="1">
      <alignment horizontal="center"/>
    </xf>
    <xf numFmtId="187" fontId="1" fillId="12" borderId="0" xfId="0" applyNumberFormat="1" applyFont="1" applyFill="1" applyAlignment="1">
      <alignment horizontal="center"/>
    </xf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1" fillId="13" borderId="0" xfId="0" applyFont="1" applyFill="1" applyAlignment="1">
      <alignment horizontal="left"/>
    </xf>
    <xf numFmtId="187" fontId="4" fillId="13" borderId="0" xfId="0" applyNumberFormat="1" applyFont="1" applyFill="1" applyAlignment="1">
      <alignment horizontal="center"/>
    </xf>
    <xf numFmtId="187" fontId="1" fillId="13" borderId="0" xfId="0" applyNumberFormat="1" applyFont="1" applyFill="1" applyAlignment="1">
      <alignment horizontal="center"/>
    </xf>
    <xf numFmtId="187" fontId="1" fillId="3" borderId="0" xfId="0" applyNumberFormat="1" applyFont="1" applyFill="1" applyAlignment="1">
      <alignment horizontal="center"/>
    </xf>
    <xf numFmtId="187" fontId="1" fillId="14" borderId="0" xfId="0" applyNumberFormat="1" applyFont="1" applyFill="1" applyAlignment="1">
      <alignment horizontal="center"/>
    </xf>
    <xf numFmtId="0" fontId="1" fillId="14" borderId="0" xfId="0" applyFont="1" applyFill="1"/>
    <xf numFmtId="0" fontId="1" fillId="14" borderId="0" xfId="0" applyFont="1" applyFill="1" applyAlignment="1">
      <alignment horizontal="center"/>
    </xf>
    <xf numFmtId="0" fontId="1" fillId="14" borderId="0" xfId="0" applyFont="1" applyFill="1" applyAlignment="1">
      <alignment horizontal="left"/>
    </xf>
    <xf numFmtId="187" fontId="1" fillId="15" borderId="0" xfId="0" applyNumberFormat="1" applyFont="1" applyFill="1" applyAlignment="1">
      <alignment horizont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0" fontId="1" fillId="15" borderId="0" xfId="0" applyFont="1" applyFill="1" applyAlignment="1">
      <alignment horizontal="left"/>
    </xf>
    <xf numFmtId="187" fontId="1" fillId="16" borderId="0" xfId="0" applyNumberFormat="1" applyFont="1" applyFill="1" applyAlignment="1">
      <alignment horizont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1" fillId="16" borderId="0" xfId="0" applyFont="1" applyFill="1" applyAlignment="1">
      <alignment horizontal="left"/>
    </xf>
    <xf numFmtId="188" fontId="1" fillId="16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16" borderId="0" xfId="0" applyNumberFormat="1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14" fontId="1" fillId="10" borderId="0" xfId="0" applyNumberFormat="1" applyFont="1" applyFill="1" applyAlignment="1">
      <alignment horizontal="center"/>
    </xf>
    <xf numFmtId="0" fontId="1" fillId="2" borderId="0" xfId="0" applyFont="1" applyFill="1"/>
    <xf numFmtId="14" fontId="1" fillId="2" borderId="0" xfId="0" applyNumberFormat="1" applyFont="1" applyFill="1" applyAlignment="1">
      <alignment horizontal="center"/>
    </xf>
    <xf numFmtId="14" fontId="1" fillId="4" borderId="0" xfId="0" applyNumberFormat="1" applyFont="1" applyFill="1" applyAlignment="1">
      <alignment horizontal="center"/>
    </xf>
    <xf numFmtId="14" fontId="1" fillId="17" borderId="0" xfId="0" applyNumberFormat="1" applyFont="1" applyFill="1" applyAlignment="1">
      <alignment horizontal="center"/>
    </xf>
    <xf numFmtId="0" fontId="1" fillId="17" borderId="0" xfId="0" applyFont="1" applyFill="1"/>
    <xf numFmtId="0" fontId="1" fillId="17" borderId="0" xfId="0" applyFont="1" applyFill="1" applyAlignment="1">
      <alignment horizontal="center"/>
    </xf>
    <xf numFmtId="0" fontId="8" fillId="0" borderId="1" xfId="0" applyFont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18" borderId="4" xfId="2" quotePrefix="1" applyFont="1" applyFill="1" applyBorder="1" applyAlignment="1">
      <alignment horizontal="center" vertical="center"/>
    </xf>
    <xf numFmtId="0" fontId="14" fillId="19" borderId="4" xfId="2" quotePrefix="1" applyFont="1" applyFill="1" applyBorder="1" applyAlignment="1">
      <alignment horizontal="center" vertical="center"/>
    </xf>
    <xf numFmtId="189" fontId="14" fillId="20" borderId="4" xfId="0" applyNumberFormat="1" applyFont="1" applyFill="1" applyBorder="1" applyAlignment="1">
      <alignment horizontal="center" vertical="center" shrinkToFit="1"/>
    </xf>
    <xf numFmtId="49" fontId="14" fillId="20" borderId="4" xfId="0" applyNumberFormat="1" applyFont="1" applyFill="1" applyBorder="1" applyAlignment="1">
      <alignment horizontal="center" vertical="center" shrinkToFit="1"/>
    </xf>
    <xf numFmtId="0" fontId="14" fillId="21" borderId="5" xfId="2" applyFont="1" applyFill="1" applyBorder="1" applyAlignment="1">
      <alignment horizontal="center" vertical="center"/>
    </xf>
    <xf numFmtId="0" fontId="14" fillId="19" borderId="6" xfId="0" applyFont="1" applyFill="1" applyBorder="1" applyAlignment="1">
      <alignment horizontal="center" vertical="center" wrapText="1"/>
    </xf>
    <xf numFmtId="0" fontId="14" fillId="19" borderId="7" xfId="0" applyFont="1" applyFill="1" applyBorder="1" applyAlignment="1">
      <alignment horizontal="center" vertical="center" wrapText="1"/>
    </xf>
    <xf numFmtId="0" fontId="14" fillId="19" borderId="8" xfId="0" applyFont="1" applyFill="1" applyBorder="1" applyAlignment="1">
      <alignment horizontal="center" vertical="center" wrapText="1"/>
    </xf>
    <xf numFmtId="0" fontId="14" fillId="19" borderId="9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1" fontId="8" fillId="22" borderId="4" xfId="3" applyNumberFormat="1" applyFont="1" applyFill="1" applyBorder="1" applyAlignment="1">
      <alignment horizontal="center" vertical="center"/>
    </xf>
    <xf numFmtId="0" fontId="16" fillId="22" borderId="4" xfId="4" quotePrefix="1" applyFont="1" applyFill="1" applyBorder="1" applyAlignment="1">
      <alignment horizontal="center" vertical="center"/>
    </xf>
    <xf numFmtId="0" fontId="17" fillId="22" borderId="4" xfId="0" applyFont="1" applyFill="1" applyBorder="1" applyAlignment="1">
      <alignment horizontal="center" vertical="center" shrinkToFit="1"/>
    </xf>
    <xf numFmtId="0" fontId="12" fillId="22" borderId="4" xfId="0" applyFont="1" applyFill="1" applyBorder="1" applyAlignment="1">
      <alignment horizontal="left" vertical="center" shrinkToFit="1"/>
    </xf>
    <xf numFmtId="0" fontId="12" fillId="22" borderId="4" xfId="0" applyFont="1" applyFill="1" applyBorder="1" applyAlignment="1">
      <alignment horizontal="center" vertical="center" shrinkToFit="1"/>
    </xf>
    <xf numFmtId="0" fontId="9" fillId="22" borderId="4" xfId="0" applyFont="1" applyFill="1" applyBorder="1" applyAlignment="1">
      <alignment horizontal="center" vertical="center" shrinkToFit="1"/>
    </xf>
    <xf numFmtId="0" fontId="12" fillId="22" borderId="4" xfId="0" applyFont="1" applyFill="1" applyBorder="1" applyAlignment="1">
      <alignment horizontal="center" vertical="center"/>
    </xf>
    <xf numFmtId="0" fontId="9" fillId="22" borderId="4" xfId="0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center"/>
    </xf>
    <xf numFmtId="12" fontId="12" fillId="22" borderId="4" xfId="0" applyNumberFormat="1" applyFont="1" applyFill="1" applyBorder="1" applyAlignment="1">
      <alignment horizontal="center" vertical="center" wrapText="1"/>
    </xf>
    <xf numFmtId="0" fontId="9" fillId="22" borderId="4" xfId="0" quotePrefix="1" applyFont="1" applyFill="1" applyBorder="1" applyAlignment="1">
      <alignment horizontal="center" vertical="center" shrinkToFit="1"/>
    </xf>
    <xf numFmtId="0" fontId="16" fillId="22" borderId="4" xfId="0" applyFont="1" applyFill="1" applyBorder="1" applyAlignment="1">
      <alignment horizontal="center" vertical="center" shrinkToFit="1"/>
    </xf>
    <xf numFmtId="0" fontId="9" fillId="22" borderId="4" xfId="0" applyFont="1" applyFill="1" applyBorder="1" applyAlignment="1">
      <alignment horizontal="left" vertical="center" shrinkToFit="1"/>
    </xf>
    <xf numFmtId="0" fontId="9" fillId="22" borderId="4" xfId="0" applyNumberFormat="1" applyFont="1" applyFill="1" applyBorder="1" applyAlignment="1" applyProtection="1">
      <alignment horizontal="center" vertical="center"/>
      <protection locked="0"/>
    </xf>
    <xf numFmtId="14" fontId="12" fillId="22" borderId="4" xfId="0" applyNumberFormat="1" applyFont="1" applyFill="1" applyBorder="1" applyAlignment="1">
      <alignment horizontal="center" vertical="center"/>
    </xf>
    <xf numFmtId="0" fontId="17" fillId="24" borderId="4" xfId="0" applyFont="1" applyFill="1" applyBorder="1" applyAlignment="1">
      <alignment horizontal="center" vertical="center" shrinkToFit="1"/>
    </xf>
    <xf numFmtId="0" fontId="9" fillId="22" borderId="4" xfId="0" quotePrefix="1" applyFont="1" applyFill="1" applyBorder="1" applyAlignment="1">
      <alignment horizontal="center" vertical="center"/>
    </xf>
    <xf numFmtId="0" fontId="17" fillId="22" borderId="4" xfId="4" quotePrefix="1" applyFont="1" applyFill="1" applyBorder="1" applyAlignment="1">
      <alignment horizontal="center" vertical="center"/>
    </xf>
    <xf numFmtId="14" fontId="9" fillId="22" borderId="4" xfId="0" applyNumberFormat="1" applyFont="1" applyFill="1" applyBorder="1" applyAlignment="1">
      <alignment horizontal="center" vertical="center"/>
    </xf>
    <xf numFmtId="14" fontId="12" fillId="22" borderId="1" xfId="0" applyNumberFormat="1" applyFont="1" applyFill="1" applyBorder="1" applyAlignment="1">
      <alignment horizontal="center" vertical="center"/>
    </xf>
    <xf numFmtId="190" fontId="9" fillId="22" borderId="4" xfId="0" applyNumberFormat="1" applyFont="1" applyFill="1" applyBorder="1" applyAlignment="1">
      <alignment horizontal="center" vertical="center" shrinkToFit="1"/>
    </xf>
    <xf numFmtId="0" fontId="9" fillId="22" borderId="4" xfId="0" applyFont="1" applyFill="1" applyBorder="1" applyAlignment="1">
      <alignment horizontal="left" vertical="center"/>
    </xf>
    <xf numFmtId="0" fontId="20" fillId="22" borderId="4" xfId="0" applyFont="1" applyFill="1" applyBorder="1" applyAlignment="1">
      <alignment horizontal="left" vertical="center"/>
    </xf>
    <xf numFmtId="0" fontId="20" fillId="22" borderId="4" xfId="0" applyFont="1" applyFill="1" applyBorder="1" applyAlignment="1">
      <alignment horizontal="center" vertical="center" wrapText="1"/>
    </xf>
    <xf numFmtId="0" fontId="9" fillId="22" borderId="1" xfId="0" quotePrefix="1" applyFont="1" applyFill="1" applyBorder="1" applyAlignment="1">
      <alignment horizontal="center" vertical="center" shrinkToFit="1"/>
    </xf>
    <xf numFmtId="0" fontId="12" fillId="22" borderId="1" xfId="0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/>
    </xf>
    <xf numFmtId="0" fontId="9" fillId="22" borderId="4" xfId="1" applyNumberFormat="1" applyFont="1" applyFill="1" applyBorder="1" applyAlignment="1">
      <alignment horizontal="center" vertical="center" shrinkToFit="1"/>
    </xf>
    <xf numFmtId="0" fontId="9" fillId="22" borderId="1" xfId="0" applyFont="1" applyFill="1" applyBorder="1" applyAlignment="1">
      <alignment horizontal="center" vertical="center"/>
    </xf>
    <xf numFmtId="0" fontId="9" fillId="22" borderId="0" xfId="0" applyFont="1" applyFill="1" applyBorder="1" applyAlignment="1">
      <alignment horizontal="center" vertical="center" shrinkToFit="1"/>
    </xf>
    <xf numFmtId="0" fontId="9" fillId="22" borderId="4" xfId="6" applyFont="1" applyFill="1" applyBorder="1" applyAlignment="1">
      <alignment horizontal="left"/>
    </xf>
    <xf numFmtId="0" fontId="9" fillId="22" borderId="4" xfId="6" applyFont="1" applyFill="1" applyBorder="1" applyAlignment="1">
      <alignment horizontal="center" vertical="center"/>
    </xf>
    <xf numFmtId="191" fontId="22" fillId="22" borderId="4" xfId="1" applyNumberFormat="1" applyFont="1" applyFill="1" applyBorder="1" applyAlignment="1">
      <alignment horizontal="center" vertical="center"/>
    </xf>
    <xf numFmtId="12" fontId="12" fillId="22" borderId="1" xfId="0" applyNumberFormat="1" applyFont="1" applyFill="1" applyBorder="1" applyAlignment="1">
      <alignment horizontal="center" vertical="center" wrapText="1"/>
    </xf>
    <xf numFmtId="191" fontId="9" fillId="22" borderId="4" xfId="1" applyNumberFormat="1" applyFont="1" applyFill="1" applyBorder="1" applyAlignment="1">
      <alignment horizontal="center" vertical="center" shrinkToFit="1"/>
    </xf>
    <xf numFmtId="1" fontId="18" fillId="22" borderId="4" xfId="3" applyNumberFormat="1" applyFont="1" applyFill="1" applyBorder="1" applyAlignment="1">
      <alignment horizontal="center" vertical="center"/>
    </xf>
    <xf numFmtId="0" fontId="20" fillId="22" borderId="4" xfId="0" applyFont="1" applyFill="1" applyBorder="1" applyAlignment="1">
      <alignment horizontal="center" vertical="center"/>
    </xf>
    <xf numFmtId="0" fontId="23" fillId="22" borderId="4" xfId="0" applyFont="1" applyFill="1" applyBorder="1" applyAlignment="1">
      <alignment horizontal="left" vertical="center"/>
    </xf>
    <xf numFmtId="0" fontId="17" fillId="22" borderId="4" xfId="0" applyFont="1" applyFill="1" applyBorder="1" applyAlignment="1">
      <alignment horizontal="center" vertical="center"/>
    </xf>
    <xf numFmtId="0" fontId="17" fillId="23" borderId="4" xfId="0" applyFont="1" applyFill="1" applyBorder="1" applyAlignment="1">
      <alignment horizontal="center" vertical="center"/>
    </xf>
    <xf numFmtId="0" fontId="17" fillId="22" borderId="4" xfId="0" applyFont="1" applyFill="1" applyBorder="1" applyAlignment="1">
      <alignment vertical="center"/>
    </xf>
    <xf numFmtId="0" fontId="17" fillId="22" borderId="4" xfId="0" applyFont="1" applyFill="1" applyBorder="1" applyAlignment="1">
      <alignment horizontal="center" vertical="center" wrapText="1"/>
    </xf>
    <xf numFmtId="0" fontId="9" fillId="22" borderId="1" xfId="0" quotePrefix="1" applyFont="1" applyFill="1" applyBorder="1" applyAlignment="1">
      <alignment horizontal="center" vertical="center"/>
    </xf>
    <xf numFmtId="0" fontId="9" fillId="22" borderId="4" xfId="0" applyNumberFormat="1" applyFont="1" applyFill="1" applyBorder="1" applyAlignment="1">
      <alignment horizontal="center" vertical="center" shrinkToFit="1"/>
    </xf>
    <xf numFmtId="0" fontId="20" fillId="22" borderId="4" xfId="0" applyFont="1" applyFill="1" applyBorder="1" applyAlignment="1">
      <alignment vertical="center"/>
    </xf>
    <xf numFmtId="0" fontId="20" fillId="22" borderId="4" xfId="0" applyFont="1" applyFill="1" applyBorder="1" applyAlignment="1">
      <alignment horizontal="left" vertical="center" wrapText="1"/>
    </xf>
    <xf numFmtId="0" fontId="20" fillId="22" borderId="4" xfId="0" applyFont="1" applyFill="1" applyBorder="1" applyAlignment="1">
      <alignment vertical="center" wrapText="1"/>
    </xf>
    <xf numFmtId="0" fontId="24" fillId="22" borderId="4" xfId="0" applyFont="1" applyFill="1" applyBorder="1" applyAlignment="1">
      <alignment horizontal="center" vertical="center"/>
    </xf>
    <xf numFmtId="1" fontId="9" fillId="22" borderId="4" xfId="3" applyNumberFormat="1" applyFont="1" applyFill="1" applyBorder="1" applyAlignment="1">
      <alignment horizontal="center" vertical="center"/>
    </xf>
    <xf numFmtId="192" fontId="12" fillId="22" borderId="4" xfId="0" applyNumberFormat="1" applyFont="1" applyFill="1" applyBorder="1" applyAlignment="1">
      <alignment horizontal="left" vertical="center" shrinkToFit="1"/>
    </xf>
    <xf numFmtId="0" fontId="20" fillId="22" borderId="4" xfId="0" applyFont="1" applyFill="1" applyBorder="1" applyAlignment="1">
      <alignment horizontal="left" vertical="center" shrinkToFit="1"/>
    </xf>
    <xf numFmtId="0" fontId="20" fillId="22" borderId="4" xfId="0" applyFont="1" applyFill="1" applyBorder="1" applyAlignment="1">
      <alignment horizontal="center" vertical="center" shrinkToFit="1"/>
    </xf>
    <xf numFmtId="0" fontId="16" fillId="22" borderId="10" xfId="4" quotePrefix="1" applyFont="1" applyFill="1" applyBorder="1" applyAlignment="1">
      <alignment horizontal="center" vertical="center"/>
    </xf>
    <xf numFmtId="0" fontId="17" fillId="22" borderId="11" xfId="0" applyFont="1" applyFill="1" applyBorder="1" applyAlignment="1">
      <alignment horizontal="center" vertical="center" shrinkToFit="1"/>
    </xf>
    <xf numFmtId="0" fontId="16" fillId="22" borderId="11" xfId="0" applyFont="1" applyFill="1" applyBorder="1" applyAlignment="1">
      <alignment horizontal="center" vertical="center" shrinkToFit="1"/>
    </xf>
    <xf numFmtId="0" fontId="16" fillId="22" borderId="12" xfId="0" applyFont="1" applyFill="1" applyBorder="1" applyAlignment="1">
      <alignment horizontal="center" vertical="center" shrinkToFit="1"/>
    </xf>
    <xf numFmtId="0" fontId="16" fillId="22" borderId="4" xfId="0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left"/>
    </xf>
    <xf numFmtId="0" fontId="25" fillId="22" borderId="4" xfId="0" applyFont="1" applyFill="1" applyBorder="1" applyAlignment="1">
      <alignment horizontal="center" vertical="center"/>
    </xf>
    <xf numFmtId="0" fontId="9" fillId="22" borderId="4" xfId="6" applyFont="1" applyFill="1" applyBorder="1" applyAlignment="1">
      <alignment horizontal="left" vertical="center"/>
    </xf>
    <xf numFmtId="191" fontId="9" fillId="22" borderId="4" xfId="1" applyNumberFormat="1" applyFont="1" applyFill="1" applyBorder="1" applyAlignment="1">
      <alignment horizontal="center" vertical="center"/>
    </xf>
    <xf numFmtId="0" fontId="23" fillId="22" borderId="4" xfId="0" applyFont="1" applyFill="1" applyBorder="1" applyAlignment="1">
      <alignment horizontal="center" vertical="center"/>
    </xf>
    <xf numFmtId="0" fontId="9" fillId="24" borderId="4" xfId="0" quotePrefix="1" applyFont="1" applyFill="1" applyBorder="1" applyAlignment="1">
      <alignment horizontal="center" vertical="center" shrinkToFit="1"/>
    </xf>
    <xf numFmtId="0" fontId="12" fillId="22" borderId="14" xfId="0" applyFont="1" applyFill="1" applyBorder="1" applyAlignment="1">
      <alignment horizontal="left" vertical="center" shrinkToFit="1"/>
    </xf>
    <xf numFmtId="0" fontId="12" fillId="22" borderId="14" xfId="0" applyFont="1" applyFill="1" applyBorder="1" applyAlignment="1">
      <alignment horizontal="center" vertical="center" shrinkToFit="1"/>
    </xf>
    <xf numFmtId="0" fontId="9" fillId="22" borderId="13" xfId="0" applyFont="1" applyFill="1" applyBorder="1" applyAlignment="1">
      <alignment horizontal="center" vertical="center" shrinkToFit="1"/>
    </xf>
    <xf numFmtId="14" fontId="12" fillId="22" borderId="0" xfId="0" applyNumberFormat="1" applyFont="1" applyFill="1" applyBorder="1" applyAlignment="1">
      <alignment horizontal="center" vertical="center"/>
    </xf>
    <xf numFmtId="0" fontId="12" fillId="22" borderId="4" xfId="0" applyFont="1" applyFill="1" applyBorder="1" applyAlignment="1">
      <alignment horizontal="left" vertical="center" wrapText="1" shrinkToFit="1"/>
    </xf>
    <xf numFmtId="0" fontId="17" fillId="22" borderId="14" xfId="0" applyFont="1" applyFill="1" applyBorder="1" applyAlignment="1">
      <alignment horizontal="center" vertical="center" shrinkToFit="1"/>
    </xf>
    <xf numFmtId="0" fontId="9" fillId="22" borderId="5" xfId="0" applyFont="1" applyFill="1" applyBorder="1" applyAlignment="1">
      <alignment horizontal="left" vertical="center" shrinkToFit="1"/>
    </xf>
    <xf numFmtId="0" fontId="12" fillId="22" borderId="5" xfId="0" applyFont="1" applyFill="1" applyBorder="1" applyAlignment="1">
      <alignment horizontal="center" vertical="center" shrinkToFit="1"/>
    </xf>
    <xf numFmtId="0" fontId="12" fillId="22" borderId="10" xfId="0" applyFont="1" applyFill="1" applyBorder="1" applyAlignment="1">
      <alignment horizontal="left" vertical="center" shrinkToFit="1"/>
    </xf>
    <xf numFmtId="0" fontId="12" fillId="22" borderId="10" xfId="0" applyFont="1" applyFill="1" applyBorder="1" applyAlignment="1">
      <alignment horizontal="center" vertical="center" shrinkToFit="1"/>
    </xf>
    <xf numFmtId="14" fontId="12" fillId="22" borderId="10" xfId="0" applyNumberFormat="1" applyFont="1" applyFill="1" applyBorder="1" applyAlignment="1">
      <alignment horizontal="center" vertical="center"/>
    </xf>
    <xf numFmtId="14" fontId="12" fillId="22" borderId="11" xfId="0" applyNumberFormat="1" applyFont="1" applyFill="1" applyBorder="1" applyAlignment="1">
      <alignment horizontal="center" vertical="center"/>
    </xf>
    <xf numFmtId="0" fontId="9" fillId="22" borderId="10" xfId="0" applyFont="1" applyFill="1" applyBorder="1" applyAlignment="1">
      <alignment horizontal="center" vertical="center" shrinkToFit="1"/>
    </xf>
    <xf numFmtId="14" fontId="9" fillId="22" borderId="10" xfId="0" applyNumberFormat="1" applyFont="1" applyFill="1" applyBorder="1" applyAlignment="1">
      <alignment horizontal="center" vertical="center"/>
    </xf>
    <xf numFmtId="191" fontId="9" fillId="22" borderId="10" xfId="1" applyNumberFormat="1" applyFont="1" applyFill="1" applyBorder="1" applyAlignment="1">
      <alignment horizontal="center" vertical="center"/>
    </xf>
    <xf numFmtId="0" fontId="12" fillId="22" borderId="11" xfId="0" applyFont="1" applyFill="1" applyBorder="1" applyAlignment="1">
      <alignment horizontal="center"/>
    </xf>
    <xf numFmtId="0" fontId="12" fillId="22" borderId="10" xfId="0" applyFont="1" applyFill="1" applyBorder="1" applyAlignment="1">
      <alignment horizontal="center" vertical="center"/>
    </xf>
    <xf numFmtId="0" fontId="12" fillId="22" borderId="11" xfId="0" applyFont="1" applyFill="1" applyBorder="1" applyAlignment="1">
      <alignment horizontal="center" vertical="center" shrinkToFit="1"/>
    </xf>
    <xf numFmtId="0" fontId="9" fillId="22" borderId="10" xfId="0" applyFont="1" applyFill="1" applyBorder="1" applyAlignment="1">
      <alignment horizontal="left" vertical="center" shrinkToFit="1"/>
    </xf>
    <xf numFmtId="0" fontId="9" fillId="22" borderId="11" xfId="0" applyFont="1" applyFill="1" applyBorder="1" applyAlignment="1">
      <alignment horizontal="center" vertical="center" shrinkToFit="1"/>
    </xf>
    <xf numFmtId="190" fontId="9" fillId="22" borderId="10" xfId="0" applyNumberFormat="1" applyFont="1" applyFill="1" applyBorder="1" applyAlignment="1">
      <alignment horizontal="center" vertical="center" shrinkToFit="1"/>
    </xf>
    <xf numFmtId="0" fontId="12" fillId="22" borderId="4" xfId="0" quotePrefix="1" applyFont="1" applyFill="1" applyBorder="1" applyAlignment="1">
      <alignment horizontal="center" vertical="center"/>
    </xf>
    <xf numFmtId="0" fontId="9" fillId="22" borderId="10" xfId="0" applyFont="1" applyFill="1" applyBorder="1" applyAlignment="1">
      <alignment horizontal="center" vertical="center"/>
    </xf>
    <xf numFmtId="191" fontId="9" fillId="22" borderId="10" xfId="1" applyNumberFormat="1" applyFont="1" applyFill="1" applyBorder="1" applyAlignment="1">
      <alignment horizontal="center" vertical="center" shrinkToFit="1"/>
    </xf>
    <xf numFmtId="0" fontId="9" fillId="23" borderId="4" xfId="0" quotePrefix="1" applyFont="1" applyFill="1" applyBorder="1" applyAlignment="1">
      <alignment horizontal="center" vertical="center" shrinkToFit="1"/>
    </xf>
    <xf numFmtId="0" fontId="9" fillId="22" borderId="4" xfId="7" applyFont="1" applyFill="1" applyBorder="1" applyAlignment="1">
      <alignment horizontal="left"/>
    </xf>
    <xf numFmtId="0" fontId="9" fillId="22" borderId="4" xfId="7" applyFont="1" applyFill="1" applyBorder="1" applyAlignment="1">
      <alignment horizontal="center" vertical="center"/>
    </xf>
    <xf numFmtId="0" fontId="12" fillId="22" borderId="5" xfId="0" applyFont="1" applyFill="1" applyBorder="1" applyAlignment="1">
      <alignment horizontal="left" vertical="center" shrinkToFit="1"/>
    </xf>
    <xf numFmtId="0" fontId="9" fillId="22" borderId="5" xfId="0" applyFont="1" applyFill="1" applyBorder="1" applyAlignment="1">
      <alignment horizontal="center" vertical="center" shrinkToFit="1"/>
    </xf>
    <xf numFmtId="0" fontId="12" fillId="22" borderId="5" xfId="0" applyFont="1" applyFill="1" applyBorder="1" applyAlignment="1">
      <alignment horizontal="center" vertical="center"/>
    </xf>
    <xf numFmtId="0" fontId="9" fillId="22" borderId="5" xfId="0" quotePrefix="1" applyFont="1" applyFill="1" applyBorder="1" applyAlignment="1">
      <alignment horizontal="center" vertical="center" shrinkToFit="1"/>
    </xf>
    <xf numFmtId="0" fontId="16" fillId="22" borderId="4" xfId="0" applyFont="1" applyFill="1" applyBorder="1" applyAlignment="1">
      <alignment horizontal="center" vertical="center" wrapText="1"/>
    </xf>
    <xf numFmtId="0" fontId="17" fillId="22" borderId="4" xfId="0" applyFont="1" applyFill="1" applyBorder="1" applyAlignment="1">
      <alignment horizontal="left" vertical="center"/>
    </xf>
    <xf numFmtId="0" fontId="29" fillId="18" borderId="4" xfId="2" quotePrefix="1" applyFont="1" applyFill="1" applyBorder="1" applyAlignment="1">
      <alignment horizontal="center" vertical="center"/>
    </xf>
    <xf numFmtId="189" fontId="15" fillId="25" borderId="4" xfId="0" applyNumberFormat="1" applyFont="1" applyFill="1" applyBorder="1" applyAlignment="1">
      <alignment horizontal="center" vertical="center" shrinkToFit="1"/>
    </xf>
    <xf numFmtId="49" fontId="15" fillId="25" borderId="4" xfId="0" applyNumberFormat="1" applyFont="1" applyFill="1" applyBorder="1" applyAlignment="1">
      <alignment horizontal="center" vertical="center" shrinkToFit="1"/>
    </xf>
    <xf numFmtId="0" fontId="30" fillId="21" borderId="4" xfId="2" applyFont="1" applyFill="1" applyBorder="1" applyAlignment="1">
      <alignment horizontal="center" vertical="center"/>
    </xf>
    <xf numFmtId="0" fontId="30" fillId="19" borderId="4" xfId="0" applyFont="1" applyFill="1" applyBorder="1" applyAlignment="1">
      <alignment horizontal="center" vertical="center" wrapText="1"/>
    </xf>
    <xf numFmtId="0" fontId="17" fillId="22" borderId="4" xfId="0" applyFont="1" applyFill="1" applyBorder="1" applyAlignment="1">
      <alignment horizontal="center"/>
    </xf>
    <xf numFmtId="49" fontId="32" fillId="22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/>
    </xf>
    <xf numFmtId="0" fontId="16" fillId="22" borderId="4" xfId="8" applyFont="1" applyFill="1" applyBorder="1" applyAlignment="1">
      <alignment horizontal="center" vertical="center" shrinkToFit="1"/>
    </xf>
    <xf numFmtId="0" fontId="33" fillId="22" borderId="4" xfId="0" applyFont="1" applyFill="1" applyBorder="1" applyAlignment="1">
      <alignment horizontal="center" vertical="center"/>
    </xf>
    <xf numFmtId="0" fontId="16" fillId="22" borderId="4" xfId="9" applyFont="1" applyFill="1" applyBorder="1" applyAlignment="1">
      <alignment horizontal="center" vertical="center" shrinkToFit="1"/>
    </xf>
    <xf numFmtId="0" fontId="16" fillId="0" borderId="4" xfId="0" applyFont="1" applyFill="1" applyBorder="1" applyAlignment="1">
      <alignment horizontal="center" vertical="center"/>
    </xf>
    <xf numFmtId="0" fontId="16" fillId="22" borderId="4" xfId="10" applyFont="1" applyFill="1" applyBorder="1" applyAlignment="1">
      <alignment horizontal="center" vertical="center" shrinkToFit="1"/>
    </xf>
    <xf numFmtId="0" fontId="9" fillId="22" borderId="4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Fill="1" applyBorder="1"/>
    <xf numFmtId="43" fontId="0" fillId="0" borderId="19" xfId="1" applyFont="1" applyBorder="1"/>
    <xf numFmtId="43" fontId="0" fillId="0" borderId="22" xfId="1" applyFont="1" applyBorder="1"/>
    <xf numFmtId="43" fontId="0" fillId="0" borderId="4" xfId="1" applyFont="1" applyBorder="1"/>
    <xf numFmtId="43" fontId="0" fillId="0" borderId="21" xfId="1" applyFont="1" applyBorder="1"/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26" borderId="4" xfId="4" quotePrefix="1" applyFont="1" applyFill="1" applyBorder="1" applyAlignment="1">
      <alignment horizontal="center" vertical="center"/>
    </xf>
    <xf numFmtId="0" fontId="14" fillId="19" borderId="4" xfId="0" applyFont="1" applyFill="1" applyBorder="1" applyAlignment="1">
      <alignment horizontal="center" vertical="center" wrapText="1"/>
    </xf>
    <xf numFmtId="1" fontId="16" fillId="22" borderId="4" xfId="3" applyNumberFormat="1" applyFont="1" applyFill="1" applyBorder="1" applyAlignment="1">
      <alignment horizontal="center" vertical="center"/>
    </xf>
    <xf numFmtId="0" fontId="17" fillId="22" borderId="4" xfId="0" applyFont="1" applyFill="1" applyBorder="1" applyAlignment="1">
      <alignment horizontal="left" vertical="center" shrinkToFit="1"/>
    </xf>
    <xf numFmtId="0" fontId="38" fillId="15" borderId="4" xfId="2" quotePrefix="1" applyFont="1" applyFill="1" applyBorder="1" applyAlignment="1">
      <alignment horizontal="center" vertical="center"/>
    </xf>
    <xf numFmtId="0" fontId="31" fillId="15" borderId="4" xfId="2" quotePrefix="1" applyFont="1" applyFill="1" applyBorder="1" applyAlignment="1">
      <alignment horizontal="center" vertical="center"/>
    </xf>
    <xf numFmtId="189" fontId="31" fillId="28" borderId="4" xfId="0" applyNumberFormat="1" applyFont="1" applyFill="1" applyBorder="1" applyAlignment="1">
      <alignment horizontal="center" vertical="center" shrinkToFit="1"/>
    </xf>
    <xf numFmtId="49" fontId="31" fillId="28" borderId="4" xfId="0" applyNumberFormat="1" applyFont="1" applyFill="1" applyBorder="1" applyAlignment="1">
      <alignment horizontal="center" vertical="center" shrinkToFit="1"/>
    </xf>
    <xf numFmtId="14" fontId="0" fillId="0" borderId="4" xfId="0" applyNumberFormat="1" applyBorder="1"/>
    <xf numFmtId="0" fontId="16" fillId="0" borderId="4" xfId="4" quotePrefix="1" applyFont="1" applyFill="1" applyBorder="1" applyAlignment="1">
      <alignment horizontal="center" vertical="center"/>
    </xf>
    <xf numFmtId="1" fontId="18" fillId="24" borderId="4" xfId="3" applyNumberFormat="1" applyFont="1" applyFill="1" applyBorder="1" applyAlignment="1">
      <alignment horizontal="center" vertical="center"/>
    </xf>
    <xf numFmtId="0" fontId="17" fillId="29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4" fillId="19" borderId="4" xfId="0" applyFont="1" applyFill="1" applyBorder="1" applyAlignment="1">
      <alignment horizontal="left" vertical="center" wrapText="1"/>
    </xf>
    <xf numFmtId="0" fontId="14" fillId="19" borderId="23" xfId="0" applyFont="1" applyFill="1" applyBorder="1" applyAlignment="1">
      <alignment vertical="center" wrapText="1"/>
    </xf>
    <xf numFmtId="1" fontId="39" fillId="22" borderId="4" xfId="3" applyNumberFormat="1" applyFont="1" applyFill="1" applyBorder="1" applyAlignment="1">
      <alignment horizontal="center" vertical="center"/>
    </xf>
    <xf numFmtId="0" fontId="40" fillId="22" borderId="4" xfId="0" applyFont="1" applyFill="1" applyBorder="1" applyAlignment="1">
      <alignment horizontal="center"/>
    </xf>
    <xf numFmtId="14" fontId="40" fillId="22" borderId="4" xfId="0" applyNumberFormat="1" applyFont="1" applyFill="1" applyBorder="1" applyAlignment="1">
      <alignment horizontal="center"/>
    </xf>
    <xf numFmtId="0" fontId="40" fillId="22" borderId="4" xfId="0" applyFont="1" applyFill="1" applyBorder="1" applyAlignment="1">
      <alignment horizontal="left"/>
    </xf>
    <xf numFmtId="0" fontId="40" fillId="0" borderId="4" xfId="0" applyFont="1" applyBorder="1" applyAlignment="1"/>
    <xf numFmtId="14" fontId="17" fillId="22" borderId="4" xfId="0" applyNumberFormat="1" applyFont="1" applyFill="1" applyBorder="1" applyAlignment="1">
      <alignment horizontal="center" vertical="center"/>
    </xf>
    <xf numFmtId="0" fontId="16" fillId="22" borderId="4" xfId="0" applyFont="1" applyFill="1" applyBorder="1" applyAlignment="1">
      <alignment horizontal="left" vertical="center" shrinkToFit="1"/>
    </xf>
    <xf numFmtId="0" fontId="40" fillId="0" borderId="4" xfId="0" applyFont="1" applyFill="1" applyBorder="1" applyAlignment="1"/>
    <xf numFmtId="0" fontId="41" fillId="22" borderId="4" xfId="0" applyFont="1" applyFill="1" applyBorder="1" applyAlignment="1">
      <alignment vertical="center"/>
    </xf>
    <xf numFmtId="0" fontId="41" fillId="22" borderId="4" xfId="0" applyFont="1" applyFill="1" applyBorder="1" applyAlignment="1">
      <alignment horizontal="center" vertical="center"/>
    </xf>
    <xf numFmtId="0" fontId="41" fillId="22" borderId="4" xfId="0" applyFont="1" applyFill="1" applyBorder="1" applyAlignment="1">
      <alignment vertical="center" wrapText="1"/>
    </xf>
    <xf numFmtId="14" fontId="17" fillId="22" borderId="4" xfId="0" applyNumberFormat="1" applyFont="1" applyFill="1" applyBorder="1" applyAlignment="1">
      <alignment horizontal="left" vertical="center"/>
    </xf>
    <xf numFmtId="0" fontId="39" fillId="18" borderId="4" xfId="2" quotePrefix="1" applyFont="1" applyFill="1" applyBorder="1" applyAlignment="1">
      <alignment horizontal="center" vertical="center"/>
    </xf>
    <xf numFmtId="0" fontId="30" fillId="19" borderId="4" xfId="2" quotePrefix="1" applyFont="1" applyFill="1" applyBorder="1" applyAlignment="1">
      <alignment horizontal="center" vertical="center"/>
    </xf>
    <xf numFmtId="0" fontId="40" fillId="0" borderId="0" xfId="0" applyFont="1"/>
    <xf numFmtId="0" fontId="17" fillId="0" borderId="4" xfId="0" applyFont="1" applyBorder="1" applyAlignment="1">
      <alignment horizontal="center"/>
    </xf>
    <xf numFmtId="14" fontId="17" fillId="0" borderId="4" xfId="0" applyNumberFormat="1" applyFont="1" applyBorder="1" applyAlignment="1">
      <alignment horizontal="center"/>
    </xf>
    <xf numFmtId="43" fontId="17" fillId="0" borderId="4" xfId="1" applyFont="1" applyBorder="1" applyAlignment="1">
      <alignment horizontal="center"/>
    </xf>
    <xf numFmtId="0" fontId="17" fillId="22" borderId="1" xfId="0" applyFont="1" applyFill="1" applyBorder="1" applyAlignment="1">
      <alignment horizontal="center" vertical="center"/>
    </xf>
    <xf numFmtId="0" fontId="14" fillId="19" borderId="5" xfId="0" applyFont="1" applyFill="1" applyBorder="1" applyAlignment="1">
      <alignment vertical="center" wrapText="1"/>
    </xf>
    <xf numFmtId="0" fontId="0" fillId="0" borderId="4" xfId="0" applyNumberFormat="1" applyBorder="1" applyAlignment="1"/>
    <xf numFmtId="0" fontId="0" fillId="0" borderId="4" xfId="0" applyBorder="1" applyAlignment="1"/>
    <xf numFmtId="0" fontId="0" fillId="0" borderId="4" xfId="0" applyNumberFormat="1" applyBorder="1" applyAlignment="1">
      <alignment horizontal="center"/>
    </xf>
    <xf numFmtId="14" fontId="0" fillId="0" borderId="4" xfId="0" applyNumberFormat="1" applyBorder="1" applyAlignment="1"/>
    <xf numFmtId="14" fontId="12" fillId="22" borderId="4" xfId="0" applyNumberFormat="1" applyFont="1" applyFill="1" applyBorder="1" applyAlignment="1">
      <alignment vertical="center"/>
    </xf>
    <xf numFmtId="0" fontId="0" fillId="0" borderId="4" xfId="0" applyFill="1" applyBorder="1" applyAlignment="1"/>
    <xf numFmtId="14" fontId="17" fillId="23" borderId="4" xfId="0" applyNumberFormat="1" applyFont="1" applyFill="1" applyBorder="1" applyAlignment="1">
      <alignment horizontal="center"/>
    </xf>
    <xf numFmtId="0" fontId="17" fillId="23" borderId="4" xfId="0" applyFont="1" applyFill="1" applyBorder="1" applyAlignment="1">
      <alignment horizontal="center" vertical="center" shrinkToFit="1"/>
    </xf>
    <xf numFmtId="0" fontId="17" fillId="23" borderId="4" xfId="0" applyFont="1" applyFill="1" applyBorder="1" applyAlignment="1">
      <alignment horizontal="left" vertical="center" shrinkToFit="1"/>
    </xf>
    <xf numFmtId="14" fontId="17" fillId="23" borderId="4" xfId="0" applyNumberFormat="1" applyFont="1" applyFill="1" applyBorder="1" applyAlignment="1">
      <alignment horizontal="center" vertical="center"/>
    </xf>
    <xf numFmtId="0" fontId="40" fillId="23" borderId="4" xfId="0" applyFont="1" applyFill="1" applyBorder="1" applyAlignment="1">
      <alignment horizontal="center"/>
    </xf>
    <xf numFmtId="0" fontId="40" fillId="23" borderId="4" xfId="0" applyFont="1" applyFill="1" applyBorder="1"/>
    <xf numFmtId="0" fontId="17" fillId="23" borderId="4" xfId="0" applyFont="1" applyFill="1" applyBorder="1" applyAlignment="1">
      <alignment horizontal="center"/>
    </xf>
    <xf numFmtId="0" fontId="16" fillId="23" borderId="4" xfId="0" applyFont="1" applyFill="1" applyBorder="1" applyAlignment="1">
      <alignment horizontal="center" vertical="center" shrinkToFit="1"/>
    </xf>
    <xf numFmtId="14" fontId="40" fillId="23" borderId="4" xfId="0" applyNumberFormat="1" applyFont="1" applyFill="1" applyBorder="1" applyAlignment="1">
      <alignment horizontal="center"/>
    </xf>
    <xf numFmtId="0" fontId="14" fillId="19" borderId="5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14" fontId="0" fillId="26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2" fillId="22" borderId="5" xfId="0" applyFont="1" applyFill="1" applyBorder="1" applyAlignment="1">
      <alignment horizontal="center" shrinkToFit="1"/>
    </xf>
    <xf numFmtId="0" fontId="0" fillId="0" borderId="5" xfId="0" applyBorder="1" applyAlignment="1">
      <alignment horizontal="center"/>
    </xf>
    <xf numFmtId="0" fontId="17" fillId="0" borderId="5" xfId="0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17" fillId="0" borderId="5" xfId="0" applyNumberFormat="1" applyFont="1" applyBorder="1" applyAlignment="1">
      <alignment horizontal="center"/>
    </xf>
    <xf numFmtId="43" fontId="17" fillId="0" borderId="5" xfId="1" applyFont="1" applyBorder="1" applyAlignment="1">
      <alignment horizontal="center"/>
    </xf>
    <xf numFmtId="0" fontId="42" fillId="0" borderId="4" xfId="4" quotePrefix="1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vertical="center"/>
    </xf>
    <xf numFmtId="0" fontId="42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left" vertical="center"/>
    </xf>
    <xf numFmtId="0" fontId="12" fillId="26" borderId="4" xfId="0" applyFont="1" applyFill="1" applyBorder="1" applyAlignment="1">
      <alignment horizontal="center" vertical="center"/>
    </xf>
    <xf numFmtId="0" fontId="9" fillId="26" borderId="4" xfId="0" quotePrefix="1" applyFont="1" applyFill="1" applyBorder="1" applyAlignment="1">
      <alignment horizontal="center" vertical="center" shrinkToFit="1"/>
    </xf>
    <xf numFmtId="14" fontId="12" fillId="22" borderId="25" xfId="0" applyNumberFormat="1" applyFont="1" applyFill="1" applyBorder="1" applyAlignment="1">
      <alignment horizontal="center" vertical="center"/>
    </xf>
    <xf numFmtId="14" fontId="12" fillId="22" borderId="12" xfId="0" applyNumberFormat="1" applyFont="1" applyFill="1" applyBorder="1" applyAlignment="1">
      <alignment horizontal="center" vertical="center"/>
    </xf>
    <xf numFmtId="14" fontId="12" fillId="22" borderId="26" xfId="0" applyNumberFormat="1" applyFont="1" applyFill="1" applyBorder="1" applyAlignment="1">
      <alignment horizontal="center" vertical="center"/>
    </xf>
    <xf numFmtId="0" fontId="0" fillId="22" borderId="4" xfId="0" applyFill="1" applyBorder="1"/>
    <xf numFmtId="14" fontId="0" fillId="22" borderId="4" xfId="0" applyNumberFormat="1" applyFill="1" applyBorder="1" applyAlignment="1">
      <alignment horizontal="center"/>
    </xf>
    <xf numFmtId="43" fontId="17" fillId="22" borderId="4" xfId="1" applyFont="1" applyFill="1" applyBorder="1" applyAlignment="1">
      <alignment horizontal="center"/>
    </xf>
    <xf numFmtId="0" fontId="38" fillId="30" borderId="4" xfId="2" quotePrefix="1" applyFont="1" applyFill="1" applyBorder="1" applyAlignment="1">
      <alignment horizontal="center" vertical="center"/>
    </xf>
    <xf numFmtId="0" fontId="31" fillId="30" borderId="4" xfId="2" quotePrefix="1" applyFont="1" applyFill="1" applyBorder="1" applyAlignment="1">
      <alignment horizontal="center" vertical="center"/>
    </xf>
    <xf numFmtId="189" fontId="31" fillId="31" borderId="4" xfId="0" applyNumberFormat="1" applyFont="1" applyFill="1" applyBorder="1" applyAlignment="1">
      <alignment horizontal="center" vertical="center" shrinkToFit="1"/>
    </xf>
    <xf numFmtId="49" fontId="31" fillId="31" borderId="4" xfId="0" applyNumberFormat="1" applyFont="1" applyFill="1" applyBorder="1" applyAlignment="1">
      <alignment horizontal="center" vertical="center" shrinkToFit="1"/>
    </xf>
    <xf numFmtId="0" fontId="0" fillId="22" borderId="4" xfId="0" applyFill="1" applyBorder="1" applyAlignment="1"/>
    <xf numFmtId="0" fontId="14" fillId="19" borderId="4" xfId="0" applyFont="1" applyFill="1" applyBorder="1" applyAlignment="1">
      <alignment vertical="center" wrapText="1"/>
    </xf>
    <xf numFmtId="0" fontId="44" fillId="0" borderId="0" xfId="0" applyFont="1" applyAlignment="1">
      <alignment horizontal="center"/>
    </xf>
    <xf numFmtId="1" fontId="8" fillId="26" borderId="4" xfId="3" applyNumberFormat="1" applyFont="1" applyFill="1" applyBorder="1" applyAlignment="1">
      <alignment horizontal="center" vertical="center"/>
    </xf>
    <xf numFmtId="0" fontId="0" fillId="26" borderId="4" xfId="0" applyFill="1" applyBorder="1"/>
    <xf numFmtId="14" fontId="0" fillId="26" borderId="4" xfId="0" applyNumberFormat="1" applyFill="1" applyBorder="1"/>
    <xf numFmtId="0" fontId="0" fillId="26" borderId="4" xfId="0" applyNumberFormat="1" applyFill="1" applyBorder="1" applyAlignment="1">
      <alignment horizontal="center"/>
    </xf>
    <xf numFmtId="0" fontId="16" fillId="26" borderId="4" xfId="0" applyFont="1" applyFill="1" applyBorder="1" applyAlignment="1">
      <alignment horizontal="center" vertical="center" shrinkToFit="1"/>
    </xf>
    <xf numFmtId="0" fontId="0" fillId="26" borderId="4" xfId="0" applyFill="1" applyBorder="1" applyAlignment="1"/>
    <xf numFmtId="14" fontId="0" fillId="26" borderId="4" xfId="0" applyNumberFormat="1" applyFill="1" applyBorder="1" applyAlignment="1"/>
    <xf numFmtId="0" fontId="0" fillId="26" borderId="4" xfId="0" applyNumberFormat="1" applyFill="1" applyBorder="1" applyAlignment="1"/>
    <xf numFmtId="0" fontId="0" fillId="0" borderId="5" xfId="0" applyBorder="1"/>
    <xf numFmtId="0" fontId="17" fillId="22" borderId="5" xfId="0" applyFont="1" applyFill="1" applyBorder="1" applyAlignment="1">
      <alignment horizontal="center"/>
    </xf>
    <xf numFmtId="43" fontId="17" fillId="22" borderId="5" xfId="1" applyFont="1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0" fillId="22" borderId="4" xfId="0" applyFill="1" applyBorder="1" applyAlignment="1">
      <alignment horizontal="center" vertical="center"/>
    </xf>
    <xf numFmtId="14" fontId="0" fillId="23" borderId="4" xfId="0" applyNumberFormat="1" applyFill="1" applyBorder="1" applyAlignment="1"/>
    <xf numFmtId="14" fontId="0" fillId="22" borderId="4" xfId="0" applyNumberFormat="1" applyFill="1" applyBorder="1" applyAlignment="1"/>
    <xf numFmtId="0" fontId="0" fillId="22" borderId="4" xfId="0" applyNumberFormat="1" applyFill="1" applyBorder="1" applyAlignment="1"/>
    <xf numFmtId="14" fontId="0" fillId="22" borderId="4" xfId="0" applyNumberFormat="1" applyFill="1" applyBorder="1"/>
    <xf numFmtId="0" fontId="0" fillId="22" borderId="4" xfId="0" applyNumberFormat="1" applyFill="1" applyBorder="1" applyAlignment="1">
      <alignment horizontal="center"/>
    </xf>
    <xf numFmtId="14" fontId="12" fillId="26" borderId="4" xfId="0" applyNumberFormat="1" applyFont="1" applyFill="1" applyBorder="1" applyAlignment="1">
      <alignment vertical="center"/>
    </xf>
    <xf numFmtId="0" fontId="0" fillId="22" borderId="0" xfId="0" applyFill="1" applyBorder="1"/>
    <xf numFmtId="0" fontId="0" fillId="22" borderId="23" xfId="0" applyFill="1" applyBorder="1"/>
    <xf numFmtId="0" fontId="0" fillId="22" borderId="23" xfId="0" applyFill="1" applyBorder="1" applyAlignment="1">
      <alignment horizontal="center"/>
    </xf>
    <xf numFmtId="43" fontId="17" fillId="22" borderId="23" xfId="1" applyFont="1" applyFill="1" applyBorder="1" applyAlignment="1">
      <alignment horizontal="center"/>
    </xf>
    <xf numFmtId="0" fontId="9" fillId="23" borderId="4" xfId="0" applyFont="1" applyFill="1" applyBorder="1" applyAlignment="1">
      <alignment horizontal="center" vertical="center" shrinkToFit="1"/>
    </xf>
    <xf numFmtId="0" fontId="12" fillId="23" borderId="4" xfId="0" applyFont="1" applyFill="1" applyBorder="1" applyAlignment="1">
      <alignment horizontal="center" vertical="center"/>
    </xf>
    <xf numFmtId="14" fontId="12" fillId="23" borderId="4" xfId="0" applyNumberFormat="1" applyFont="1" applyFill="1" applyBorder="1" applyAlignment="1">
      <alignment horizontal="center" vertical="center"/>
    </xf>
    <xf numFmtId="14" fontId="12" fillId="23" borderId="1" xfId="0" applyNumberFormat="1" applyFont="1" applyFill="1" applyBorder="1" applyAlignment="1">
      <alignment horizontal="center" vertical="center"/>
    </xf>
    <xf numFmtId="0" fontId="0" fillId="23" borderId="4" xfId="0" applyFill="1" applyBorder="1"/>
    <xf numFmtId="14" fontId="0" fillId="23" borderId="4" xfId="0" applyNumberFormat="1" applyFill="1" applyBorder="1"/>
    <xf numFmtId="0" fontId="0" fillId="23" borderId="4" xfId="0" applyNumberFormat="1" applyFill="1" applyBorder="1" applyAlignment="1">
      <alignment horizontal="center"/>
    </xf>
    <xf numFmtId="0" fontId="0" fillId="23" borderId="0" xfId="0" applyFill="1"/>
    <xf numFmtId="0" fontId="9" fillId="23" borderId="4" xfId="0" applyFont="1" applyFill="1" applyBorder="1" applyAlignment="1">
      <alignment horizontal="center" vertical="center"/>
    </xf>
    <xf numFmtId="0" fontId="0" fillId="23" borderId="4" xfId="0" applyFill="1" applyBorder="1" applyAlignment="1"/>
    <xf numFmtId="0" fontId="0" fillId="23" borderId="4" xfId="0" applyNumberFormat="1" applyFill="1" applyBorder="1" applyAlignment="1"/>
    <xf numFmtId="0" fontId="12" fillId="23" borderId="4" xfId="0" applyFont="1" applyFill="1" applyBorder="1" applyAlignment="1">
      <alignment horizontal="center"/>
    </xf>
    <xf numFmtId="0" fontId="9" fillId="23" borderId="4" xfId="0" quotePrefix="1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1" fontId="18" fillId="26" borderId="4" xfId="3" applyNumberFormat="1" applyFont="1" applyFill="1" applyBorder="1" applyAlignment="1">
      <alignment horizontal="center" vertical="center"/>
    </xf>
    <xf numFmtId="0" fontId="12" fillId="26" borderId="4" xfId="0" applyFont="1" applyFill="1" applyBorder="1" applyAlignment="1">
      <alignment horizontal="center" vertical="center" shrinkToFit="1"/>
    </xf>
    <xf numFmtId="0" fontId="9" fillId="26" borderId="4" xfId="0" applyFont="1" applyFill="1" applyBorder="1" applyAlignment="1">
      <alignment horizontal="center" vertical="center" shrinkToFit="1"/>
    </xf>
    <xf numFmtId="14" fontId="12" fillId="26" borderId="4" xfId="0" applyNumberFormat="1" applyFont="1" applyFill="1" applyBorder="1" applyAlignment="1">
      <alignment horizontal="center" vertical="center"/>
    </xf>
    <xf numFmtId="0" fontId="0" fillId="26" borderId="0" xfId="0" applyFill="1"/>
    <xf numFmtId="12" fontId="12" fillId="23" borderId="4" xfId="0" applyNumberFormat="1" applyFont="1" applyFill="1" applyBorder="1" applyAlignment="1">
      <alignment horizontal="center" vertical="center" wrapText="1"/>
    </xf>
    <xf numFmtId="0" fontId="12" fillId="26" borderId="4" xfId="0" applyFont="1" applyFill="1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27" xfId="0" applyBorder="1"/>
    <xf numFmtId="0" fontId="0" fillId="0" borderId="36" xfId="0" applyBorder="1"/>
    <xf numFmtId="0" fontId="0" fillId="0" borderId="29" xfId="0" applyBorder="1"/>
    <xf numFmtId="0" fontId="0" fillId="30" borderId="5" xfId="0" applyFill="1" applyBorder="1"/>
    <xf numFmtId="0" fontId="0" fillId="30" borderId="23" xfId="0" applyFill="1" applyBorder="1"/>
    <xf numFmtId="0" fontId="0" fillId="30" borderId="37" xfId="0" applyFill="1" applyBorder="1"/>
    <xf numFmtId="0" fontId="0" fillId="30" borderId="36" xfId="0" applyFill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0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32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4" xfId="0" applyBorder="1"/>
    <xf numFmtId="0" fontId="0" fillId="0" borderId="54" xfId="0" applyBorder="1"/>
    <xf numFmtId="0" fontId="0" fillId="0" borderId="0" xfId="0" applyBorder="1"/>
    <xf numFmtId="0" fontId="0" fillId="22" borderId="34" xfId="0" applyFill="1" applyBorder="1"/>
    <xf numFmtId="0" fontId="0" fillId="30" borderId="39" xfId="0" applyFill="1" applyBorder="1"/>
    <xf numFmtId="0" fontId="0" fillId="30" borderId="40" xfId="0" applyFill="1" applyBorder="1"/>
    <xf numFmtId="0" fontId="0" fillId="30" borderId="32" xfId="0" applyFill="1" applyBorder="1"/>
    <xf numFmtId="0" fontId="40" fillId="22" borderId="5" xfId="0" applyFont="1" applyFill="1" applyBorder="1" applyAlignment="1">
      <alignment horizontal="center"/>
    </xf>
    <xf numFmtId="0" fontId="12" fillId="22" borderId="3" xfId="0" applyFont="1" applyFill="1" applyBorder="1" applyAlignment="1">
      <alignment horizontal="center" vertical="center" shrinkToFit="1"/>
    </xf>
    <xf numFmtId="0" fontId="45" fillId="22" borderId="4" xfId="9" applyFont="1" applyFill="1" applyBorder="1" applyAlignment="1">
      <alignment horizontal="left"/>
    </xf>
    <xf numFmtId="0" fontId="0" fillId="32" borderId="4" xfId="0" applyFont="1" applyFill="1" applyBorder="1"/>
    <xf numFmtId="0" fontId="30" fillId="19" borderId="1" xfId="2" quotePrefix="1" applyFont="1" applyFill="1" applyBorder="1" applyAlignment="1">
      <alignment horizontal="center" vertical="center"/>
    </xf>
    <xf numFmtId="0" fontId="16" fillId="22" borderId="1" xfId="0" applyFont="1" applyFill="1" applyBorder="1" applyAlignment="1">
      <alignment horizontal="center" vertical="center" shrinkToFit="1"/>
    </xf>
    <xf numFmtId="0" fontId="17" fillId="22" borderId="1" xfId="0" applyFont="1" applyFill="1" applyBorder="1" applyAlignment="1">
      <alignment horizontal="center" vertical="center" shrinkToFit="1"/>
    </xf>
    <xf numFmtId="0" fontId="17" fillId="23" borderId="1" xfId="0" applyFont="1" applyFill="1" applyBorder="1" applyAlignment="1">
      <alignment horizontal="center" vertical="center" shrinkToFit="1"/>
    </xf>
    <xf numFmtId="0" fontId="17" fillId="22" borderId="26" xfId="0" applyFont="1" applyFill="1" applyBorder="1" applyAlignment="1">
      <alignment horizontal="center" shrinkToFit="1"/>
    </xf>
    <xf numFmtId="0" fontId="0" fillId="22" borderId="1" xfId="0" applyFill="1" applyBorder="1"/>
    <xf numFmtId="0" fontId="30" fillId="19" borderId="15" xfId="2" quotePrefix="1" applyFont="1" applyFill="1" applyBorder="1" applyAlignment="1">
      <alignment horizontal="center" vertical="center"/>
    </xf>
    <xf numFmtId="0" fontId="30" fillId="19" borderId="16" xfId="2" quotePrefix="1" applyFont="1" applyFill="1" applyBorder="1" applyAlignment="1">
      <alignment horizontal="center" vertical="center"/>
    </xf>
    <xf numFmtId="189" fontId="30" fillId="20" borderId="16" xfId="0" applyNumberFormat="1" applyFont="1" applyFill="1" applyBorder="1" applyAlignment="1">
      <alignment horizontal="center" vertical="center" shrinkToFit="1"/>
    </xf>
    <xf numFmtId="49" fontId="30" fillId="20" borderId="16" xfId="0" applyNumberFormat="1" applyFont="1" applyFill="1" applyBorder="1" applyAlignment="1">
      <alignment horizontal="center" vertical="center" shrinkToFit="1"/>
    </xf>
    <xf numFmtId="0" fontId="30" fillId="19" borderId="55" xfId="0" applyFont="1" applyFill="1" applyBorder="1" applyAlignment="1">
      <alignment horizontal="center" vertical="center" wrapText="1"/>
    </xf>
    <xf numFmtId="0" fontId="40" fillId="24" borderId="28" xfId="0" applyFont="1" applyFill="1" applyBorder="1" applyAlignment="1">
      <alignment horizontal="center" vertical="center"/>
    </xf>
    <xf numFmtId="1" fontId="16" fillId="22" borderId="18" xfId="3" applyNumberFormat="1" applyFont="1" applyFill="1" applyBorder="1" applyAlignment="1">
      <alignment horizontal="center" vertical="center"/>
    </xf>
    <xf numFmtId="0" fontId="0" fillId="0" borderId="30" xfId="0" applyBorder="1"/>
    <xf numFmtId="0" fontId="17" fillId="22" borderId="18" xfId="0" applyFont="1" applyFill="1" applyBorder="1" applyAlignment="1">
      <alignment horizontal="center" vertical="center"/>
    </xf>
    <xf numFmtId="1" fontId="9" fillId="22" borderId="18" xfId="3" applyNumberFormat="1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1" fontId="16" fillId="23" borderId="18" xfId="3" applyNumberFormat="1" applyFont="1" applyFill="1" applyBorder="1" applyAlignment="1">
      <alignment horizontal="center" vertical="center"/>
    </xf>
    <xf numFmtId="1" fontId="18" fillId="22" borderId="56" xfId="3" applyNumberFormat="1" applyFont="1" applyFill="1" applyBorder="1" applyAlignment="1">
      <alignment horizontal="center"/>
    </xf>
    <xf numFmtId="1" fontId="18" fillId="23" borderId="18" xfId="3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7" fillId="24" borderId="47" xfId="0" applyFont="1" applyFill="1" applyBorder="1" applyAlignment="1">
      <alignment horizontal="center"/>
    </xf>
    <xf numFmtId="1" fontId="18" fillId="22" borderId="18" xfId="3" applyNumberFormat="1" applyFont="1" applyFill="1" applyBorder="1" applyAlignment="1">
      <alignment horizontal="center" vertical="center"/>
    </xf>
    <xf numFmtId="1" fontId="18" fillId="24" borderId="18" xfId="3" applyNumberFormat="1" applyFont="1" applyFill="1" applyBorder="1" applyAlignment="1">
      <alignment horizontal="center" vertical="center"/>
    </xf>
    <xf numFmtId="0" fontId="0" fillId="22" borderId="19" xfId="0" applyFill="1" applyBorder="1"/>
    <xf numFmtId="0" fontId="0" fillId="22" borderId="47" xfId="0" applyFill="1" applyBorder="1"/>
    <xf numFmtId="0" fontId="45" fillId="22" borderId="21" xfId="9" applyFont="1" applyFill="1" applyBorder="1" applyAlignment="1">
      <alignment horizontal="left"/>
    </xf>
    <xf numFmtId="0" fontId="0" fillId="22" borderId="21" xfId="0" applyFill="1" applyBorder="1"/>
    <xf numFmtId="0" fontId="12" fillId="22" borderId="57" xfId="0" applyFont="1" applyFill="1" applyBorder="1" applyAlignment="1">
      <alignment horizontal="center" vertical="center" shrinkToFit="1"/>
    </xf>
    <xf numFmtId="14" fontId="0" fillId="22" borderId="21" xfId="0" applyNumberFormat="1" applyFill="1" applyBorder="1"/>
    <xf numFmtId="0" fontId="0" fillId="0" borderId="21" xfId="0" applyBorder="1"/>
    <xf numFmtId="0" fontId="0" fillId="32" borderId="21" xfId="0" applyFont="1" applyFill="1" applyBorder="1"/>
    <xf numFmtId="0" fontId="0" fillId="0" borderId="22" xfId="0" applyBorder="1"/>
    <xf numFmtId="0" fontId="0" fillId="0" borderId="0" xfId="0" applyAlignment="1">
      <alignment horizontal="center"/>
    </xf>
    <xf numFmtId="0" fontId="0" fillId="24" borderId="18" xfId="0" applyFill="1" applyBorder="1" applyAlignment="1">
      <alignment horizontal="center"/>
    </xf>
    <xf numFmtId="0" fontId="45" fillId="24" borderId="18" xfId="0" applyFont="1" applyFill="1" applyBorder="1" applyAlignment="1">
      <alignment horizontal="center"/>
    </xf>
    <xf numFmtId="0" fontId="45" fillId="24" borderId="20" xfId="0" applyFont="1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45" fillId="23" borderId="18" xfId="0" applyFont="1" applyFill="1" applyBorder="1" applyAlignment="1">
      <alignment horizontal="center"/>
    </xf>
    <xf numFmtId="0" fontId="45" fillId="23" borderId="20" xfId="0" applyFont="1" applyFill="1" applyBorder="1" applyAlignment="1">
      <alignment horizontal="center"/>
    </xf>
    <xf numFmtId="0" fontId="46" fillId="0" borderId="0" xfId="0" applyFont="1"/>
    <xf numFmtId="0" fontId="47" fillId="0" borderId="0" xfId="0" applyFont="1" applyAlignment="1"/>
    <xf numFmtId="0" fontId="47" fillId="0" borderId="0" xfId="0" applyFont="1" applyAlignment="1">
      <alignment horizontal="left" vertical="center"/>
    </xf>
    <xf numFmtId="0" fontId="39" fillId="18" borderId="5" xfId="2" quotePrefix="1" applyFont="1" applyFill="1" applyBorder="1" applyAlignment="1">
      <alignment horizontal="center" vertical="center"/>
    </xf>
    <xf numFmtId="0" fontId="30" fillId="19" borderId="5" xfId="2" quotePrefix="1" applyFont="1" applyFill="1" applyBorder="1" applyAlignment="1">
      <alignment horizontal="center" vertical="center"/>
    </xf>
    <xf numFmtId="0" fontId="30" fillId="19" borderId="26" xfId="2" quotePrefix="1" applyFont="1" applyFill="1" applyBorder="1" applyAlignment="1">
      <alignment horizontal="center" vertical="center"/>
    </xf>
    <xf numFmtId="0" fontId="30" fillId="19" borderId="58" xfId="2" quotePrefix="1" applyFont="1" applyFill="1" applyBorder="1" applyAlignment="1">
      <alignment horizontal="center" vertical="center"/>
    </xf>
    <xf numFmtId="0" fontId="30" fillId="19" borderId="55" xfId="2" quotePrefix="1" applyFont="1" applyFill="1" applyBorder="1" applyAlignment="1">
      <alignment horizontal="center" vertical="center"/>
    </xf>
    <xf numFmtId="189" fontId="30" fillId="20" borderId="55" xfId="0" applyNumberFormat="1" applyFont="1" applyFill="1" applyBorder="1" applyAlignment="1">
      <alignment horizontal="center" vertical="center" shrinkToFit="1"/>
    </xf>
    <xf numFmtId="49" fontId="30" fillId="20" borderId="55" xfId="0" applyNumberFormat="1" applyFont="1" applyFill="1" applyBorder="1" applyAlignment="1">
      <alignment horizontal="center" vertical="center" shrinkToFit="1"/>
    </xf>
    <xf numFmtId="0" fontId="0" fillId="0" borderId="23" xfId="0" applyFill="1" applyBorder="1"/>
    <xf numFmtId="43" fontId="0" fillId="0" borderId="23" xfId="1" applyFont="1" applyBorder="1"/>
    <xf numFmtId="0" fontId="12" fillId="22" borderId="4" xfId="0" applyFont="1" applyFill="1" applyBorder="1" applyAlignment="1">
      <alignment horizontal="center" shrinkToFi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9" fillId="22" borderId="4" xfId="8" applyFont="1" applyFill="1" applyBorder="1" applyAlignment="1">
      <alignment horizontal="center" vertical="center" shrinkToFit="1"/>
    </xf>
    <xf numFmtId="0" fontId="0" fillId="0" borderId="4" xfId="0" applyFont="1" applyBorder="1"/>
    <xf numFmtId="0" fontId="9" fillId="22" borderId="4" xfId="4" quotePrefix="1" applyFont="1" applyFill="1" applyBorder="1" applyAlignment="1">
      <alignment horizontal="center" vertical="center"/>
    </xf>
    <xf numFmtId="0" fontId="12" fillId="22" borderId="4" xfId="4" quotePrefix="1" applyFont="1" applyFill="1" applyBorder="1" applyAlignment="1">
      <alignment horizontal="center" vertical="center"/>
    </xf>
    <xf numFmtId="0" fontId="17" fillId="0" borderId="4" xfId="0" applyFont="1" applyBorder="1"/>
    <xf numFmtId="0" fontId="17" fillId="22" borderId="4" xfId="0" applyFont="1" applyFill="1" applyBorder="1"/>
    <xf numFmtId="0" fontId="37" fillId="22" borderId="4" xfId="0" applyFont="1" applyFill="1" applyBorder="1" applyAlignment="1">
      <alignment horizontal="center" vertical="center"/>
    </xf>
    <xf numFmtId="0" fontId="48" fillId="22" borderId="4" xfId="0" applyFont="1" applyFill="1" applyBorder="1" applyAlignment="1">
      <alignment horizontal="center" vertical="center" shrinkToFit="1"/>
    </xf>
    <xf numFmtId="0" fontId="37" fillId="22" borderId="4" xfId="0" applyFont="1" applyFill="1" applyBorder="1" applyAlignment="1">
      <alignment horizontal="center" vertical="center" shrinkToFit="1"/>
    </xf>
    <xf numFmtId="0" fontId="12" fillId="33" borderId="4" xfId="0" applyFont="1" applyFill="1" applyBorder="1" applyAlignment="1">
      <alignment horizontal="center" vertical="center"/>
    </xf>
    <xf numFmtId="0" fontId="9" fillId="33" borderId="4" xfId="0" applyFont="1" applyFill="1" applyBorder="1" applyAlignment="1">
      <alignment horizontal="center" vertical="center"/>
    </xf>
    <xf numFmtId="0" fontId="12" fillId="33" borderId="4" xfId="0" applyFont="1" applyFill="1" applyBorder="1" applyAlignment="1">
      <alignment horizontal="center"/>
    </xf>
    <xf numFmtId="0" fontId="0" fillId="33" borderId="4" xfId="0" applyFill="1" applyBorder="1"/>
    <xf numFmtId="14" fontId="0" fillId="33" borderId="4" xfId="0" applyNumberFormat="1" applyFill="1" applyBorder="1"/>
    <xf numFmtId="0" fontId="0" fillId="33" borderId="4" xfId="0" applyNumberFormat="1" applyFill="1" applyBorder="1" applyAlignment="1">
      <alignment horizontal="center"/>
    </xf>
    <xf numFmtId="0" fontId="0" fillId="33" borderId="0" xfId="0" applyFill="1"/>
    <xf numFmtId="0" fontId="9" fillId="26" borderId="4" xfId="0" applyFont="1" applyFill="1" applyBorder="1" applyAlignment="1">
      <alignment horizontal="center" vertical="center"/>
    </xf>
    <xf numFmtId="0" fontId="16" fillId="22" borderId="31" xfId="4" quotePrefix="1" applyFont="1" applyFill="1" applyBorder="1" applyAlignment="1">
      <alignment horizontal="center" vertical="center"/>
    </xf>
    <xf numFmtId="0" fontId="16" fillId="22" borderId="31" xfId="0" applyFont="1" applyFill="1" applyBorder="1" applyAlignment="1">
      <alignment horizontal="center" vertical="center" shrinkToFit="1"/>
    </xf>
    <xf numFmtId="1" fontId="18" fillId="22" borderId="31" xfId="3" applyNumberFormat="1" applyFont="1" applyFill="1" applyBorder="1" applyAlignment="1">
      <alignment horizontal="center" vertical="center"/>
    </xf>
    <xf numFmtId="0" fontId="12" fillId="22" borderId="31" xfId="0" applyFont="1" applyFill="1" applyBorder="1" applyAlignment="1">
      <alignment horizontal="left" vertical="center" shrinkToFit="1"/>
    </xf>
    <xf numFmtId="0" fontId="9" fillId="22" borderId="31" xfId="0" applyFont="1" applyFill="1" applyBorder="1" applyAlignment="1">
      <alignment horizontal="left" vertical="center"/>
    </xf>
    <xf numFmtId="0" fontId="20" fillId="22" borderId="10" xfId="0" applyFont="1" applyFill="1" applyBorder="1" applyAlignment="1">
      <alignment horizontal="left" vertical="center"/>
    </xf>
    <xf numFmtId="0" fontId="20" fillId="22" borderId="10" xfId="0" applyFont="1" applyFill="1" applyBorder="1" applyAlignment="1">
      <alignment horizontal="left" vertical="center" wrapText="1"/>
    </xf>
    <xf numFmtId="0" fontId="20" fillId="22" borderId="31" xfId="0" applyFont="1" applyFill="1" applyBorder="1" applyAlignment="1">
      <alignment vertical="center"/>
    </xf>
    <xf numFmtId="0" fontId="9" fillId="22" borderId="10" xfId="5" applyFont="1" applyFill="1" applyBorder="1" applyAlignment="1">
      <alignment horizontal="left" vertical="center" shrinkToFit="1"/>
    </xf>
    <xf numFmtId="0" fontId="23" fillId="22" borderId="10" xfId="0" applyFont="1" applyFill="1" applyBorder="1" applyAlignment="1">
      <alignment horizontal="left" vertical="center"/>
    </xf>
    <xf numFmtId="0" fontId="9" fillId="22" borderId="10" xfId="7" applyFont="1" applyFill="1" applyBorder="1" applyAlignment="1">
      <alignment horizontal="left"/>
    </xf>
    <xf numFmtId="0" fontId="23" fillId="22" borderId="10" xfId="0" applyFont="1" applyFill="1" applyBorder="1" applyAlignment="1">
      <alignment vertical="center"/>
    </xf>
    <xf numFmtId="0" fontId="12" fillId="22" borderId="31" xfId="0" applyFont="1" applyFill="1" applyBorder="1" applyAlignment="1">
      <alignment horizontal="center" vertical="center" shrinkToFit="1"/>
    </xf>
    <xf numFmtId="0" fontId="12" fillId="22" borderId="24" xfId="0" applyFont="1" applyFill="1" applyBorder="1" applyAlignment="1">
      <alignment horizontal="center" vertical="center" shrinkToFit="1"/>
    </xf>
    <xf numFmtId="0" fontId="9" fillId="22" borderId="31" xfId="0" applyFont="1" applyFill="1" applyBorder="1" applyAlignment="1">
      <alignment horizontal="center" vertical="center"/>
    </xf>
    <xf numFmtId="0" fontId="9" fillId="22" borderId="10" xfId="7" applyFont="1" applyFill="1" applyBorder="1" applyAlignment="1">
      <alignment horizontal="center" vertical="center"/>
    </xf>
    <xf numFmtId="0" fontId="9" fillId="22" borderId="31" xfId="0" applyFont="1" applyFill="1" applyBorder="1" applyAlignment="1">
      <alignment horizontal="center" vertical="center" shrinkToFit="1"/>
    </xf>
    <xf numFmtId="0" fontId="20" fillId="22" borderId="10" xfId="0" applyFont="1" applyFill="1" applyBorder="1" applyAlignment="1">
      <alignment horizontal="center" vertical="center" wrapText="1"/>
    </xf>
    <xf numFmtId="0" fontId="20" fillId="22" borderId="10" xfId="0" applyFont="1" applyFill="1" applyBorder="1" applyAlignment="1">
      <alignment horizontal="center" vertical="center"/>
    </xf>
    <xf numFmtId="0" fontId="20" fillId="22" borderId="31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 wrapText="1"/>
    </xf>
    <xf numFmtId="0" fontId="12" fillId="22" borderId="0" xfId="0" applyFont="1" applyFill="1" applyBorder="1" applyAlignment="1">
      <alignment horizontal="center" vertical="center" shrinkToFit="1"/>
    </xf>
    <xf numFmtId="0" fontId="12" fillId="22" borderId="31" xfId="0" applyFont="1" applyFill="1" applyBorder="1" applyAlignment="1">
      <alignment horizontal="center" vertical="center"/>
    </xf>
    <xf numFmtId="0" fontId="12" fillId="22" borderId="10" xfId="0" applyFont="1" applyFill="1" applyBorder="1" applyAlignment="1">
      <alignment horizontal="center" vertical="center" wrapText="1"/>
    </xf>
    <xf numFmtId="0" fontId="12" fillId="22" borderId="13" xfId="0" applyFont="1" applyFill="1" applyBorder="1" applyAlignment="1">
      <alignment horizontal="center" vertical="center"/>
    </xf>
    <xf numFmtId="0" fontId="9" fillId="22" borderId="24" xfId="0" applyFont="1" applyFill="1" applyBorder="1" applyAlignment="1">
      <alignment horizontal="center" vertical="center" shrinkToFit="1"/>
    </xf>
    <xf numFmtId="0" fontId="9" fillId="22" borderId="10" xfId="0" applyFont="1" applyFill="1" applyBorder="1" applyAlignment="1">
      <alignment horizontal="center" vertical="center" wrapText="1"/>
    </xf>
    <xf numFmtId="193" fontId="9" fillId="22" borderId="10" xfId="0" applyNumberFormat="1" applyFont="1" applyFill="1" applyBorder="1" applyAlignment="1">
      <alignment horizontal="center" vertical="center" shrinkToFit="1"/>
    </xf>
    <xf numFmtId="0" fontId="0" fillId="0" borderId="1" xfId="0" applyBorder="1"/>
    <xf numFmtId="0" fontId="9" fillId="26" borderId="1" xfId="0" quotePrefix="1" applyFont="1" applyFill="1" applyBorder="1" applyAlignment="1">
      <alignment horizontal="center" vertical="center" shrinkToFit="1"/>
    </xf>
    <xf numFmtId="14" fontId="9" fillId="22" borderId="1" xfId="0" applyNumberFormat="1" applyFont="1" applyFill="1" applyBorder="1" applyAlignment="1">
      <alignment horizontal="center" vertical="center"/>
    </xf>
    <xf numFmtId="0" fontId="0" fillId="0" borderId="10" xfId="0" applyBorder="1"/>
    <xf numFmtId="0" fontId="12" fillId="22" borderId="10" xfId="0" applyFont="1" applyFill="1" applyBorder="1" applyAlignment="1">
      <alignment horizontal="center"/>
    </xf>
    <xf numFmtId="0" fontId="9" fillId="22" borderId="4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0" fillId="0" borderId="11" xfId="0" applyBorder="1"/>
    <xf numFmtId="14" fontId="0" fillId="0" borderId="0" xfId="0" applyNumberFormat="1" applyBorder="1"/>
    <xf numFmtId="0" fontId="16" fillId="0" borderId="4" xfId="0" applyFont="1" applyFill="1" applyBorder="1" applyAlignment="1">
      <alignment vertical="center"/>
    </xf>
    <xf numFmtId="0" fontId="16" fillId="0" borderId="4" xfId="0" applyFont="1" applyFill="1" applyBorder="1" applyAlignment="1">
      <alignment horizontal="center" vertical="center" wrapText="1"/>
    </xf>
    <xf numFmtId="0" fontId="8" fillId="18" borderId="15" xfId="2" quotePrefix="1" applyFont="1" applyFill="1" applyBorder="1" applyAlignment="1">
      <alignment horizontal="center" vertical="center"/>
    </xf>
    <xf numFmtId="0" fontId="14" fillId="19" borderId="16" xfId="2" quotePrefix="1" applyFont="1" applyFill="1" applyBorder="1" applyAlignment="1">
      <alignment horizontal="center" vertical="center"/>
    </xf>
    <xf numFmtId="189" fontId="14" fillId="20" borderId="16" xfId="0" applyNumberFormat="1" applyFont="1" applyFill="1" applyBorder="1" applyAlignment="1">
      <alignment horizontal="center" vertical="center" shrinkToFit="1"/>
    </xf>
    <xf numFmtId="49" fontId="14" fillId="20" borderId="16" xfId="0" applyNumberFormat="1" applyFont="1" applyFill="1" applyBorder="1" applyAlignment="1">
      <alignment horizontal="center" vertical="center" shrinkToFit="1"/>
    </xf>
    <xf numFmtId="1" fontId="8" fillId="22" borderId="18" xfId="3" applyNumberFormat="1" applyFont="1" applyFill="1" applyBorder="1" applyAlignment="1">
      <alignment horizontal="center" vertical="center"/>
    </xf>
    <xf numFmtId="0" fontId="42" fillId="0" borderId="19" xfId="0" applyFont="1" applyFill="1" applyBorder="1" applyAlignment="1">
      <alignment horizontal="center" vertical="center"/>
    </xf>
    <xf numFmtId="1" fontId="8" fillId="22" borderId="20" xfId="3" applyNumberFormat="1" applyFont="1" applyFill="1" applyBorder="1" applyAlignment="1">
      <alignment horizontal="center" vertical="center"/>
    </xf>
    <xf numFmtId="0" fontId="42" fillId="0" borderId="21" xfId="4" quotePrefix="1" applyFont="1" applyFill="1" applyBorder="1" applyAlignment="1">
      <alignment horizontal="center" vertical="center"/>
    </xf>
    <xf numFmtId="0" fontId="42" fillId="0" borderId="22" xfId="0" applyFont="1" applyFill="1" applyBorder="1" applyAlignment="1">
      <alignment horizontal="center" vertical="center"/>
    </xf>
    <xf numFmtId="0" fontId="0" fillId="34" borderId="17" xfId="0" applyFill="1" applyBorder="1" applyAlignment="1">
      <alignment horizontal="center"/>
    </xf>
    <xf numFmtId="0" fontId="17" fillId="22" borderId="59" xfId="0" applyFont="1" applyFill="1" applyBorder="1" applyAlignment="1">
      <alignment horizontal="center" vertical="center"/>
    </xf>
    <xf numFmtId="0" fontId="17" fillId="22" borderId="60" xfId="0" applyFont="1" applyFill="1" applyBorder="1" applyAlignment="1">
      <alignment horizontal="center" vertical="center"/>
    </xf>
    <xf numFmtId="0" fontId="16" fillId="22" borderId="60" xfId="8" applyFont="1" applyFill="1" applyBorder="1" applyAlignment="1">
      <alignment horizontal="center" vertical="center" shrinkToFit="1"/>
    </xf>
    <xf numFmtId="0" fontId="33" fillId="22" borderId="60" xfId="0" applyFont="1" applyFill="1" applyBorder="1" applyAlignment="1">
      <alignment horizontal="center" vertical="center"/>
    </xf>
    <xf numFmtId="0" fontId="17" fillId="22" borderId="61" xfId="0" applyFont="1" applyFill="1" applyBorder="1" applyAlignment="1">
      <alignment horizontal="center" vertical="center"/>
    </xf>
    <xf numFmtId="0" fontId="29" fillId="35" borderId="62" xfId="2" quotePrefix="1" applyFont="1" applyFill="1" applyBorder="1" applyAlignment="1">
      <alignment horizontal="center" vertical="center"/>
    </xf>
    <xf numFmtId="0" fontId="15" fillId="35" borderId="37" xfId="2" quotePrefix="1" applyFont="1" applyFill="1" applyBorder="1" applyAlignment="1">
      <alignment horizontal="center" vertical="center"/>
    </xf>
    <xf numFmtId="0" fontId="29" fillId="35" borderId="37" xfId="2" quotePrefix="1" applyFont="1" applyFill="1" applyBorder="1" applyAlignment="1">
      <alignment horizontal="center" vertical="center"/>
    </xf>
    <xf numFmtId="189" fontId="15" fillId="36" borderId="37" xfId="0" applyNumberFormat="1" applyFont="1" applyFill="1" applyBorder="1" applyAlignment="1">
      <alignment horizontal="center" vertical="center" shrinkToFit="1"/>
    </xf>
    <xf numFmtId="49" fontId="15" fillId="36" borderId="37" xfId="0" applyNumberFormat="1" applyFont="1" applyFill="1" applyBorder="1" applyAlignment="1">
      <alignment horizontal="center" vertical="center" shrinkToFit="1"/>
    </xf>
    <xf numFmtId="0" fontId="30" fillId="35" borderId="37" xfId="0" applyFont="1" applyFill="1" applyBorder="1" applyAlignment="1">
      <alignment horizontal="center" vertical="center" wrapText="1"/>
    </xf>
    <xf numFmtId="0" fontId="30" fillId="35" borderId="63" xfId="0" applyFont="1" applyFill="1" applyBorder="1" applyAlignment="1">
      <alignment horizontal="center" vertical="center" wrapText="1"/>
    </xf>
    <xf numFmtId="0" fontId="42" fillId="22" borderId="4" xfId="4" quotePrefix="1" applyFont="1" applyFill="1" applyBorder="1" applyAlignment="1">
      <alignment horizontal="center" vertical="center"/>
    </xf>
    <xf numFmtId="0" fontId="42" fillId="22" borderId="4" xfId="0" applyFont="1" applyFill="1" applyBorder="1" applyAlignment="1">
      <alignment horizontal="center" vertical="center"/>
    </xf>
    <xf numFmtId="0" fontId="42" fillId="22" borderId="4" xfId="0" applyFont="1" applyFill="1" applyBorder="1" applyAlignment="1">
      <alignment vertical="center"/>
    </xf>
    <xf numFmtId="0" fontId="42" fillId="22" borderId="4" xfId="0" applyFont="1" applyFill="1" applyBorder="1" applyAlignment="1">
      <alignment horizontal="center" vertical="center" wrapText="1"/>
    </xf>
    <xf numFmtId="0" fontId="9" fillId="22" borderId="4" xfId="4" applyFont="1" applyFill="1" applyBorder="1" applyAlignment="1">
      <alignment horizontal="center" vertical="center"/>
    </xf>
    <xf numFmtId="0" fontId="17" fillId="22" borderId="31" xfId="0" applyFont="1" applyFill="1" applyBorder="1" applyAlignment="1">
      <alignment horizontal="center" vertical="center"/>
    </xf>
    <xf numFmtId="0" fontId="42" fillId="22" borderId="4" xfId="0" applyFont="1" applyFill="1" applyBorder="1" applyAlignment="1">
      <alignment horizontal="left" vertical="center"/>
    </xf>
    <xf numFmtId="0" fontId="43" fillId="22" borderId="4" xfId="0" applyFont="1" applyFill="1" applyBorder="1" applyAlignment="1">
      <alignment horizontal="center" vertical="center"/>
    </xf>
    <xf numFmtId="0" fontId="9" fillId="22" borderId="4" xfId="0" applyFont="1" applyFill="1" applyBorder="1" applyAlignment="1">
      <alignment horizontal="left" vertical="center" wrapText="1" shrinkToFit="1"/>
    </xf>
    <xf numFmtId="0" fontId="16" fillId="22" borderId="10" xfId="0" applyFont="1" applyFill="1" applyBorder="1" applyAlignment="1">
      <alignment vertical="center"/>
    </xf>
    <xf numFmtId="0" fontId="16" fillId="22" borderId="10" xfId="0" applyFont="1" applyFill="1" applyBorder="1" applyAlignment="1">
      <alignment horizontal="center" vertical="center"/>
    </xf>
    <xf numFmtId="0" fontId="16" fillId="22" borderId="10" xfId="0" applyFont="1" applyFill="1" applyBorder="1" applyAlignment="1">
      <alignment horizontal="center" vertical="center" wrapText="1"/>
    </xf>
    <xf numFmtId="0" fontId="42" fillId="22" borderId="10" xfId="0" applyFont="1" applyFill="1" applyBorder="1" applyAlignment="1">
      <alignment vertical="center"/>
    </xf>
    <xf numFmtId="0" fontId="42" fillId="22" borderId="10" xfId="0" applyFont="1" applyFill="1" applyBorder="1" applyAlignment="1">
      <alignment horizontal="center" vertical="center"/>
    </xf>
    <xf numFmtId="0" fontId="42" fillId="22" borderId="10" xfId="0" applyFont="1" applyFill="1" applyBorder="1" applyAlignment="1">
      <alignment horizontal="center" vertical="center" wrapText="1"/>
    </xf>
    <xf numFmtId="0" fontId="9" fillId="26" borderId="10" xfId="0" applyFont="1" applyFill="1" applyBorder="1" applyAlignment="1">
      <alignment horizontal="left" vertical="center" shrinkToFit="1"/>
    </xf>
    <xf numFmtId="0" fontId="9" fillId="26" borderId="10" xfId="0" applyFont="1" applyFill="1" applyBorder="1" applyAlignment="1">
      <alignment horizontal="center" vertical="center" shrinkToFit="1"/>
    </xf>
    <xf numFmtId="0" fontId="9" fillId="26" borderId="10" xfId="0" applyFont="1" applyFill="1" applyBorder="1" applyAlignment="1">
      <alignment horizontal="center" vertical="center"/>
    </xf>
    <xf numFmtId="0" fontId="12" fillId="26" borderId="11" xfId="0" applyFont="1" applyFill="1" applyBorder="1" applyAlignment="1">
      <alignment horizontal="center"/>
    </xf>
    <xf numFmtId="0" fontId="12" fillId="22" borderId="10" xfId="0" applyFont="1" applyFill="1" applyBorder="1" applyAlignment="1">
      <alignment horizontal="left" vertical="center" wrapText="1" shrinkToFit="1"/>
    </xf>
    <xf numFmtId="14" fontId="0" fillId="22" borderId="0" xfId="0" applyNumberFormat="1" applyFill="1" applyBorder="1"/>
    <xf numFmtId="0" fontId="0" fillId="26" borderId="4" xfId="0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0" fillId="33" borderId="4" xfId="0" applyFill="1" applyBorder="1" applyAlignment="1">
      <alignment horizontal="center"/>
    </xf>
    <xf numFmtId="1" fontId="18" fillId="37" borderId="4" xfId="3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8" fillId="27" borderId="4" xfId="3" applyNumberFormat="1" applyFont="1" applyFill="1" applyBorder="1" applyAlignment="1">
      <alignment horizontal="center" vertical="center"/>
    </xf>
    <xf numFmtId="1" fontId="8" fillId="27" borderId="4" xfId="3" applyNumberFormat="1" applyFont="1" applyFill="1" applyBorder="1" applyAlignment="1">
      <alignment horizontal="center" vertical="center"/>
    </xf>
    <xf numFmtId="0" fontId="16" fillId="27" borderId="4" xfId="4" quotePrefix="1" applyFont="1" applyFill="1" applyBorder="1" applyAlignment="1">
      <alignment horizontal="center" vertical="center"/>
    </xf>
    <xf numFmtId="0" fontId="16" fillId="27" borderId="4" xfId="0" applyFont="1" applyFill="1" applyBorder="1" applyAlignment="1">
      <alignment horizontal="center" vertical="center" shrinkToFit="1"/>
    </xf>
    <xf numFmtId="0" fontId="9" fillId="27" borderId="4" xfId="0" applyFont="1" applyFill="1" applyBorder="1" applyAlignment="1">
      <alignment horizontal="left" vertical="center" shrinkToFit="1"/>
    </xf>
    <xf numFmtId="0" fontId="9" fillId="27" borderId="4" xfId="0" applyFont="1" applyFill="1" applyBorder="1" applyAlignment="1">
      <alignment horizontal="center" vertical="center" shrinkToFit="1"/>
    </xf>
    <xf numFmtId="0" fontId="12" fillId="27" borderId="4" xfId="0" applyFont="1" applyFill="1" applyBorder="1" applyAlignment="1">
      <alignment horizontal="center" vertical="center" shrinkToFit="1"/>
    </xf>
    <xf numFmtId="0" fontId="12" fillId="27" borderId="4" xfId="0" applyFont="1" applyFill="1" applyBorder="1" applyAlignment="1">
      <alignment horizontal="center" vertical="center"/>
    </xf>
    <xf numFmtId="0" fontId="9" fillId="27" borderId="4" xfId="0" quotePrefix="1" applyFont="1" applyFill="1" applyBorder="1" applyAlignment="1">
      <alignment horizontal="center" vertical="center" shrinkToFit="1"/>
    </xf>
    <xf numFmtId="0" fontId="0" fillId="27" borderId="4" xfId="0" applyFill="1" applyBorder="1"/>
    <xf numFmtId="0" fontId="0" fillId="27" borderId="4" xfId="0" applyFill="1" applyBorder="1" applyAlignment="1">
      <alignment horizontal="center"/>
    </xf>
    <xf numFmtId="14" fontId="0" fillId="27" borderId="4" xfId="0" applyNumberFormat="1" applyFill="1" applyBorder="1"/>
    <xf numFmtId="0" fontId="0" fillId="27" borderId="4" xfId="0" applyNumberFormat="1" applyFill="1" applyBorder="1" applyAlignment="1">
      <alignment horizontal="center"/>
    </xf>
    <xf numFmtId="0" fontId="0" fillId="27" borderId="0" xfId="0" applyFill="1"/>
    <xf numFmtId="0" fontId="17" fillId="27" borderId="4" xfId="0" applyFont="1" applyFill="1" applyBorder="1" applyAlignment="1">
      <alignment horizontal="center" vertical="center" shrinkToFit="1"/>
    </xf>
    <xf numFmtId="0" fontId="12" fillId="27" borderId="4" xfId="0" applyFont="1" applyFill="1" applyBorder="1" applyAlignment="1">
      <alignment horizontal="left" vertical="center" shrinkToFit="1"/>
    </xf>
    <xf numFmtId="0" fontId="12" fillId="27" borderId="1" xfId="0" applyFont="1" applyFill="1" applyBorder="1" applyAlignment="1">
      <alignment horizontal="center" vertical="center"/>
    </xf>
    <xf numFmtId="0" fontId="9" fillId="27" borderId="4" xfId="0" applyFont="1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9" fillId="27" borderId="1" xfId="0" quotePrefix="1" applyFont="1" applyFill="1" applyBorder="1" applyAlignment="1">
      <alignment horizontal="center" vertical="center" shrinkToFit="1"/>
    </xf>
    <xf numFmtId="0" fontId="9" fillId="27" borderId="4" xfId="0" applyNumberFormat="1" applyFont="1" applyFill="1" applyBorder="1" applyAlignment="1" applyProtection="1">
      <alignment horizontal="center" vertical="center"/>
      <protection locked="0"/>
    </xf>
    <xf numFmtId="0" fontId="0" fillId="27" borderId="4" xfId="0" applyFill="1" applyBorder="1" applyAlignment="1"/>
    <xf numFmtId="14" fontId="0" fillId="27" borderId="4" xfId="0" applyNumberFormat="1" applyFill="1" applyBorder="1" applyAlignment="1"/>
    <xf numFmtId="0" fontId="0" fillId="27" borderId="4" xfId="0" applyNumberFormat="1" applyFill="1" applyBorder="1" applyAlignment="1"/>
    <xf numFmtId="0" fontId="9" fillId="27" borderId="23" xfId="0" applyFont="1" applyFill="1" applyBorder="1" applyAlignment="1">
      <alignment horizontal="left" vertical="center" shrinkToFit="1"/>
    </xf>
    <xf numFmtId="1" fontId="18" fillId="27" borderId="23" xfId="3" applyNumberFormat="1" applyFont="1" applyFill="1" applyBorder="1" applyAlignment="1">
      <alignment horizontal="center" vertical="center"/>
    </xf>
    <xf numFmtId="0" fontId="12" fillId="27" borderId="23" xfId="0" applyFont="1" applyFill="1" applyBorder="1" applyAlignment="1">
      <alignment horizontal="center" vertical="center" shrinkToFit="1"/>
    </xf>
    <xf numFmtId="0" fontId="0" fillId="27" borderId="0" xfId="0" applyFill="1" applyAlignment="1"/>
    <xf numFmtId="0" fontId="0" fillId="27" borderId="0" xfId="0" applyFill="1" applyAlignment="1">
      <alignment horizontal="center"/>
    </xf>
    <xf numFmtId="14" fontId="9" fillId="22" borderId="4" xfId="0" applyNumberFormat="1" applyFont="1" applyFill="1" applyBorder="1" applyAlignment="1">
      <alignment horizontal="center" vertical="center" shrinkToFit="1"/>
    </xf>
    <xf numFmtId="14" fontId="12" fillId="22" borderId="4" xfId="0" applyNumberFormat="1" applyFont="1" applyFill="1" applyBorder="1" applyAlignment="1">
      <alignment horizontal="center" vertical="center" shrinkToFit="1"/>
    </xf>
    <xf numFmtId="1" fontId="8" fillId="23" borderId="4" xfId="3" applyNumberFormat="1" applyFont="1" applyFill="1" applyBorder="1" applyAlignment="1">
      <alignment horizontal="center" vertical="center"/>
    </xf>
    <xf numFmtId="1" fontId="18" fillId="23" borderId="4" xfId="3" applyNumberFormat="1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left" vertical="center" shrinkToFit="1"/>
    </xf>
    <xf numFmtId="0" fontId="12" fillId="23" borderId="4" xfId="0" applyFont="1" applyFill="1" applyBorder="1" applyAlignment="1">
      <alignment horizontal="center" vertical="center" shrinkToFit="1"/>
    </xf>
    <xf numFmtId="14" fontId="9" fillId="23" borderId="4" xfId="0" applyNumberFormat="1" applyFont="1" applyFill="1" applyBorder="1" applyAlignment="1">
      <alignment horizontal="center" vertical="center" shrinkToFit="1"/>
    </xf>
    <xf numFmtId="14" fontId="12" fillId="23" borderId="4" xfId="0" applyNumberFormat="1" applyFont="1" applyFill="1" applyBorder="1" applyAlignment="1">
      <alignment horizontal="center" vertical="center" shrinkToFit="1"/>
    </xf>
    <xf numFmtId="0" fontId="8" fillId="18" borderId="58" xfId="2" quotePrefix="1" applyFont="1" applyFill="1" applyBorder="1" applyAlignment="1">
      <alignment horizontal="center" vertical="center"/>
    </xf>
    <xf numFmtId="0" fontId="14" fillId="19" borderId="55" xfId="2" quotePrefix="1" applyFont="1" applyFill="1" applyBorder="1" applyAlignment="1">
      <alignment horizontal="center" vertical="center"/>
    </xf>
    <xf numFmtId="189" fontId="14" fillId="20" borderId="55" xfId="0" applyNumberFormat="1" applyFont="1" applyFill="1" applyBorder="1" applyAlignment="1">
      <alignment horizontal="center" vertical="center" shrinkToFit="1"/>
    </xf>
    <xf numFmtId="49" fontId="14" fillId="20" borderId="55" xfId="0" applyNumberFormat="1" applyFont="1" applyFill="1" applyBorder="1" applyAlignment="1">
      <alignment horizontal="center" vertical="center" shrinkToFit="1"/>
    </xf>
    <xf numFmtId="0" fontId="14" fillId="21" borderId="55" xfId="2" applyFont="1" applyFill="1" applyBorder="1" applyAlignment="1">
      <alignment horizontal="center" vertical="center"/>
    </xf>
    <xf numFmtId="0" fontId="14" fillId="21" borderId="64" xfId="2" applyFont="1" applyFill="1" applyBorder="1" applyAlignment="1">
      <alignment horizontal="center" vertical="center"/>
    </xf>
    <xf numFmtId="49" fontId="14" fillId="20" borderId="5" xfId="0" applyNumberFormat="1" applyFont="1" applyFill="1" applyBorder="1" applyAlignment="1">
      <alignment horizontal="center" vertical="center" shrinkToFit="1"/>
    </xf>
    <xf numFmtId="0" fontId="49" fillId="22" borderId="4" xfId="0" applyFont="1" applyFill="1" applyBorder="1" applyAlignment="1">
      <alignment horizontal="center" vertical="center"/>
    </xf>
    <xf numFmtId="0" fontId="42" fillId="22" borderId="4" xfId="0" applyFont="1" applyFill="1" applyBorder="1" applyAlignment="1">
      <alignment horizontal="center" vertical="center" shrinkToFit="1"/>
    </xf>
    <xf numFmtId="49" fontId="15" fillId="25" borderId="5" xfId="0" applyNumberFormat="1" applyFont="1" applyFill="1" applyBorder="1" applyAlignment="1">
      <alignment horizontal="center" vertical="center" shrinkToFit="1"/>
    </xf>
    <xf numFmtId="14" fontId="49" fillId="22" borderId="4" xfId="0" applyNumberFormat="1" applyFont="1" applyFill="1" applyBorder="1" applyAlignment="1">
      <alignment horizontal="center" vertical="center"/>
    </xf>
    <xf numFmtId="0" fontId="50" fillId="22" borderId="4" xfId="0" applyFont="1" applyFill="1" applyBorder="1" applyAlignment="1">
      <alignment horizontal="center" vertical="center" shrinkToFit="1"/>
    </xf>
    <xf numFmtId="0" fontId="51" fillId="22" borderId="4" xfId="0" applyFont="1" applyFill="1" applyBorder="1" applyAlignment="1">
      <alignment horizontal="center" vertical="center" shrinkToFit="1"/>
    </xf>
    <xf numFmtId="0" fontId="51" fillId="22" borderId="4" xfId="0" applyFont="1" applyFill="1" applyBorder="1" applyAlignment="1">
      <alignment horizontal="center" vertical="center"/>
    </xf>
    <xf numFmtId="0" fontId="51" fillId="22" borderId="4" xfId="0" applyFont="1" applyFill="1" applyBorder="1" applyAlignment="1">
      <alignment horizontal="center" vertical="center" wrapText="1"/>
    </xf>
    <xf numFmtId="0" fontId="50" fillId="22" borderId="4" xfId="0" applyFont="1" applyFill="1" applyBorder="1" applyAlignment="1">
      <alignment horizontal="center" vertical="center"/>
    </xf>
    <xf numFmtId="0" fontId="42" fillId="22" borderId="3" xfId="0" applyFont="1" applyFill="1" applyBorder="1" applyAlignment="1">
      <alignment horizontal="center" vertical="center" shrinkToFit="1"/>
    </xf>
    <xf numFmtId="0" fontId="42" fillId="22" borderId="3" xfId="0" applyFont="1" applyFill="1" applyBorder="1" applyAlignment="1">
      <alignment horizontal="center" vertical="center"/>
    </xf>
    <xf numFmtId="0" fontId="9" fillId="26" borderId="3" xfId="0" applyFont="1" applyFill="1" applyBorder="1" applyAlignment="1">
      <alignment horizontal="center" vertical="center" shrinkToFit="1"/>
    </xf>
    <xf numFmtId="0" fontId="53" fillId="22" borderId="4" xfId="0" applyFont="1" applyFill="1" applyBorder="1" applyAlignment="1">
      <alignment horizontal="center" vertical="center" shrinkToFit="1"/>
    </xf>
    <xf numFmtId="0" fontId="52" fillId="22" borderId="4" xfId="0" applyFont="1" applyFill="1" applyBorder="1" applyAlignment="1">
      <alignment horizontal="center" vertical="center" shrinkToFit="1"/>
    </xf>
    <xf numFmtId="0" fontId="53" fillId="22" borderId="4" xfId="0" applyFont="1" applyFill="1" applyBorder="1" applyAlignment="1">
      <alignment horizontal="center" vertical="center"/>
    </xf>
    <xf numFmtId="0" fontId="52" fillId="22" borderId="4" xfId="0" applyFont="1" applyFill="1" applyBorder="1" applyAlignment="1">
      <alignment horizontal="center" vertical="center"/>
    </xf>
    <xf numFmtId="1" fontId="52" fillId="26" borderId="4" xfId="3" applyNumberFormat="1" applyFont="1" applyFill="1" applyBorder="1" applyAlignment="1">
      <alignment horizontal="center" vertical="center"/>
    </xf>
    <xf numFmtId="0" fontId="52" fillId="26" borderId="4" xfId="0" applyFont="1" applyFill="1" applyBorder="1" applyAlignment="1">
      <alignment horizontal="center" vertical="center" shrinkToFit="1"/>
    </xf>
    <xf numFmtId="0" fontId="53" fillId="26" borderId="4" xfId="0" applyFont="1" applyFill="1" applyBorder="1" applyAlignment="1">
      <alignment horizontal="center" vertical="center" shrinkToFit="1"/>
    </xf>
    <xf numFmtId="0" fontId="54" fillId="22" borderId="4" xfId="0" applyFont="1" applyFill="1" applyBorder="1" applyAlignment="1">
      <alignment horizontal="center" vertical="center"/>
    </xf>
    <xf numFmtId="0" fontId="52" fillId="22" borderId="11" xfId="0" applyFont="1" applyFill="1" applyBorder="1" applyAlignment="1">
      <alignment vertical="center" shrinkToFit="1"/>
    </xf>
    <xf numFmtId="0" fontId="52" fillId="22" borderId="10" xfId="0" applyFont="1" applyFill="1" applyBorder="1" applyAlignment="1">
      <alignment horizontal="center" vertical="center" shrinkToFit="1"/>
    </xf>
    <xf numFmtId="0" fontId="53" fillId="22" borderId="1" xfId="0" applyFont="1" applyFill="1" applyBorder="1" applyAlignment="1">
      <alignment vertical="center" shrinkToFit="1"/>
    </xf>
    <xf numFmtId="0" fontId="55" fillId="22" borderId="4" xfId="0" quotePrefix="1" applyFont="1" applyFill="1" applyBorder="1" applyAlignment="1">
      <alignment horizontal="center" vertical="center" shrinkToFit="1"/>
    </xf>
    <xf numFmtId="0" fontId="52" fillId="22" borderId="3" xfId="0" applyFont="1" applyFill="1" applyBorder="1" applyAlignment="1">
      <alignment horizontal="center" vertical="center" shrinkToFit="1"/>
    </xf>
    <xf numFmtId="0" fontId="52" fillId="22" borderId="1" xfId="0" applyFont="1" applyFill="1" applyBorder="1" applyAlignment="1">
      <alignment vertical="center" shrinkToFit="1"/>
    </xf>
    <xf numFmtId="0" fontId="52" fillId="22" borderId="65" xfId="0" applyFont="1" applyFill="1" applyBorder="1" applyAlignment="1">
      <alignment horizontal="center" vertical="center" shrinkToFit="1"/>
    </xf>
    <xf numFmtId="0" fontId="52" fillId="9" borderId="4" xfId="2" quotePrefix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56" fillId="0" borderId="0" xfId="0" applyFont="1"/>
    <xf numFmtId="189" fontId="52" fillId="39" borderId="4" xfId="0" applyNumberFormat="1" applyFont="1" applyFill="1" applyBorder="1" applyAlignment="1">
      <alignment horizontal="center" vertical="center" shrinkToFit="1"/>
    </xf>
    <xf numFmtId="49" fontId="52" fillId="39" borderId="4" xfId="0" applyNumberFormat="1" applyFont="1" applyFill="1" applyBorder="1" applyAlignment="1">
      <alignment horizontal="center" vertical="center" shrinkToFit="1"/>
    </xf>
    <xf numFmtId="0" fontId="52" fillId="38" borderId="5" xfId="2" applyFont="1" applyFill="1" applyBorder="1" applyAlignment="1">
      <alignment horizontal="center" vertical="center"/>
    </xf>
    <xf numFmtId="0" fontId="52" fillId="27" borderId="0" xfId="0" applyFont="1" applyFill="1" applyAlignment="1">
      <alignment horizontal="center" vertical="center"/>
    </xf>
    <xf numFmtId="0" fontId="52" fillId="23" borderId="6" xfId="0" applyFont="1" applyFill="1" applyBorder="1" applyAlignment="1">
      <alignment horizontal="center" vertical="center" wrapText="1"/>
    </xf>
    <xf numFmtId="0" fontId="52" fillId="23" borderId="0" xfId="0" applyFont="1" applyFill="1" applyAlignment="1">
      <alignment horizontal="center" vertical="center"/>
    </xf>
  </cellXfs>
  <cellStyles count="11">
    <cellStyle name="Comma" xfId="1" builtinId="3"/>
    <cellStyle name="Hyperlink" xfId="5" builtinId="8"/>
    <cellStyle name="Normal" xfId="0" builtinId="0"/>
    <cellStyle name="Normal 2 2" xfId="6" xr:uid="{1F5695CF-8B3B-48D0-82B0-925AF7A07F3D}"/>
    <cellStyle name="Normal 2 4" xfId="10" xr:uid="{095B6D9C-4E70-4825-A931-5070A45B5DF4}"/>
    <cellStyle name="Normal 3" xfId="9" xr:uid="{1012AA93-35A6-450E-A4A2-701723CB5D7F}"/>
    <cellStyle name="Normal 4 2 3" xfId="7" xr:uid="{3AFBEAF2-F095-46F1-9BEB-B8251A42B1F4}"/>
    <cellStyle name="S0" xfId="2" xr:uid="{97D42517-5545-4C36-9809-F324D51FC8F4}"/>
    <cellStyle name="S4" xfId="3" xr:uid="{2322DD17-17A5-4DA4-A59E-94DF3AD72240}"/>
    <cellStyle name="S6" xfId="4" xr:uid="{E701FB6A-4B41-40A8-979D-6D24CA162269}"/>
    <cellStyle name="ปกติ 2" xfId="8" xr:uid="{F586EA7E-B6AF-4AC8-A7EA-D69A8F77CEF4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colors>
    <mruColors>
      <color rgb="FFFFFFCC"/>
      <color rgb="FF00FFFF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[1]Sheet4!$C$2</c:f>
              <c:strCache>
                <c:ptCount val="1"/>
                <c:pt idx="0">
                  <c:v>จำนวน(ป้าย)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5A-47DB-A09F-5695C4F74C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5A-47DB-A09F-5695C4F74C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5A-47DB-A09F-5695C4F74C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5A-47DB-A09F-5695C4F74C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F5A-47DB-A09F-5695C4F74C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[1]Sheet4!$A$3:$B$7</c:f>
              <c:multiLvlStrCache>
                <c:ptCount val="5"/>
                <c:lvl>
                  <c:pt idx="0">
                    <c:v>สายไฟฟ้าช๊อตใต้ดิน</c:v>
                  </c:pt>
                  <c:pt idx="1">
                    <c:v>สายไฟฟ้าถูกโจรกรรม</c:v>
                  </c:pt>
                  <c:pt idx="2">
                    <c:v>การไฟฟ้า</c:v>
                  </c:pt>
                  <c:pt idx="3">
                    <c:v>โดนถอดมิเตอร์</c:v>
                  </c:pt>
                  <c:pt idx="4">
                    <c:v>เขตก่อสร้าง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</c:lvl>
              </c:multiLvlStrCache>
            </c:multiLvlStrRef>
          </c:cat>
          <c:val>
            <c:numRef>
              <c:f>[1]Sheet4!$C$3:$C$7</c:f>
              <c:numCache>
                <c:formatCode>General</c:formatCode>
                <c:ptCount val="5"/>
                <c:pt idx="0">
                  <c:v>9</c:v>
                </c:pt>
                <c:pt idx="1">
                  <c:v>12</c:v>
                </c:pt>
                <c:pt idx="2">
                  <c:v>19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5A-47DB-A09F-5695C4F74C8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จำนวน(</a:t>
            </a:r>
            <a:r>
              <a:rPr lang="en-US"/>
              <a:t>49</a:t>
            </a:r>
            <a:r>
              <a:rPr lang="th-TH"/>
              <a:t>ป้าย)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[1]Sheet4!$C$29</c:f>
              <c:strCache>
                <c:ptCount val="1"/>
                <c:pt idx="0">
                  <c:v>จำนวน(ป้าย)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B64-4D32-9ED7-4E4088037C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[1]Sheet4!$B$30:$B$31</c:f>
              <c:strCache>
                <c:ptCount val="2"/>
                <c:pt idx="0">
                  <c:v>อยู่ใน SLA</c:v>
                </c:pt>
                <c:pt idx="1">
                  <c:v>เกิน SLA</c:v>
                </c:pt>
              </c:strCache>
            </c:strRef>
          </c:cat>
          <c:val>
            <c:numRef>
              <c:f>[1]Sheet4!$C$30:$C$31</c:f>
              <c:numCache>
                <c:formatCode>General</c:formatCode>
                <c:ptCount val="2"/>
                <c:pt idx="0">
                  <c:v>40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64-4D32-9ED7-4E4088037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497501151"/>
        <c:axId val="1627213855"/>
      </c:barChart>
      <c:catAx>
        <c:axId val="14975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27213855"/>
        <c:crosses val="autoZero"/>
        <c:auto val="1"/>
        <c:lblAlgn val="ctr"/>
        <c:lblOffset val="100"/>
        <c:noMultiLvlLbl val="0"/>
      </c:catAx>
      <c:valAx>
        <c:axId val="1627213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9750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แสดงจำนวน</a:t>
            </a:r>
            <a:r>
              <a:rPr lang="th-TH" baseline="0"/>
              <a:t> </a:t>
            </a:r>
            <a:r>
              <a:rPr lang="en-US" baseline="0"/>
              <a:t>Cookies </a:t>
            </a:r>
            <a:r>
              <a:rPr lang="th-TH" baseline="0"/>
              <a:t>และศาลาไฟดับ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[1]Sheet4!$A$20:$B$20</c:f>
              <c:strCache>
                <c:ptCount val="1"/>
                <c:pt idx="0">
                  <c:v>1 cookies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[1]Sheet4!$C$19:$F$19</c:f>
              <c:strCache>
                <c:ptCount val="4"/>
                <c:pt idx="0">
                  <c:v>ไฟดับ</c:v>
                </c:pt>
                <c:pt idx="1">
                  <c:v>ไฟติดแล้ว</c:v>
                </c:pt>
                <c:pt idx="2">
                  <c:v>รอไฟติด</c:v>
                </c:pt>
                <c:pt idx="3">
                  <c:v>ป้ายโดนรื้อถอน</c:v>
                </c:pt>
              </c:strCache>
            </c:strRef>
          </c:cat>
          <c:val>
            <c:numRef>
              <c:f>[1]Sheet4!$C$20:$F$20</c:f>
              <c:numCache>
                <c:formatCode>General</c:formatCode>
                <c:ptCount val="4"/>
                <c:pt idx="0">
                  <c:v>46</c:v>
                </c:pt>
                <c:pt idx="1">
                  <c:v>12</c:v>
                </c:pt>
                <c:pt idx="2">
                  <c:v>32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D-4052-82AE-E288CBD299BC}"/>
            </c:ext>
          </c:extLst>
        </c:ser>
        <c:ser>
          <c:idx val="1"/>
          <c:order val="1"/>
          <c:tx>
            <c:strRef>
              <c:f>[1]Sheet4!$A$21:$B$21</c:f>
              <c:strCache>
                <c:ptCount val="1"/>
                <c:pt idx="0">
                  <c:v>2 ศาลา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[1]Sheet4!$C$19:$F$19</c:f>
              <c:strCache>
                <c:ptCount val="4"/>
                <c:pt idx="0">
                  <c:v>ไฟดับ</c:v>
                </c:pt>
                <c:pt idx="1">
                  <c:v>ไฟติดแล้ว</c:v>
                </c:pt>
                <c:pt idx="2">
                  <c:v>รอไฟติด</c:v>
                </c:pt>
                <c:pt idx="3">
                  <c:v>ป้ายโดนรื้อถอน</c:v>
                </c:pt>
              </c:strCache>
            </c:strRef>
          </c:cat>
          <c:val>
            <c:numRef>
              <c:f>[1]Sheet4!$C$21:$F$21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D-4052-82AE-E288CBD29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19130847"/>
        <c:axId val="1663691551"/>
      </c:barChart>
      <c:catAx>
        <c:axId val="151913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63691551"/>
        <c:crosses val="autoZero"/>
        <c:auto val="1"/>
        <c:lblAlgn val="ctr"/>
        <c:lblOffset val="100"/>
        <c:noMultiLvlLbl val="0"/>
      </c:catAx>
      <c:valAx>
        <c:axId val="1663691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1913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2</xdr:row>
      <xdr:rowOff>9525</xdr:rowOff>
    </xdr:from>
    <xdr:to>
      <xdr:col>0</xdr:col>
      <xdr:colOff>1762314</xdr:colOff>
      <xdr:row>7</xdr:row>
      <xdr:rowOff>171639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C4D3EC-0175-484B-B76E-13BE04141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0525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2</xdr:row>
      <xdr:rowOff>9525</xdr:rowOff>
    </xdr:from>
    <xdr:to>
      <xdr:col>1</xdr:col>
      <xdr:colOff>2070289</xdr:colOff>
      <xdr:row>7</xdr:row>
      <xdr:rowOff>171639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03CD8D-8B9B-4944-858A-A59C2DC1F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2350" y="485775"/>
          <a:ext cx="1346389" cy="1352739"/>
        </a:xfrm>
        <a:prstGeom prst="rect">
          <a:avLst/>
        </a:prstGeom>
      </xdr:spPr>
    </xdr:pic>
    <xdr:clientData/>
  </xdr:twoCellAnchor>
  <xdr:twoCellAnchor editAs="oneCell">
    <xdr:from>
      <xdr:col>2</xdr:col>
      <xdr:colOff>657225</xdr:colOff>
      <xdr:row>2</xdr:row>
      <xdr:rowOff>0</xdr:rowOff>
    </xdr:from>
    <xdr:to>
      <xdr:col>2</xdr:col>
      <xdr:colOff>1997264</xdr:colOff>
      <xdr:row>7</xdr:row>
      <xdr:rowOff>162114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7F34C8-4786-4B49-A7C1-0DFDA2F9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476250"/>
          <a:ext cx="1340039" cy="1352739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704850</xdr:colOff>
      <xdr:row>2</xdr:row>
      <xdr:rowOff>0</xdr:rowOff>
    </xdr:from>
    <xdr:to>
      <xdr:col>3</xdr:col>
      <xdr:colOff>2057589</xdr:colOff>
      <xdr:row>7</xdr:row>
      <xdr:rowOff>162114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8E038A-9023-4540-93EF-DFAC89C6A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0200" y="476250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4</xdr:col>
      <xdr:colOff>790575</xdr:colOff>
      <xdr:row>2</xdr:row>
      <xdr:rowOff>9525</xdr:rowOff>
    </xdr:from>
    <xdr:to>
      <xdr:col>4</xdr:col>
      <xdr:colOff>2143314</xdr:colOff>
      <xdr:row>7</xdr:row>
      <xdr:rowOff>171639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881A580-29CC-496F-809A-748223B9A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4375" y="485775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4</xdr:col>
      <xdr:colOff>723900</xdr:colOff>
      <xdr:row>13</xdr:row>
      <xdr:rowOff>9525</xdr:rowOff>
    </xdr:from>
    <xdr:to>
      <xdr:col>4</xdr:col>
      <xdr:colOff>2076639</xdr:colOff>
      <xdr:row>18</xdr:row>
      <xdr:rowOff>171639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1845860-B1C9-40BB-BF6F-B9EBAB5D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7700" y="3105150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13</xdr:row>
      <xdr:rowOff>19050</xdr:rowOff>
    </xdr:from>
    <xdr:to>
      <xdr:col>3</xdr:col>
      <xdr:colOff>2009964</xdr:colOff>
      <xdr:row>18</xdr:row>
      <xdr:rowOff>181164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940A7A5-9E8F-47C4-96A6-B5CDC4501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575" y="3114675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13</xdr:row>
      <xdr:rowOff>0</xdr:rowOff>
    </xdr:from>
    <xdr:to>
      <xdr:col>2</xdr:col>
      <xdr:colOff>2076639</xdr:colOff>
      <xdr:row>18</xdr:row>
      <xdr:rowOff>162114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9CA2A11-6AAD-4D3B-BB47-6339F04C0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3095625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13</xdr:row>
      <xdr:rowOff>9525</xdr:rowOff>
    </xdr:from>
    <xdr:to>
      <xdr:col>1</xdr:col>
      <xdr:colOff>2038539</xdr:colOff>
      <xdr:row>18</xdr:row>
      <xdr:rowOff>171639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962509A-963A-40EB-9EE6-87E116E38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0" y="3105150"/>
          <a:ext cx="1352739" cy="1352739"/>
        </a:xfrm>
        <a:prstGeom prst="rect">
          <a:avLst/>
        </a:prstGeom>
      </xdr:spPr>
    </xdr:pic>
    <xdr:clientData/>
  </xdr:twoCellAnchor>
  <xdr:twoCellAnchor editAs="oneCell">
    <xdr:from>
      <xdr:col>0</xdr:col>
      <xdr:colOff>447675</xdr:colOff>
      <xdr:row>13</xdr:row>
      <xdr:rowOff>9525</xdr:rowOff>
    </xdr:from>
    <xdr:to>
      <xdr:col>0</xdr:col>
      <xdr:colOff>1800414</xdr:colOff>
      <xdr:row>18</xdr:row>
      <xdr:rowOff>171639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000EFA9-0456-4E07-932B-102F3A78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3105150"/>
          <a:ext cx="1352739" cy="1352739"/>
        </a:xfrm>
        <a:prstGeom prst="rect">
          <a:avLst/>
        </a:prstGeom>
      </xdr:spPr>
    </xdr:pic>
    <xdr:clientData/>
  </xdr:twoCellAnchor>
  <xdr:oneCellAnchor>
    <xdr:from>
      <xdr:col>0</xdr:col>
      <xdr:colOff>409575</xdr:colOff>
      <xdr:row>23</xdr:row>
      <xdr:rowOff>9525</xdr:rowOff>
    </xdr:from>
    <xdr:ext cx="1352739" cy="1352739"/>
    <xdr:pic>
      <xdr:nvPicPr>
        <xdr:cNvPr id="13" name="Picture 12">
          <a:extLst>
            <a:ext uri="{FF2B5EF4-FFF2-40B4-BE49-F238E27FC236}">
              <a16:creationId xmlns:a16="http://schemas.microsoft.com/office/drawing/2014/main" id="{1EE2F7CF-48B7-445D-8CE1-182185AA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485775"/>
          <a:ext cx="1352739" cy="1352739"/>
        </a:xfrm>
        <a:prstGeom prst="rect">
          <a:avLst/>
        </a:prstGeom>
      </xdr:spPr>
    </xdr:pic>
    <xdr:clientData/>
  </xdr:oneCellAnchor>
  <xdr:oneCellAnchor>
    <xdr:from>
      <xdr:col>1</xdr:col>
      <xdr:colOff>723900</xdr:colOff>
      <xdr:row>23</xdr:row>
      <xdr:rowOff>9525</xdr:rowOff>
    </xdr:from>
    <xdr:ext cx="1346389" cy="1352739"/>
    <xdr:pic>
      <xdr:nvPicPr>
        <xdr:cNvPr id="16" name="Picture 15">
          <a:extLst>
            <a:ext uri="{FF2B5EF4-FFF2-40B4-BE49-F238E27FC236}">
              <a16:creationId xmlns:a16="http://schemas.microsoft.com/office/drawing/2014/main" id="{5B33888F-CAF9-40D2-A9AE-53746DC5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4900" y="485775"/>
          <a:ext cx="1346389" cy="1352739"/>
        </a:xfrm>
        <a:prstGeom prst="rect">
          <a:avLst/>
        </a:prstGeom>
      </xdr:spPr>
    </xdr:pic>
    <xdr:clientData/>
  </xdr:oneCellAnchor>
  <xdr:oneCellAnchor>
    <xdr:from>
      <xdr:col>2</xdr:col>
      <xdr:colOff>657225</xdr:colOff>
      <xdr:row>23</xdr:row>
      <xdr:rowOff>0</xdr:rowOff>
    </xdr:from>
    <xdr:ext cx="1340039" cy="1352739"/>
    <xdr:pic>
      <xdr:nvPicPr>
        <xdr:cNvPr id="20" name="Picture 19">
          <a:extLst>
            <a:ext uri="{FF2B5EF4-FFF2-40B4-BE49-F238E27FC236}">
              <a16:creationId xmlns:a16="http://schemas.microsoft.com/office/drawing/2014/main" id="{1364F619-130F-4FE0-906F-7B87EF49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9225" y="476250"/>
          <a:ext cx="1340039" cy="1352739"/>
        </a:xfrm>
        <a:prstGeom prst="rect">
          <a:avLst/>
        </a:prstGeom>
      </xdr:spPr>
    </xdr:pic>
    <xdr:clientData/>
  </xdr:oneCellAnchor>
  <xdr:oneCellAnchor>
    <xdr:from>
      <xdr:col>3</xdr:col>
      <xdr:colOff>704850</xdr:colOff>
      <xdr:row>23</xdr:row>
      <xdr:rowOff>0</xdr:rowOff>
    </xdr:from>
    <xdr:ext cx="1352739" cy="1352739"/>
    <xdr:pic>
      <xdr:nvPicPr>
        <xdr:cNvPr id="21" name="Picture 20">
          <a:extLst>
            <a:ext uri="{FF2B5EF4-FFF2-40B4-BE49-F238E27FC236}">
              <a16:creationId xmlns:a16="http://schemas.microsoft.com/office/drawing/2014/main" id="{88A72135-3D5B-4478-8E38-A2CB1411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850" y="476250"/>
          <a:ext cx="1352739" cy="1352739"/>
        </a:xfrm>
        <a:prstGeom prst="rect">
          <a:avLst/>
        </a:prstGeom>
      </xdr:spPr>
    </xdr:pic>
    <xdr:clientData/>
  </xdr:oneCellAnchor>
  <xdr:oneCellAnchor>
    <xdr:from>
      <xdr:col>4</xdr:col>
      <xdr:colOff>790575</xdr:colOff>
      <xdr:row>23</xdr:row>
      <xdr:rowOff>9525</xdr:rowOff>
    </xdr:from>
    <xdr:ext cx="1352739" cy="1352739"/>
    <xdr:pic>
      <xdr:nvPicPr>
        <xdr:cNvPr id="22" name="Picture 21">
          <a:extLst>
            <a:ext uri="{FF2B5EF4-FFF2-40B4-BE49-F238E27FC236}">
              <a16:creationId xmlns:a16="http://schemas.microsoft.com/office/drawing/2014/main" id="{E4A524F8-C819-4EEE-9D1A-E34ACE2A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4575" y="485775"/>
          <a:ext cx="1352739" cy="1352739"/>
        </a:xfrm>
        <a:prstGeom prst="rect">
          <a:avLst/>
        </a:prstGeom>
      </xdr:spPr>
    </xdr:pic>
    <xdr:clientData/>
  </xdr:oneCellAnchor>
  <xdr:oneCellAnchor>
    <xdr:from>
      <xdr:col>4</xdr:col>
      <xdr:colOff>723900</xdr:colOff>
      <xdr:row>34</xdr:row>
      <xdr:rowOff>9525</xdr:rowOff>
    </xdr:from>
    <xdr:ext cx="1352739" cy="1352739"/>
    <xdr:pic>
      <xdr:nvPicPr>
        <xdr:cNvPr id="23" name="Picture 22">
          <a:extLst>
            <a:ext uri="{FF2B5EF4-FFF2-40B4-BE49-F238E27FC236}">
              <a16:creationId xmlns:a16="http://schemas.microsoft.com/office/drawing/2014/main" id="{50DD8AED-123C-4A6F-96B9-A91F4BE12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7900" y="3105150"/>
          <a:ext cx="1352739" cy="1352739"/>
        </a:xfrm>
        <a:prstGeom prst="rect">
          <a:avLst/>
        </a:prstGeom>
      </xdr:spPr>
    </xdr:pic>
    <xdr:clientData/>
  </xdr:oneCellAnchor>
  <xdr:oneCellAnchor>
    <xdr:from>
      <xdr:col>3</xdr:col>
      <xdr:colOff>657225</xdr:colOff>
      <xdr:row>34</xdr:row>
      <xdr:rowOff>19050</xdr:rowOff>
    </xdr:from>
    <xdr:ext cx="1352739" cy="1352739"/>
    <xdr:pic>
      <xdr:nvPicPr>
        <xdr:cNvPr id="24" name="Picture 23">
          <a:extLst>
            <a:ext uri="{FF2B5EF4-FFF2-40B4-BE49-F238E27FC236}">
              <a16:creationId xmlns:a16="http://schemas.microsoft.com/office/drawing/2014/main" id="{FAB99839-FD6F-4AD1-8D3A-576BC37C8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225" y="3114675"/>
          <a:ext cx="1352739" cy="1352739"/>
        </a:xfrm>
        <a:prstGeom prst="rect">
          <a:avLst/>
        </a:prstGeom>
      </xdr:spPr>
    </xdr:pic>
    <xdr:clientData/>
  </xdr:oneCellAnchor>
  <xdr:oneCellAnchor>
    <xdr:from>
      <xdr:col>2</xdr:col>
      <xdr:colOff>723900</xdr:colOff>
      <xdr:row>34</xdr:row>
      <xdr:rowOff>0</xdr:rowOff>
    </xdr:from>
    <xdr:ext cx="1352739" cy="1352739"/>
    <xdr:pic>
      <xdr:nvPicPr>
        <xdr:cNvPr id="25" name="Picture 24">
          <a:extLst>
            <a:ext uri="{FF2B5EF4-FFF2-40B4-BE49-F238E27FC236}">
              <a16:creationId xmlns:a16="http://schemas.microsoft.com/office/drawing/2014/main" id="{AC122A28-2128-46BE-9459-F60D4AB0B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5900" y="3095625"/>
          <a:ext cx="1352739" cy="1352739"/>
        </a:xfrm>
        <a:prstGeom prst="rect">
          <a:avLst/>
        </a:prstGeom>
      </xdr:spPr>
    </xdr:pic>
    <xdr:clientData/>
  </xdr:oneCellAnchor>
  <xdr:oneCellAnchor>
    <xdr:from>
      <xdr:col>1</xdr:col>
      <xdr:colOff>685800</xdr:colOff>
      <xdr:row>34</xdr:row>
      <xdr:rowOff>9525</xdr:rowOff>
    </xdr:from>
    <xdr:ext cx="1352739" cy="1352739"/>
    <xdr:pic>
      <xdr:nvPicPr>
        <xdr:cNvPr id="26" name="Picture 25">
          <a:extLst>
            <a:ext uri="{FF2B5EF4-FFF2-40B4-BE49-F238E27FC236}">
              <a16:creationId xmlns:a16="http://schemas.microsoft.com/office/drawing/2014/main" id="{39F6F48F-7215-41A1-8C26-29D3CFCE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6800" y="3105150"/>
          <a:ext cx="1352739" cy="1352739"/>
        </a:xfrm>
        <a:prstGeom prst="rect">
          <a:avLst/>
        </a:prstGeom>
      </xdr:spPr>
    </xdr:pic>
    <xdr:clientData/>
  </xdr:oneCellAnchor>
  <xdr:oneCellAnchor>
    <xdr:from>
      <xdr:col>0</xdr:col>
      <xdr:colOff>447675</xdr:colOff>
      <xdr:row>34</xdr:row>
      <xdr:rowOff>9525</xdr:rowOff>
    </xdr:from>
    <xdr:ext cx="1352739" cy="1352739"/>
    <xdr:pic>
      <xdr:nvPicPr>
        <xdr:cNvPr id="27" name="Picture 26">
          <a:extLst>
            <a:ext uri="{FF2B5EF4-FFF2-40B4-BE49-F238E27FC236}">
              <a16:creationId xmlns:a16="http://schemas.microsoft.com/office/drawing/2014/main" id="{0B6A223C-ED53-4753-AE01-4C869ACDB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3105150"/>
          <a:ext cx="1352739" cy="135273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0</xdr:row>
      <xdr:rowOff>0</xdr:rowOff>
    </xdr:from>
    <xdr:to>
      <xdr:col>13</xdr:col>
      <xdr:colOff>390525</xdr:colOff>
      <xdr:row>9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726128-819E-43CC-9D90-A05C98D5E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180975</xdr:colOff>
      <xdr:row>30</xdr:row>
      <xdr:rowOff>23812</xdr:rowOff>
    </xdr:from>
    <xdr:to>
      <xdr:col>9</xdr:col>
      <xdr:colOff>352425</xdr:colOff>
      <xdr:row>44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318F76-C103-4FF0-A31D-378D276623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</xdr:colOff>
      <xdr:row>16</xdr:row>
      <xdr:rowOff>4762</xdr:rowOff>
    </xdr:from>
    <xdr:to>
      <xdr:col>14</xdr:col>
      <xdr:colOff>309562</xdr:colOff>
      <xdr:row>30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0396C4-8D15-4627-B9C0-362EA7DF4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19</xdr:row>
      <xdr:rowOff>0</xdr:rowOff>
    </xdr:from>
    <xdr:to>
      <xdr:col>10</xdr:col>
      <xdr:colOff>228600</xdr:colOff>
      <xdr:row>20</xdr:row>
      <xdr:rowOff>57150</xdr:rowOff>
    </xdr:to>
    <xdr:sp macro="" textlink="">
      <xdr:nvSpPr>
        <xdr:cNvPr id="5" name="Flowchart: Direct Access Storage 4">
          <a:extLst>
            <a:ext uri="{FF2B5EF4-FFF2-40B4-BE49-F238E27FC236}">
              <a16:creationId xmlns:a16="http://schemas.microsoft.com/office/drawing/2014/main" id="{965645BC-BFEC-4C0B-A6AA-FB511A9BD3FC}"/>
            </a:ext>
          </a:extLst>
        </xdr:cNvPr>
        <xdr:cNvSpPr/>
      </xdr:nvSpPr>
      <xdr:spPr>
        <a:xfrm>
          <a:off x="5133975" y="1162050"/>
          <a:ext cx="180975" cy="200025"/>
        </a:xfrm>
        <a:prstGeom prst="flowChartMagneticDru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19050</xdr:colOff>
      <xdr:row>19</xdr:row>
      <xdr:rowOff>0</xdr:rowOff>
    </xdr:from>
    <xdr:to>
      <xdr:col>14</xdr:col>
      <xdr:colOff>200025</xdr:colOff>
      <xdr:row>20</xdr:row>
      <xdr:rowOff>57150</xdr:rowOff>
    </xdr:to>
    <xdr:sp macro="" textlink="">
      <xdr:nvSpPr>
        <xdr:cNvPr id="6" name="Flowchart: Direct Access Storage 5">
          <a:extLst>
            <a:ext uri="{FF2B5EF4-FFF2-40B4-BE49-F238E27FC236}">
              <a16:creationId xmlns:a16="http://schemas.microsoft.com/office/drawing/2014/main" id="{DCD579B6-9B21-4C27-95E3-5CF1E63702D3}"/>
            </a:ext>
          </a:extLst>
        </xdr:cNvPr>
        <xdr:cNvSpPr/>
      </xdr:nvSpPr>
      <xdr:spPr>
        <a:xfrm>
          <a:off x="6877050" y="1162050"/>
          <a:ext cx="180975" cy="200025"/>
        </a:xfrm>
        <a:prstGeom prst="flowChartMagneticDru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19050</xdr:colOff>
      <xdr:row>29</xdr:row>
      <xdr:rowOff>19050</xdr:rowOff>
    </xdr:from>
    <xdr:to>
      <xdr:col>10</xdr:col>
      <xdr:colOff>247650</xdr:colOff>
      <xdr:row>29</xdr:row>
      <xdr:rowOff>152400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1225B04-3774-43F4-B05B-22016EDDC52A}"/>
            </a:ext>
          </a:extLst>
        </xdr:cNvPr>
        <xdr:cNvCxnSpPr/>
      </xdr:nvCxnSpPr>
      <xdr:spPr>
        <a:xfrm flipV="1">
          <a:off x="5105400" y="2809875"/>
          <a:ext cx="228600" cy="133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53935</xdr:colOff>
      <xdr:row>12</xdr:row>
      <xdr:rowOff>69890</xdr:rowOff>
    </xdr:from>
    <xdr:ext cx="201915" cy="44313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E57E72-5F5F-493E-81A5-11AC7A7137ED}"/>
            </a:ext>
          </a:extLst>
        </xdr:cNvPr>
        <xdr:cNvSpPr txBox="1"/>
      </xdr:nvSpPr>
      <xdr:spPr>
        <a:xfrm rot="16200000">
          <a:off x="5915025" y="2524125"/>
          <a:ext cx="443135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700"/>
            <a:t>DP</a:t>
          </a:r>
          <a:r>
            <a:rPr lang="en-US" sz="700" baseline="0"/>
            <a:t> 001</a:t>
          </a:r>
          <a:endParaRPr lang="en-US" sz="700"/>
        </a:p>
      </xdr:txBody>
    </xdr:sp>
    <xdr:clientData/>
  </xdr:oneCellAnchor>
  <xdr:twoCellAnchor>
    <xdr:from>
      <xdr:col>17</xdr:col>
      <xdr:colOff>19050</xdr:colOff>
      <xdr:row>18</xdr:row>
      <xdr:rowOff>133350</xdr:rowOff>
    </xdr:from>
    <xdr:to>
      <xdr:col>17</xdr:col>
      <xdr:colOff>200025</xdr:colOff>
      <xdr:row>20</xdr:row>
      <xdr:rowOff>47625</xdr:rowOff>
    </xdr:to>
    <xdr:sp macro="" textlink="">
      <xdr:nvSpPr>
        <xdr:cNvPr id="10" name="Flowchart: Direct Access Storage 9">
          <a:extLst>
            <a:ext uri="{FF2B5EF4-FFF2-40B4-BE49-F238E27FC236}">
              <a16:creationId xmlns:a16="http://schemas.microsoft.com/office/drawing/2014/main" id="{AE5195E3-03EC-4424-9731-1839681B810F}"/>
            </a:ext>
          </a:extLst>
        </xdr:cNvPr>
        <xdr:cNvSpPr/>
      </xdr:nvSpPr>
      <xdr:spPr>
        <a:xfrm>
          <a:off x="8534400" y="3714750"/>
          <a:ext cx="180975" cy="200025"/>
        </a:xfrm>
        <a:prstGeom prst="flowChartMagneticDru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20</xdr:col>
      <xdr:colOff>180975</xdr:colOff>
      <xdr:row>20</xdr:row>
      <xdr:rowOff>57150</xdr:rowOff>
    </xdr:to>
    <xdr:sp macro="" textlink="">
      <xdr:nvSpPr>
        <xdr:cNvPr id="11" name="Flowchart: Direct Access Storage 10">
          <a:extLst>
            <a:ext uri="{FF2B5EF4-FFF2-40B4-BE49-F238E27FC236}">
              <a16:creationId xmlns:a16="http://schemas.microsoft.com/office/drawing/2014/main" id="{C4C1E0D4-8EED-49D2-9E4F-D9DA8A64420B}"/>
            </a:ext>
          </a:extLst>
        </xdr:cNvPr>
        <xdr:cNvSpPr/>
      </xdr:nvSpPr>
      <xdr:spPr>
        <a:xfrm>
          <a:off x="9782175" y="3724275"/>
          <a:ext cx="180975" cy="200025"/>
        </a:xfrm>
        <a:prstGeom prst="flowChartMagneticDrum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209551</xdr:colOff>
      <xdr:row>2</xdr:row>
      <xdr:rowOff>1</xdr:rowOff>
    </xdr:from>
    <xdr:to>
      <xdr:col>21</xdr:col>
      <xdr:colOff>171451</xdr:colOff>
      <xdr:row>14</xdr:row>
      <xdr:rowOff>9526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F11CB78-C44A-4B12-8DB9-654D2A3A9537}"/>
            </a:ext>
          </a:extLst>
        </xdr:cNvPr>
        <xdr:cNvSpPr/>
      </xdr:nvSpPr>
      <xdr:spPr>
        <a:xfrm>
          <a:off x="8267701" y="400051"/>
          <a:ext cx="2076450" cy="24193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323850</xdr:colOff>
      <xdr:row>2</xdr:row>
      <xdr:rowOff>76200</xdr:rowOff>
    </xdr:from>
    <xdr:to>
      <xdr:col>21</xdr:col>
      <xdr:colOff>85725</xdr:colOff>
      <xdr:row>13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E3C6E6D-6602-4CBE-8ABC-5CD839AA4E47}"/>
            </a:ext>
          </a:extLst>
        </xdr:cNvPr>
        <xdr:cNvSpPr/>
      </xdr:nvSpPr>
      <xdr:spPr>
        <a:xfrm>
          <a:off x="8382000" y="476250"/>
          <a:ext cx="1876425" cy="2238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ECK%20SHEET\BD%20UPDATE\BD%20UPDATE%2011-9-20\&#3614;&#3637;&#3656;&#3648;&#3604;&#3656;&#3609;&#3626;&#3656;&#3591;\Update%20Cookies&amp;&#3624;&#3634;&#3621;&#3634;\&#3649;&#3585;&#3657;&#3652;&#3586;&#3652;&#3615;&#3604;&#3633;&#3610;\&#3626;&#3656;&#3591;&#3629;&#3640;&#3658;\Update%20&#3652;&#3615;&#3615;&#3657;&#3634;202303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1"/>
      <sheetName val="2022"/>
      <sheetName val="Cookies"/>
      <sheetName val="สุ่งอุ๊"/>
      <sheetName val="Sheet4"/>
      <sheetName val="Sheet3"/>
      <sheetName val="Sheet1"/>
      <sheetName val="Sheet2"/>
      <sheetName val="ศาลา"/>
    </sheetNames>
    <sheetDataSet>
      <sheetData sheetId="0"/>
      <sheetData sheetId="1"/>
      <sheetData sheetId="2"/>
      <sheetData sheetId="3"/>
      <sheetData sheetId="4">
        <row r="2">
          <cell r="C2" t="str">
            <v>จำนวน(ป้าย)</v>
          </cell>
        </row>
        <row r="3">
          <cell r="A3">
            <v>1</v>
          </cell>
          <cell r="B3" t="str">
            <v>สายไฟฟ้าช๊อตใต้ดิน</v>
          </cell>
          <cell r="C3">
            <v>9</v>
          </cell>
        </row>
        <row r="4">
          <cell r="A4">
            <v>2</v>
          </cell>
          <cell r="B4" t="str">
            <v>สายไฟฟ้าถูกโจรกรรม</v>
          </cell>
          <cell r="C4">
            <v>12</v>
          </cell>
        </row>
        <row r="5">
          <cell r="A5">
            <v>3</v>
          </cell>
          <cell r="B5" t="str">
            <v>การไฟฟ้า</v>
          </cell>
          <cell r="C5">
            <v>19</v>
          </cell>
        </row>
        <row r="6">
          <cell r="A6">
            <v>4</v>
          </cell>
          <cell r="B6" t="str">
            <v>โดนถอดมิเตอร์</v>
          </cell>
          <cell r="C6">
            <v>2</v>
          </cell>
        </row>
        <row r="7">
          <cell r="A7">
            <v>5</v>
          </cell>
          <cell r="B7" t="str">
            <v>เขตก่อสร้าง</v>
          </cell>
          <cell r="C7">
            <v>4</v>
          </cell>
        </row>
        <row r="19">
          <cell r="C19" t="str">
            <v>ไฟดับ</v>
          </cell>
          <cell r="D19" t="str">
            <v>ไฟติดแล้ว</v>
          </cell>
          <cell r="E19" t="str">
            <v>รอไฟติด</v>
          </cell>
          <cell r="F19" t="str">
            <v>ป้ายโดนรื้อถอน</v>
          </cell>
        </row>
        <row r="20">
          <cell r="A20">
            <v>1</v>
          </cell>
          <cell r="B20" t="str">
            <v>cookies</v>
          </cell>
          <cell r="C20">
            <v>46</v>
          </cell>
          <cell r="D20">
            <v>12</v>
          </cell>
          <cell r="E20">
            <v>32</v>
          </cell>
          <cell r="F20">
            <v>2</v>
          </cell>
        </row>
        <row r="21">
          <cell r="A21">
            <v>2</v>
          </cell>
          <cell r="B21" t="str">
            <v>ศาลา</v>
          </cell>
          <cell r="C21">
            <v>3</v>
          </cell>
          <cell r="D21">
            <v>1</v>
          </cell>
          <cell r="E21">
            <v>3</v>
          </cell>
          <cell r="F21">
            <v>0</v>
          </cell>
        </row>
        <row r="29">
          <cell r="C29" t="str">
            <v>จำนวน(ป้าย)</v>
          </cell>
        </row>
        <row r="30">
          <cell r="B30" t="str">
            <v>อยู่ใน SLA</v>
          </cell>
          <cell r="C30">
            <v>40</v>
          </cell>
        </row>
        <row r="31">
          <cell r="B31" t="str">
            <v>เกิน SLA</v>
          </cell>
          <cell r="C31">
            <v>9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07"/>
  <sheetViews>
    <sheetView zoomScaleNormal="100" workbookViewId="0">
      <pane ySplit="1" topLeftCell="A1622" activePane="bottomLeft" state="frozen"/>
      <selection pane="bottomLeft" activeCell="F1625" sqref="F1625"/>
    </sheetView>
  </sheetViews>
  <sheetFormatPr defaultColWidth="8.75" defaultRowHeight="17"/>
  <cols>
    <col min="1" max="1" width="8.75" style="2"/>
    <col min="2" max="2" width="10.75" style="1" customWidth="1"/>
    <col min="3" max="3" width="25.08203125" style="1" customWidth="1"/>
    <col min="4" max="4" width="9.83203125" style="3" customWidth="1"/>
    <col min="5" max="5" width="9.75" style="3" customWidth="1"/>
    <col min="6" max="6" width="25.08203125" style="6" customWidth="1"/>
    <col min="7" max="7" width="20.08203125" style="6" customWidth="1"/>
    <col min="8" max="8" width="22.08203125" style="1" bestFit="1" customWidth="1"/>
    <col min="9" max="9" width="27.33203125" style="1" bestFit="1" customWidth="1"/>
    <col min="10" max="10" width="11.08203125" style="1" customWidth="1"/>
    <col min="11" max="16384" width="8.75" style="1"/>
  </cols>
  <sheetData>
    <row r="1" spans="1:9" s="3" customFormat="1">
      <c r="A1" s="4" t="s">
        <v>8</v>
      </c>
      <c r="B1" s="5" t="s">
        <v>4</v>
      </c>
      <c r="C1" s="5" t="s">
        <v>30</v>
      </c>
      <c r="D1" s="5" t="s">
        <v>3</v>
      </c>
      <c r="E1" s="5" t="s">
        <v>5</v>
      </c>
      <c r="F1" s="5" t="s">
        <v>40</v>
      </c>
      <c r="G1" s="5" t="s">
        <v>41</v>
      </c>
      <c r="H1" s="5" t="s">
        <v>9</v>
      </c>
      <c r="I1" s="5" t="s">
        <v>37</v>
      </c>
    </row>
    <row r="2" spans="1:9" s="3" customFormat="1" ht="18">
      <c r="A2" s="19">
        <v>242648</v>
      </c>
      <c r="B2" s="5"/>
      <c r="C2" s="5"/>
      <c r="D2" s="5"/>
      <c r="E2" s="5"/>
      <c r="F2" s="5"/>
      <c r="G2" s="5"/>
      <c r="H2" s="5"/>
      <c r="I2" s="5"/>
    </row>
    <row r="3" spans="1:9">
      <c r="A3" s="2">
        <v>242648</v>
      </c>
      <c r="B3" s="1" t="s">
        <v>10</v>
      </c>
      <c r="C3" s="1" t="s">
        <v>24</v>
      </c>
      <c r="D3" s="3" t="s">
        <v>0</v>
      </c>
      <c r="E3" s="3" t="s">
        <v>7</v>
      </c>
      <c r="F3" s="6" t="s">
        <v>42</v>
      </c>
      <c r="G3" s="6" t="s">
        <v>43</v>
      </c>
      <c r="H3" s="1" t="s">
        <v>44</v>
      </c>
      <c r="I3" s="1" t="s">
        <v>45</v>
      </c>
    </row>
    <row r="4" spans="1:9">
      <c r="A4" s="2">
        <v>242648</v>
      </c>
      <c r="B4" s="1" t="s">
        <v>11</v>
      </c>
      <c r="C4" s="1" t="s">
        <v>25</v>
      </c>
      <c r="D4" s="3" t="s">
        <v>0</v>
      </c>
      <c r="E4" s="3" t="s">
        <v>7</v>
      </c>
      <c r="F4" s="6" t="s">
        <v>42</v>
      </c>
      <c r="G4" s="6" t="s">
        <v>43</v>
      </c>
      <c r="H4" s="1" t="s">
        <v>44</v>
      </c>
      <c r="I4" s="1" t="s">
        <v>45</v>
      </c>
    </row>
    <row r="5" spans="1:9">
      <c r="A5" s="2">
        <v>242648</v>
      </c>
      <c r="B5" s="1" t="s">
        <v>12</v>
      </c>
      <c r="C5" s="1" t="s">
        <v>26</v>
      </c>
      <c r="D5" s="3" t="s">
        <v>1</v>
      </c>
      <c r="E5" s="3" t="s">
        <v>6</v>
      </c>
      <c r="F5" s="6" t="s">
        <v>69</v>
      </c>
      <c r="G5" s="6" t="s">
        <v>69</v>
      </c>
      <c r="H5" s="1" t="s">
        <v>72</v>
      </c>
      <c r="I5" s="1" t="s">
        <v>45</v>
      </c>
    </row>
    <row r="6" spans="1:9">
      <c r="A6" s="2">
        <v>242648</v>
      </c>
      <c r="B6" s="1" t="s">
        <v>13</v>
      </c>
      <c r="C6" s="1" t="s">
        <v>27</v>
      </c>
      <c r="D6" s="3" t="s">
        <v>1</v>
      </c>
      <c r="E6" s="3" t="s">
        <v>6</v>
      </c>
      <c r="F6" s="6" t="s">
        <v>69</v>
      </c>
      <c r="G6" s="6" t="s">
        <v>69</v>
      </c>
      <c r="H6" s="1" t="s">
        <v>66</v>
      </c>
      <c r="I6" s="1" t="s">
        <v>70</v>
      </c>
    </row>
    <row r="7" spans="1:9">
      <c r="A7" s="2">
        <v>242648</v>
      </c>
      <c r="B7" s="1" t="s">
        <v>14</v>
      </c>
      <c r="C7" s="1" t="s">
        <v>28</v>
      </c>
      <c r="D7" s="3" t="s">
        <v>0</v>
      </c>
      <c r="E7" s="3" t="s">
        <v>7</v>
      </c>
      <c r="F7" s="6" t="s">
        <v>42</v>
      </c>
      <c r="G7" s="6" t="s">
        <v>43</v>
      </c>
      <c r="H7" s="1" t="s">
        <v>38</v>
      </c>
    </row>
    <row r="8" spans="1:9">
      <c r="A8" s="2">
        <v>242648</v>
      </c>
      <c r="B8" s="1" t="s">
        <v>15</v>
      </c>
      <c r="C8" s="1" t="s">
        <v>29</v>
      </c>
      <c r="D8" s="3" t="s">
        <v>1</v>
      </c>
      <c r="E8" s="3" t="s">
        <v>6</v>
      </c>
      <c r="F8" s="6" t="s">
        <v>69</v>
      </c>
      <c r="G8" s="6" t="s">
        <v>69</v>
      </c>
      <c r="H8" s="1" t="s">
        <v>71</v>
      </c>
      <c r="I8" s="1" t="s">
        <v>70</v>
      </c>
    </row>
    <row r="9" spans="1:9">
      <c r="A9" s="2">
        <v>242648</v>
      </c>
      <c r="B9" s="1" t="s">
        <v>16</v>
      </c>
      <c r="C9" s="1" t="s">
        <v>29</v>
      </c>
      <c r="D9" s="3" t="s">
        <v>1</v>
      </c>
      <c r="E9" s="3" t="s">
        <v>6</v>
      </c>
      <c r="F9" s="6" t="s">
        <v>69</v>
      </c>
      <c r="G9" s="6" t="s">
        <v>69</v>
      </c>
      <c r="H9" s="1" t="s">
        <v>71</v>
      </c>
      <c r="I9" s="1" t="s">
        <v>70</v>
      </c>
    </row>
    <row r="10" spans="1:9">
      <c r="A10" s="2">
        <v>242648</v>
      </c>
      <c r="B10" s="1" t="s">
        <v>17</v>
      </c>
      <c r="C10" s="1" t="s">
        <v>27</v>
      </c>
      <c r="D10" s="3" t="s">
        <v>1</v>
      </c>
      <c r="E10" s="3" t="s">
        <v>6</v>
      </c>
      <c r="F10" s="6" t="s">
        <v>69</v>
      </c>
      <c r="G10" s="6" t="s">
        <v>69</v>
      </c>
      <c r="H10" s="1" t="s">
        <v>66</v>
      </c>
      <c r="I10" s="1" t="s">
        <v>70</v>
      </c>
    </row>
    <row r="11" spans="1:9">
      <c r="A11" s="2">
        <v>242648</v>
      </c>
      <c r="B11" s="1" t="s">
        <v>18</v>
      </c>
      <c r="C11" s="1" t="s">
        <v>31</v>
      </c>
      <c r="D11" s="3" t="s">
        <v>1</v>
      </c>
      <c r="E11" s="3" t="s">
        <v>6</v>
      </c>
      <c r="F11" s="6" t="s">
        <v>69</v>
      </c>
      <c r="G11" s="6" t="s">
        <v>69</v>
      </c>
      <c r="H11" s="1" t="s">
        <v>72</v>
      </c>
    </row>
    <row r="12" spans="1:9">
      <c r="A12" s="2">
        <v>242648</v>
      </c>
      <c r="B12" s="1" t="s">
        <v>19</v>
      </c>
      <c r="C12" s="1" t="s">
        <v>32</v>
      </c>
      <c r="D12" s="3" t="s">
        <v>1</v>
      </c>
      <c r="E12" s="3" t="s">
        <v>6</v>
      </c>
      <c r="F12" s="6" t="s">
        <v>55</v>
      </c>
      <c r="G12" s="6" t="s">
        <v>55</v>
      </c>
      <c r="H12" s="1" t="s">
        <v>56</v>
      </c>
    </row>
    <row r="13" spans="1:9">
      <c r="A13" s="2">
        <v>242648</v>
      </c>
      <c r="B13" s="1" t="s">
        <v>20</v>
      </c>
      <c r="C13" s="1" t="s">
        <v>33</v>
      </c>
      <c r="D13" s="3" t="s">
        <v>2</v>
      </c>
      <c r="E13" s="3" t="s">
        <v>7</v>
      </c>
      <c r="F13" s="6" t="s">
        <v>39</v>
      </c>
      <c r="G13" s="6" t="s">
        <v>46</v>
      </c>
      <c r="H13" s="1" t="s">
        <v>47</v>
      </c>
      <c r="I13" s="1" t="s">
        <v>48</v>
      </c>
    </row>
    <row r="14" spans="1:9">
      <c r="A14" s="2">
        <v>242648</v>
      </c>
      <c r="B14" s="1" t="s">
        <v>21</v>
      </c>
      <c r="C14" s="1" t="s">
        <v>34</v>
      </c>
      <c r="D14" s="3" t="s">
        <v>1</v>
      </c>
      <c r="E14" s="3" t="s">
        <v>6</v>
      </c>
      <c r="F14" s="6" t="s">
        <v>69</v>
      </c>
      <c r="G14" s="6" t="s">
        <v>69</v>
      </c>
      <c r="H14" s="1" t="s">
        <v>71</v>
      </c>
      <c r="I14" s="1" t="s">
        <v>70</v>
      </c>
    </row>
    <row r="15" spans="1:9">
      <c r="A15" s="2">
        <v>242648</v>
      </c>
      <c r="B15" s="1" t="s">
        <v>22</v>
      </c>
      <c r="C15" s="1" t="s">
        <v>35</v>
      </c>
      <c r="D15" s="3" t="s">
        <v>1</v>
      </c>
      <c r="E15" s="3" t="s">
        <v>6</v>
      </c>
      <c r="F15" s="6" t="s">
        <v>68</v>
      </c>
    </row>
    <row r="16" spans="1:9">
      <c r="A16" s="2">
        <v>242648</v>
      </c>
      <c r="B16" s="1" t="s">
        <v>23</v>
      </c>
      <c r="C16" s="1" t="s">
        <v>36</v>
      </c>
      <c r="D16" s="3" t="s">
        <v>1</v>
      </c>
      <c r="E16" s="3" t="s">
        <v>6</v>
      </c>
      <c r="F16" s="6" t="s">
        <v>67</v>
      </c>
    </row>
    <row r="17" spans="1:9">
      <c r="A17" s="2">
        <v>242648</v>
      </c>
      <c r="B17" s="1" t="s">
        <v>49</v>
      </c>
      <c r="C17" s="1" t="s">
        <v>50</v>
      </c>
      <c r="D17" s="3" t="s">
        <v>2</v>
      </c>
      <c r="E17" s="3" t="s">
        <v>7</v>
      </c>
      <c r="F17" s="6" t="s">
        <v>42</v>
      </c>
      <c r="G17" s="6" t="s">
        <v>43</v>
      </c>
      <c r="H17" s="1" t="s">
        <v>44</v>
      </c>
      <c r="I17" s="1" t="s">
        <v>45</v>
      </c>
    </row>
    <row r="18" spans="1:9" ht="18">
      <c r="A18" s="18">
        <v>23503</v>
      </c>
      <c r="B18" s="7"/>
      <c r="C18" s="7"/>
      <c r="D18" s="8"/>
      <c r="E18" s="8"/>
      <c r="F18" s="9"/>
      <c r="G18" s="9"/>
      <c r="H18" s="7"/>
      <c r="I18" s="7"/>
    </row>
    <row r="19" spans="1:9">
      <c r="A19" s="2">
        <v>23503</v>
      </c>
      <c r="B19" s="1" t="s">
        <v>52</v>
      </c>
      <c r="C19" s="1" t="s">
        <v>61</v>
      </c>
      <c r="D19" s="3" t="s">
        <v>2</v>
      </c>
      <c r="E19" s="3" t="s">
        <v>7</v>
      </c>
      <c r="F19" s="6" t="s">
        <v>62</v>
      </c>
    </row>
    <row r="20" spans="1:9">
      <c r="A20" s="2">
        <v>23502</v>
      </c>
      <c r="B20" s="1" t="s">
        <v>12</v>
      </c>
      <c r="C20" s="1" t="s">
        <v>26</v>
      </c>
      <c r="D20" s="3" t="s">
        <v>1</v>
      </c>
      <c r="E20" s="3" t="s">
        <v>6</v>
      </c>
    </row>
    <row r="21" spans="1:9">
      <c r="A21" s="2">
        <v>23503</v>
      </c>
      <c r="B21" s="1" t="s">
        <v>57</v>
      </c>
      <c r="C21" s="1" t="s">
        <v>64</v>
      </c>
      <c r="D21" s="3" t="s">
        <v>1</v>
      </c>
      <c r="E21" s="3" t="s">
        <v>6</v>
      </c>
      <c r="F21" s="6" t="s">
        <v>69</v>
      </c>
      <c r="G21" s="6" t="s">
        <v>46</v>
      </c>
      <c r="H21" s="1" t="s">
        <v>73</v>
      </c>
      <c r="I21" s="1" t="s">
        <v>48</v>
      </c>
    </row>
    <row r="22" spans="1:9">
      <c r="A22" s="2">
        <v>23503</v>
      </c>
      <c r="B22" s="1" t="s">
        <v>58</v>
      </c>
      <c r="C22" s="1" t="s">
        <v>31</v>
      </c>
      <c r="D22" s="3" t="s">
        <v>1</v>
      </c>
      <c r="E22" s="3" t="s">
        <v>6</v>
      </c>
    </row>
    <row r="23" spans="1:9">
      <c r="A23" s="2">
        <v>23503</v>
      </c>
      <c r="B23" s="1" t="s">
        <v>59</v>
      </c>
      <c r="C23" s="1" t="s">
        <v>35</v>
      </c>
      <c r="D23" s="3" t="s">
        <v>1</v>
      </c>
      <c r="E23" s="3" t="s">
        <v>6</v>
      </c>
      <c r="F23" s="6" t="s">
        <v>68</v>
      </c>
    </row>
    <row r="24" spans="1:9">
      <c r="A24" s="2">
        <v>23503</v>
      </c>
      <c r="B24" s="1" t="s">
        <v>65</v>
      </c>
      <c r="C24" s="1" t="s">
        <v>63</v>
      </c>
      <c r="D24" s="3" t="s">
        <v>1</v>
      </c>
      <c r="E24" s="3" t="s">
        <v>6</v>
      </c>
    </row>
    <row r="25" spans="1:9">
      <c r="A25" s="2">
        <v>23503</v>
      </c>
      <c r="B25" s="1" t="s">
        <v>60</v>
      </c>
      <c r="C25" s="1" t="s">
        <v>36</v>
      </c>
      <c r="D25" s="3" t="s">
        <v>1</v>
      </c>
      <c r="E25" s="3" t="s">
        <v>6</v>
      </c>
      <c r="F25" s="6" t="s">
        <v>67</v>
      </c>
    </row>
    <row r="26" spans="1:9" ht="18">
      <c r="A26" s="17">
        <v>23504</v>
      </c>
      <c r="B26" s="10"/>
      <c r="C26" s="10"/>
      <c r="D26" s="11"/>
      <c r="E26" s="11"/>
      <c r="F26" s="12"/>
      <c r="G26" s="12"/>
      <c r="H26" s="10"/>
      <c r="I26" s="10"/>
    </row>
    <row r="27" spans="1:9" ht="17.5" customHeight="1">
      <c r="A27" s="2">
        <v>23502</v>
      </c>
      <c r="B27" s="20" t="s">
        <v>58</v>
      </c>
      <c r="C27" s="1" t="s">
        <v>31</v>
      </c>
      <c r="D27" s="3" t="s">
        <v>1</v>
      </c>
      <c r="F27" s="6" t="s">
        <v>89</v>
      </c>
    </row>
    <row r="28" spans="1:9">
      <c r="A28" s="2">
        <v>23502</v>
      </c>
      <c r="B28" s="20" t="s">
        <v>80</v>
      </c>
      <c r="C28" s="1" t="s">
        <v>36</v>
      </c>
      <c r="D28" s="3" t="s">
        <v>1</v>
      </c>
      <c r="F28" s="6" t="s">
        <v>87</v>
      </c>
    </row>
    <row r="29" spans="1:9">
      <c r="A29" s="2">
        <v>23502</v>
      </c>
      <c r="B29" s="20" t="s">
        <v>12</v>
      </c>
      <c r="C29" s="1" t="s">
        <v>26</v>
      </c>
      <c r="D29" s="3" t="s">
        <v>1</v>
      </c>
      <c r="F29" s="6" t="s">
        <v>69</v>
      </c>
    </row>
    <row r="30" spans="1:9">
      <c r="A30" s="2">
        <v>23503</v>
      </c>
      <c r="B30" s="20" t="s">
        <v>82</v>
      </c>
      <c r="C30" s="1" t="s">
        <v>63</v>
      </c>
      <c r="D30" s="3" t="s">
        <v>1</v>
      </c>
      <c r="F30" s="6" t="s">
        <v>89</v>
      </c>
    </row>
    <row r="31" spans="1:9">
      <c r="A31" s="2">
        <v>23504</v>
      </c>
      <c r="B31" s="20" t="s">
        <v>75</v>
      </c>
      <c r="C31" s="1" t="s">
        <v>84</v>
      </c>
      <c r="D31" s="3" t="s">
        <v>1</v>
      </c>
      <c r="F31" s="6" t="s">
        <v>89</v>
      </c>
    </row>
    <row r="32" spans="1:9">
      <c r="A32" s="2">
        <v>23504</v>
      </c>
      <c r="B32" s="20" t="s">
        <v>76</v>
      </c>
      <c r="C32" s="1" t="s">
        <v>84</v>
      </c>
      <c r="D32" s="3" t="s">
        <v>1</v>
      </c>
      <c r="F32" s="6" t="s">
        <v>89</v>
      </c>
    </row>
    <row r="33" spans="1:9">
      <c r="A33" s="2">
        <v>23504</v>
      </c>
      <c r="B33" s="20" t="s">
        <v>77</v>
      </c>
      <c r="C33" s="1" t="s">
        <v>84</v>
      </c>
      <c r="D33" s="3" t="s">
        <v>1</v>
      </c>
      <c r="F33" s="6" t="s">
        <v>89</v>
      </c>
    </row>
    <row r="34" spans="1:9">
      <c r="A34" s="2">
        <v>23504</v>
      </c>
      <c r="B34" s="20" t="s">
        <v>78</v>
      </c>
      <c r="C34" s="1" t="s">
        <v>85</v>
      </c>
      <c r="D34" s="3" t="s">
        <v>1</v>
      </c>
      <c r="F34" s="6" t="s">
        <v>89</v>
      </c>
    </row>
    <row r="35" spans="1:9">
      <c r="A35" s="2">
        <v>23504</v>
      </c>
      <c r="B35" s="20" t="s">
        <v>79</v>
      </c>
      <c r="C35" s="1" t="s">
        <v>86</v>
      </c>
      <c r="D35" s="3" t="s">
        <v>1</v>
      </c>
      <c r="F35" s="6" t="s">
        <v>89</v>
      </c>
    </row>
    <row r="36" spans="1:9">
      <c r="A36" s="2">
        <v>23504</v>
      </c>
      <c r="B36" s="20" t="s">
        <v>81</v>
      </c>
      <c r="C36" s="1" t="s">
        <v>88</v>
      </c>
      <c r="D36" s="3" t="s">
        <v>1</v>
      </c>
      <c r="F36" s="6" t="s">
        <v>89</v>
      </c>
    </row>
    <row r="37" spans="1:9">
      <c r="A37" s="2">
        <v>23504</v>
      </c>
      <c r="B37" s="20" t="s">
        <v>57</v>
      </c>
      <c r="C37" s="1" t="s">
        <v>64</v>
      </c>
      <c r="D37" s="3" t="s">
        <v>2</v>
      </c>
      <c r="F37" s="6" t="s">
        <v>0</v>
      </c>
    </row>
    <row r="38" spans="1:9">
      <c r="A38" s="2">
        <v>23504</v>
      </c>
      <c r="B38" s="20" t="s">
        <v>52</v>
      </c>
      <c r="C38" s="1" t="s">
        <v>61</v>
      </c>
      <c r="D38" s="3" t="s">
        <v>1</v>
      </c>
      <c r="F38" s="6" t="s">
        <v>89</v>
      </c>
    </row>
    <row r="39" spans="1:9">
      <c r="A39" s="2">
        <v>23504</v>
      </c>
      <c r="B39" s="20" t="s">
        <v>53</v>
      </c>
      <c r="C39" s="1" t="s">
        <v>61</v>
      </c>
      <c r="D39" s="3" t="s">
        <v>1</v>
      </c>
      <c r="F39" s="6" t="s">
        <v>89</v>
      </c>
    </row>
    <row r="40" spans="1:9">
      <c r="A40" s="2">
        <v>23504</v>
      </c>
      <c r="B40" s="20" t="s">
        <v>74</v>
      </c>
      <c r="C40" s="1" t="s">
        <v>83</v>
      </c>
      <c r="D40" s="3" t="s">
        <v>1</v>
      </c>
      <c r="F40" s="6" t="s">
        <v>89</v>
      </c>
    </row>
    <row r="41" spans="1:9" ht="18">
      <c r="A41" s="16">
        <v>23505</v>
      </c>
      <c r="B41" s="13"/>
      <c r="C41" s="13"/>
      <c r="D41" s="14"/>
      <c r="E41" s="14"/>
      <c r="F41" s="15"/>
      <c r="G41" s="15"/>
      <c r="H41" s="13"/>
      <c r="I41" s="13"/>
    </row>
    <row r="42" spans="1:9">
      <c r="A42" s="2">
        <v>23502</v>
      </c>
      <c r="B42" s="20" t="s">
        <v>12</v>
      </c>
      <c r="C42" s="1" t="s">
        <v>26</v>
      </c>
      <c r="D42" s="3" t="s">
        <v>1</v>
      </c>
      <c r="F42" s="6" t="s">
        <v>69</v>
      </c>
    </row>
    <row r="43" spans="1:9">
      <c r="A43" s="2">
        <v>23502</v>
      </c>
      <c r="B43" s="20" t="s">
        <v>80</v>
      </c>
      <c r="C43" s="1" t="s">
        <v>36</v>
      </c>
      <c r="D43" s="3" t="s">
        <v>1</v>
      </c>
      <c r="F43" s="6" t="s">
        <v>87</v>
      </c>
    </row>
    <row r="44" spans="1:9">
      <c r="A44" s="2">
        <v>23502</v>
      </c>
      <c r="B44" s="20" t="s">
        <v>58</v>
      </c>
      <c r="C44" s="1" t="s">
        <v>31</v>
      </c>
      <c r="D44" s="3" t="s">
        <v>1</v>
      </c>
      <c r="F44" s="6" t="s">
        <v>89</v>
      </c>
    </row>
    <row r="45" spans="1:9">
      <c r="A45" s="2">
        <v>23503</v>
      </c>
      <c r="B45" s="20" t="s">
        <v>82</v>
      </c>
      <c r="C45" s="1" t="s">
        <v>63</v>
      </c>
      <c r="D45" s="3" t="s">
        <v>2</v>
      </c>
      <c r="F45" s="6" t="s">
        <v>97</v>
      </c>
    </row>
    <row r="46" spans="1:9">
      <c r="A46" s="2">
        <v>23505</v>
      </c>
      <c r="B46" s="20" t="s">
        <v>90</v>
      </c>
      <c r="C46" s="1" t="s">
        <v>91</v>
      </c>
      <c r="D46" s="3" t="s">
        <v>1</v>
      </c>
      <c r="F46" s="6" t="s">
        <v>89</v>
      </c>
    </row>
    <row r="47" spans="1:9">
      <c r="A47" s="2">
        <v>23505</v>
      </c>
      <c r="B47" s="20" t="s">
        <v>92</v>
      </c>
      <c r="C47" s="1" t="s">
        <v>91</v>
      </c>
      <c r="D47" s="3" t="s">
        <v>1</v>
      </c>
      <c r="F47" s="6" t="s">
        <v>89</v>
      </c>
    </row>
    <row r="48" spans="1:9">
      <c r="A48" s="2">
        <v>23505</v>
      </c>
      <c r="B48" s="20" t="s">
        <v>93</v>
      </c>
      <c r="C48" s="1" t="s">
        <v>91</v>
      </c>
      <c r="D48" s="3" t="s">
        <v>1</v>
      </c>
      <c r="F48" s="6" t="s">
        <v>89</v>
      </c>
    </row>
    <row r="49" spans="1:9">
      <c r="A49" s="2">
        <v>23505</v>
      </c>
      <c r="B49" s="20" t="s">
        <v>94</v>
      </c>
      <c r="C49" s="1" t="s">
        <v>32</v>
      </c>
      <c r="D49" s="3" t="s">
        <v>1</v>
      </c>
      <c r="F49" s="6" t="s">
        <v>89</v>
      </c>
    </row>
    <row r="50" spans="1:9">
      <c r="A50" s="2">
        <v>23505</v>
      </c>
      <c r="B50" s="20" t="s">
        <v>95</v>
      </c>
      <c r="C50" s="1" t="s">
        <v>96</v>
      </c>
      <c r="D50" s="3" t="s">
        <v>1</v>
      </c>
      <c r="F50" s="6" t="s">
        <v>89</v>
      </c>
    </row>
    <row r="51" spans="1:9">
      <c r="A51" s="2">
        <v>23505</v>
      </c>
      <c r="B51" s="20" t="s">
        <v>52</v>
      </c>
      <c r="C51" s="1" t="s">
        <v>61</v>
      </c>
      <c r="D51" s="3" t="s">
        <v>2</v>
      </c>
      <c r="F51" s="6" t="s">
        <v>0</v>
      </c>
    </row>
    <row r="52" spans="1:9">
      <c r="A52" s="2">
        <v>23505</v>
      </c>
      <c r="B52" s="20" t="s">
        <v>11</v>
      </c>
      <c r="C52" s="1" t="s">
        <v>25</v>
      </c>
      <c r="D52" s="3" t="s">
        <v>2</v>
      </c>
      <c r="F52" s="6" t="s">
        <v>0</v>
      </c>
    </row>
    <row r="53" spans="1:9" ht="18">
      <c r="A53" s="16">
        <v>23506</v>
      </c>
      <c r="B53" s="13"/>
      <c r="C53" s="13"/>
      <c r="D53" s="14"/>
      <c r="E53" s="14"/>
      <c r="F53" s="15"/>
      <c r="G53" s="15"/>
      <c r="H53" s="13"/>
      <c r="I53" s="13"/>
    </row>
    <row r="54" spans="1:9">
      <c r="A54" s="2">
        <v>23502</v>
      </c>
      <c r="B54" s="20" t="s">
        <v>12</v>
      </c>
      <c r="C54" s="1" t="s">
        <v>26</v>
      </c>
      <c r="D54" s="3" t="s">
        <v>1</v>
      </c>
      <c r="F54" s="6" t="s">
        <v>69</v>
      </c>
    </row>
    <row r="55" spans="1:9">
      <c r="A55" s="2">
        <v>23502</v>
      </c>
      <c r="B55" s="20" t="s">
        <v>80</v>
      </c>
      <c r="C55" s="1" t="s">
        <v>36</v>
      </c>
      <c r="D55" s="3" t="s">
        <v>1</v>
      </c>
      <c r="F55" s="6" t="s">
        <v>68</v>
      </c>
    </row>
    <row r="56" spans="1:9">
      <c r="A56" s="2">
        <v>23502</v>
      </c>
      <c r="B56" s="20" t="s">
        <v>58</v>
      </c>
      <c r="C56" s="1" t="s">
        <v>31</v>
      </c>
      <c r="D56" s="3" t="s">
        <v>1</v>
      </c>
      <c r="F56" s="6" t="s">
        <v>89</v>
      </c>
    </row>
    <row r="57" spans="1:9">
      <c r="A57" s="2">
        <v>23506</v>
      </c>
      <c r="B57" s="20" t="s">
        <v>90</v>
      </c>
      <c r="C57" s="1" t="s">
        <v>91</v>
      </c>
      <c r="D57" s="3" t="s">
        <v>1</v>
      </c>
      <c r="F57" s="6" t="s">
        <v>89</v>
      </c>
    </row>
    <row r="58" spans="1:9">
      <c r="A58" s="2">
        <v>23506</v>
      </c>
      <c r="B58" s="20" t="s">
        <v>92</v>
      </c>
      <c r="C58" s="1" t="s">
        <v>91</v>
      </c>
      <c r="D58" s="3" t="s">
        <v>1</v>
      </c>
      <c r="F58" s="6" t="s">
        <v>89</v>
      </c>
    </row>
    <row r="59" spans="1:9">
      <c r="A59" s="2">
        <v>23506</v>
      </c>
      <c r="B59" s="20" t="s">
        <v>93</v>
      </c>
      <c r="C59" s="1" t="s">
        <v>91</v>
      </c>
      <c r="D59" s="3" t="s">
        <v>1</v>
      </c>
      <c r="F59" s="6" t="s">
        <v>89</v>
      </c>
    </row>
    <row r="60" spans="1:9">
      <c r="A60" s="2">
        <v>23506</v>
      </c>
      <c r="B60" s="20" t="s">
        <v>98</v>
      </c>
      <c r="C60" s="1" t="s">
        <v>27</v>
      </c>
      <c r="D60" s="3" t="s">
        <v>1</v>
      </c>
      <c r="F60" s="6" t="s">
        <v>89</v>
      </c>
    </row>
    <row r="61" spans="1:9">
      <c r="A61" s="2">
        <v>23506</v>
      </c>
      <c r="B61" s="20" t="s">
        <v>99</v>
      </c>
      <c r="C61" s="1" t="s">
        <v>27</v>
      </c>
      <c r="D61" s="3" t="s">
        <v>1</v>
      </c>
      <c r="F61" s="6" t="s">
        <v>89</v>
      </c>
    </row>
    <row r="62" spans="1:9">
      <c r="A62" s="2">
        <v>23506</v>
      </c>
      <c r="B62" s="20" t="s">
        <v>100</v>
      </c>
      <c r="C62" s="1" t="s">
        <v>101</v>
      </c>
      <c r="D62" s="3" t="s">
        <v>1</v>
      </c>
      <c r="F62" s="6" t="s">
        <v>89</v>
      </c>
    </row>
    <row r="63" spans="1:9">
      <c r="A63" s="2">
        <v>23506</v>
      </c>
      <c r="B63" s="20" t="s">
        <v>102</v>
      </c>
      <c r="C63" s="1" t="s">
        <v>96</v>
      </c>
      <c r="D63" s="3" t="s">
        <v>1</v>
      </c>
      <c r="F63" s="6" t="s">
        <v>108</v>
      </c>
    </row>
    <row r="64" spans="1:9">
      <c r="A64" s="2">
        <v>23506</v>
      </c>
      <c r="B64" s="20" t="s">
        <v>95</v>
      </c>
      <c r="C64" s="1" t="s">
        <v>96</v>
      </c>
      <c r="D64" s="3" t="s">
        <v>1</v>
      </c>
      <c r="F64" s="6" t="s">
        <v>108</v>
      </c>
    </row>
    <row r="65" spans="1:9">
      <c r="A65" s="2">
        <v>23506</v>
      </c>
      <c r="B65" s="20" t="s">
        <v>103</v>
      </c>
      <c r="C65" s="1" t="s">
        <v>104</v>
      </c>
      <c r="D65" s="3" t="s">
        <v>2</v>
      </c>
      <c r="F65" s="6" t="s">
        <v>105</v>
      </c>
    </row>
    <row r="66" spans="1:9" ht="18">
      <c r="A66" s="16">
        <v>23507</v>
      </c>
      <c r="B66" s="13"/>
      <c r="C66" s="13"/>
      <c r="D66" s="14"/>
      <c r="E66" s="14"/>
      <c r="F66" s="15"/>
      <c r="G66" s="15"/>
      <c r="H66" s="13"/>
      <c r="I66" s="13"/>
    </row>
    <row r="67" spans="1:9">
      <c r="A67" s="2">
        <v>23502</v>
      </c>
      <c r="B67" s="1" t="s">
        <v>12</v>
      </c>
      <c r="C67" s="1" t="s">
        <v>26</v>
      </c>
      <c r="D67" s="3" t="s">
        <v>1</v>
      </c>
      <c r="E67" s="3" t="s">
        <v>6</v>
      </c>
      <c r="F67" s="6" t="s">
        <v>69</v>
      </c>
    </row>
    <row r="68" spans="1:9">
      <c r="A68" s="2">
        <v>23502</v>
      </c>
      <c r="B68" s="1" t="s">
        <v>80</v>
      </c>
      <c r="C68" s="1" t="s">
        <v>36</v>
      </c>
      <c r="D68" s="3" t="s">
        <v>1</v>
      </c>
      <c r="E68" s="3" t="s">
        <v>6</v>
      </c>
      <c r="F68" s="6" t="s">
        <v>68</v>
      </c>
    </row>
    <row r="69" spans="1:9">
      <c r="A69" s="2">
        <v>23502</v>
      </c>
      <c r="B69" s="1" t="s">
        <v>58</v>
      </c>
      <c r="C69" s="1" t="s">
        <v>31</v>
      </c>
      <c r="D69" s="3" t="s">
        <v>1</v>
      </c>
      <c r="E69" s="3" t="s">
        <v>6</v>
      </c>
      <c r="F69" s="6" t="s">
        <v>110</v>
      </c>
    </row>
    <row r="70" spans="1:9">
      <c r="A70" s="2">
        <v>23506</v>
      </c>
      <c r="B70" s="1" t="s">
        <v>90</v>
      </c>
      <c r="C70" s="1" t="s">
        <v>91</v>
      </c>
      <c r="D70" s="3" t="s">
        <v>1</v>
      </c>
      <c r="E70" s="3" t="s">
        <v>6</v>
      </c>
      <c r="F70" s="6" t="s">
        <v>110</v>
      </c>
    </row>
    <row r="71" spans="1:9">
      <c r="A71" s="2">
        <v>23506</v>
      </c>
      <c r="B71" s="1" t="s">
        <v>92</v>
      </c>
      <c r="C71" s="1" t="s">
        <v>91</v>
      </c>
      <c r="D71" s="3" t="s">
        <v>1</v>
      </c>
      <c r="E71" s="3" t="s">
        <v>6</v>
      </c>
      <c r="F71" s="6" t="s">
        <v>110</v>
      </c>
    </row>
    <row r="72" spans="1:9">
      <c r="A72" s="2">
        <v>23506</v>
      </c>
      <c r="B72" s="1" t="s">
        <v>93</v>
      </c>
      <c r="C72" s="1" t="s">
        <v>91</v>
      </c>
      <c r="D72" s="3" t="s">
        <v>1</v>
      </c>
      <c r="E72" s="3" t="s">
        <v>6</v>
      </c>
      <c r="F72" s="6" t="s">
        <v>110</v>
      </c>
    </row>
    <row r="73" spans="1:9">
      <c r="A73" s="2">
        <v>23506</v>
      </c>
      <c r="B73" s="1" t="s">
        <v>98</v>
      </c>
      <c r="C73" s="1" t="s">
        <v>27</v>
      </c>
      <c r="D73" s="3" t="s">
        <v>1</v>
      </c>
      <c r="E73" s="3" t="s">
        <v>6</v>
      </c>
      <c r="F73" s="6" t="s">
        <v>110</v>
      </c>
    </row>
    <row r="74" spans="1:9">
      <c r="A74" s="2">
        <v>23506</v>
      </c>
      <c r="B74" s="1" t="s">
        <v>99</v>
      </c>
      <c r="C74" s="1" t="s">
        <v>27</v>
      </c>
      <c r="D74" s="3" t="s">
        <v>1</v>
      </c>
      <c r="E74" s="3" t="s">
        <v>6</v>
      </c>
      <c r="F74" s="6" t="s">
        <v>110</v>
      </c>
    </row>
    <row r="75" spans="1:9">
      <c r="A75" s="2">
        <v>23507</v>
      </c>
      <c r="B75" s="1" t="s">
        <v>102</v>
      </c>
      <c r="C75" s="1" t="s">
        <v>96</v>
      </c>
      <c r="D75" s="3" t="s">
        <v>1</v>
      </c>
      <c r="E75" s="3" t="s">
        <v>6</v>
      </c>
      <c r="F75" s="6" t="s">
        <v>110</v>
      </c>
    </row>
    <row r="76" spans="1:9">
      <c r="A76" s="2">
        <v>23507</v>
      </c>
      <c r="B76" s="1" t="s">
        <v>95</v>
      </c>
      <c r="C76" s="1" t="s">
        <v>96</v>
      </c>
      <c r="D76" s="3" t="s">
        <v>1</v>
      </c>
      <c r="E76" s="3" t="s">
        <v>6</v>
      </c>
      <c r="F76" s="6" t="s">
        <v>110</v>
      </c>
    </row>
    <row r="77" spans="1:9">
      <c r="A77" s="2">
        <v>23507</v>
      </c>
      <c r="B77" s="1" t="s">
        <v>52</v>
      </c>
      <c r="C77" s="1" t="s">
        <v>61</v>
      </c>
      <c r="D77" s="3" t="s">
        <v>1</v>
      </c>
      <c r="E77" s="3" t="s">
        <v>6</v>
      </c>
      <c r="F77" s="6" t="s">
        <v>110</v>
      </c>
    </row>
    <row r="78" spans="1:9">
      <c r="A78" s="2">
        <v>23507</v>
      </c>
      <c r="B78" s="1" t="s">
        <v>53</v>
      </c>
      <c r="C78" s="1" t="s">
        <v>61</v>
      </c>
      <c r="D78" s="3" t="s">
        <v>1</v>
      </c>
      <c r="E78" s="3" t="s">
        <v>6</v>
      </c>
      <c r="F78" s="6" t="s">
        <v>110</v>
      </c>
    </row>
    <row r="79" spans="1:9">
      <c r="A79" s="2">
        <v>23507</v>
      </c>
      <c r="B79" s="1" t="s">
        <v>100</v>
      </c>
      <c r="C79" s="1" t="s">
        <v>101</v>
      </c>
      <c r="D79" s="3" t="s">
        <v>1</v>
      </c>
      <c r="E79" s="3" t="s">
        <v>6</v>
      </c>
      <c r="F79" s="6" t="s">
        <v>110</v>
      </c>
    </row>
    <row r="80" spans="1:9">
      <c r="A80" s="2">
        <v>23507</v>
      </c>
      <c r="B80" s="1" t="s">
        <v>106</v>
      </c>
      <c r="C80" s="1" t="s">
        <v>107</v>
      </c>
      <c r="D80" s="3" t="s">
        <v>1</v>
      </c>
      <c r="E80" s="3" t="s">
        <v>6</v>
      </c>
      <c r="F80" s="6" t="s">
        <v>110</v>
      </c>
    </row>
    <row r="81" spans="1:9">
      <c r="A81" s="2">
        <v>23507</v>
      </c>
      <c r="B81" s="1" t="s">
        <v>57</v>
      </c>
      <c r="C81" s="1" t="s">
        <v>64</v>
      </c>
      <c r="D81" s="3" t="s">
        <v>2</v>
      </c>
      <c r="E81" s="3" t="s">
        <v>7</v>
      </c>
      <c r="F81" s="6" t="s">
        <v>109</v>
      </c>
    </row>
    <row r="82" spans="1:9">
      <c r="A82" s="2">
        <v>23507</v>
      </c>
      <c r="B82" s="1" t="s">
        <v>11</v>
      </c>
      <c r="C82" s="1" t="s">
        <v>25</v>
      </c>
      <c r="D82" s="3" t="s">
        <v>2</v>
      </c>
      <c r="E82" s="3" t="s">
        <v>7</v>
      </c>
      <c r="F82" s="6" t="s">
        <v>109</v>
      </c>
    </row>
    <row r="83" spans="1:9" ht="18">
      <c r="A83" s="16">
        <v>23508</v>
      </c>
      <c r="B83" s="13"/>
      <c r="C83" s="13"/>
      <c r="D83" s="14"/>
      <c r="E83" s="14"/>
      <c r="F83" s="15"/>
      <c r="G83" s="15"/>
      <c r="H83" s="13"/>
      <c r="I83" s="13"/>
    </row>
    <row r="84" spans="1:9">
      <c r="A84" s="2">
        <v>23502</v>
      </c>
      <c r="B84" s="1" t="s">
        <v>80</v>
      </c>
      <c r="C84" s="1" t="s">
        <v>36</v>
      </c>
      <c r="D84" s="3" t="s">
        <v>1</v>
      </c>
      <c r="E84" s="3" t="s">
        <v>6</v>
      </c>
      <c r="F84" s="6" t="s">
        <v>111</v>
      </c>
    </row>
    <row r="85" spans="1:9">
      <c r="A85" s="2">
        <v>23507</v>
      </c>
      <c r="B85" s="1" t="s">
        <v>114</v>
      </c>
      <c r="C85" s="1" t="s">
        <v>116</v>
      </c>
      <c r="D85" s="3" t="s">
        <v>1</v>
      </c>
      <c r="E85" s="3" t="s">
        <v>6</v>
      </c>
      <c r="F85" s="6" t="s">
        <v>110</v>
      </c>
    </row>
    <row r="86" spans="1:9">
      <c r="A86" s="2">
        <v>23507</v>
      </c>
      <c r="B86" s="1" t="s">
        <v>90</v>
      </c>
      <c r="C86" s="1" t="s">
        <v>91</v>
      </c>
      <c r="D86" s="3" t="s">
        <v>1</v>
      </c>
      <c r="E86" s="3" t="s">
        <v>6</v>
      </c>
      <c r="F86" s="6" t="s">
        <v>110</v>
      </c>
    </row>
    <row r="87" spans="1:9">
      <c r="A87" s="2">
        <v>23508</v>
      </c>
      <c r="B87" s="1" t="s">
        <v>98</v>
      </c>
      <c r="C87" s="1" t="s">
        <v>27</v>
      </c>
      <c r="D87" s="3" t="s">
        <v>1</v>
      </c>
      <c r="E87" s="3" t="s">
        <v>6</v>
      </c>
      <c r="F87" s="6" t="s">
        <v>110</v>
      </c>
    </row>
    <row r="88" spans="1:9">
      <c r="A88" s="2">
        <v>23508</v>
      </c>
      <c r="B88" s="1" t="s">
        <v>99</v>
      </c>
      <c r="C88" s="1" t="s">
        <v>27</v>
      </c>
      <c r="D88" s="3" t="s">
        <v>1</v>
      </c>
      <c r="E88" s="3" t="s">
        <v>6</v>
      </c>
      <c r="F88" s="6" t="s">
        <v>110</v>
      </c>
    </row>
    <row r="89" spans="1:9">
      <c r="A89" s="2">
        <v>23508</v>
      </c>
      <c r="B89" s="1" t="s">
        <v>112</v>
      </c>
      <c r="C89" s="1" t="s">
        <v>113</v>
      </c>
      <c r="D89" s="3" t="s">
        <v>1</v>
      </c>
      <c r="E89" s="3" t="s">
        <v>6</v>
      </c>
      <c r="F89" s="6" t="s">
        <v>110</v>
      </c>
    </row>
    <row r="90" spans="1:9">
      <c r="A90" s="2">
        <v>23508</v>
      </c>
      <c r="B90" s="1" t="s">
        <v>11</v>
      </c>
      <c r="C90" s="1" t="s">
        <v>25</v>
      </c>
      <c r="D90" s="3" t="s">
        <v>2</v>
      </c>
      <c r="E90" s="3" t="s">
        <v>7</v>
      </c>
      <c r="F90" s="6" t="s">
        <v>119</v>
      </c>
    </row>
    <row r="91" spans="1:9">
      <c r="A91" s="2">
        <v>23508</v>
      </c>
      <c r="B91" s="1" t="s">
        <v>115</v>
      </c>
      <c r="C91" s="1" t="s">
        <v>117</v>
      </c>
      <c r="D91" s="3" t="s">
        <v>2</v>
      </c>
      <c r="E91" s="3" t="s">
        <v>7</v>
      </c>
      <c r="F91" s="6" t="s">
        <v>119</v>
      </c>
    </row>
    <row r="92" spans="1:9">
      <c r="A92" s="2">
        <v>23508</v>
      </c>
      <c r="B92" s="1" t="s">
        <v>10</v>
      </c>
      <c r="C92" s="1" t="s">
        <v>118</v>
      </c>
      <c r="D92" s="3" t="s">
        <v>2</v>
      </c>
      <c r="E92" s="3" t="s">
        <v>7</v>
      </c>
      <c r="F92" s="6" t="s">
        <v>119</v>
      </c>
    </row>
    <row r="93" spans="1:9" ht="18">
      <c r="A93" s="16">
        <v>23509</v>
      </c>
      <c r="B93" s="13"/>
      <c r="C93" s="13"/>
      <c r="D93" s="14"/>
      <c r="E93" s="14"/>
      <c r="F93" s="15"/>
      <c r="G93" s="15"/>
      <c r="H93" s="13"/>
      <c r="I93" s="13"/>
    </row>
    <row r="94" spans="1:9">
      <c r="A94" s="23">
        <v>23508</v>
      </c>
      <c r="B94" s="20" t="s">
        <v>90</v>
      </c>
      <c r="C94" s="20" t="s">
        <v>91</v>
      </c>
      <c r="D94" s="21" t="s">
        <v>1</v>
      </c>
      <c r="E94" s="21" t="s">
        <v>6</v>
      </c>
      <c r="F94" s="22" t="s">
        <v>110</v>
      </c>
      <c r="G94" s="22"/>
      <c r="H94" s="20"/>
      <c r="I94" s="20"/>
    </row>
    <row r="95" spans="1:9">
      <c r="A95" s="2">
        <v>23508</v>
      </c>
      <c r="B95" s="1" t="s">
        <v>112</v>
      </c>
      <c r="C95" s="1" t="s">
        <v>113</v>
      </c>
      <c r="D95" s="3" t="s">
        <v>1</v>
      </c>
      <c r="E95" s="3" t="s">
        <v>6</v>
      </c>
      <c r="F95" s="6" t="s">
        <v>110</v>
      </c>
    </row>
    <row r="96" spans="1:9">
      <c r="A96" s="2">
        <v>23509</v>
      </c>
      <c r="B96" s="1" t="s">
        <v>74</v>
      </c>
      <c r="C96" s="1" t="s">
        <v>83</v>
      </c>
      <c r="D96" s="3" t="s">
        <v>1</v>
      </c>
      <c r="E96" s="3" t="s">
        <v>6</v>
      </c>
      <c r="F96" s="6" t="s">
        <v>110</v>
      </c>
    </row>
    <row r="97" spans="1:9">
      <c r="A97" s="2">
        <v>23509</v>
      </c>
      <c r="B97" s="1" t="s">
        <v>120</v>
      </c>
      <c r="C97" s="1" t="s">
        <v>123</v>
      </c>
      <c r="D97" s="3" t="s">
        <v>2</v>
      </c>
      <c r="E97" s="3" t="s">
        <v>7</v>
      </c>
      <c r="F97" s="6" t="s">
        <v>119</v>
      </c>
    </row>
    <row r="98" spans="1:9">
      <c r="A98" s="2">
        <v>23509</v>
      </c>
      <c r="B98" s="1" t="s">
        <v>121</v>
      </c>
      <c r="C98" s="1" t="s">
        <v>28</v>
      </c>
      <c r="D98" s="3" t="s">
        <v>2</v>
      </c>
      <c r="E98" s="3" t="s">
        <v>7</v>
      </c>
      <c r="F98" s="6" t="s">
        <v>119</v>
      </c>
    </row>
    <row r="99" spans="1:9">
      <c r="A99" s="2">
        <v>23509</v>
      </c>
      <c r="B99" s="1" t="s">
        <v>122</v>
      </c>
      <c r="C99" s="1" t="s">
        <v>124</v>
      </c>
      <c r="D99" s="3" t="s">
        <v>2</v>
      </c>
      <c r="E99" s="3" t="s">
        <v>7</v>
      </c>
      <c r="F99" s="6" t="s">
        <v>119</v>
      </c>
    </row>
    <row r="100" spans="1:9" ht="18">
      <c r="A100" s="16">
        <v>23510</v>
      </c>
      <c r="B100" s="13"/>
      <c r="C100" s="13"/>
      <c r="D100" s="14"/>
      <c r="E100" s="14"/>
      <c r="F100" s="15"/>
      <c r="G100" s="15"/>
      <c r="H100" s="13"/>
      <c r="I100" s="13"/>
    </row>
    <row r="101" spans="1:9">
      <c r="A101" s="2">
        <v>23510</v>
      </c>
      <c r="B101" s="1" t="s">
        <v>90</v>
      </c>
      <c r="C101" s="1" t="s">
        <v>91</v>
      </c>
      <c r="D101" s="3" t="s">
        <v>1</v>
      </c>
      <c r="E101" s="3" t="s">
        <v>6</v>
      </c>
      <c r="F101" s="6" t="s">
        <v>110</v>
      </c>
    </row>
    <row r="102" spans="1:9">
      <c r="A102" s="2">
        <v>23510</v>
      </c>
      <c r="B102" s="1" t="s">
        <v>92</v>
      </c>
      <c r="C102" s="1" t="s">
        <v>91</v>
      </c>
      <c r="D102" s="3" t="s">
        <v>1</v>
      </c>
      <c r="E102" s="3" t="s">
        <v>6</v>
      </c>
      <c r="F102" s="6" t="s">
        <v>110</v>
      </c>
    </row>
    <row r="103" spans="1:9">
      <c r="A103" s="2">
        <v>23510</v>
      </c>
      <c r="B103" s="1" t="s">
        <v>93</v>
      </c>
      <c r="C103" s="1" t="s">
        <v>91</v>
      </c>
      <c r="D103" s="3" t="s">
        <v>1</v>
      </c>
      <c r="E103" s="3" t="s">
        <v>6</v>
      </c>
      <c r="F103" s="6" t="s">
        <v>110</v>
      </c>
    </row>
    <row r="104" spans="1:9">
      <c r="A104" s="2">
        <v>23510</v>
      </c>
      <c r="B104" s="1" t="s">
        <v>112</v>
      </c>
      <c r="C104" s="1" t="s">
        <v>113</v>
      </c>
      <c r="D104" s="3" t="s">
        <v>1</v>
      </c>
      <c r="E104" s="3" t="s">
        <v>6</v>
      </c>
      <c r="F104" s="6" t="s">
        <v>110</v>
      </c>
    </row>
    <row r="105" spans="1:9">
      <c r="A105" s="2">
        <v>23510</v>
      </c>
      <c r="B105" s="1" t="s">
        <v>115</v>
      </c>
      <c r="C105" s="1" t="s">
        <v>125</v>
      </c>
      <c r="D105" s="3" t="s">
        <v>2</v>
      </c>
      <c r="E105" s="3" t="s">
        <v>7</v>
      </c>
      <c r="F105" s="6" t="s">
        <v>119</v>
      </c>
      <c r="H105" s="1" t="s">
        <v>126</v>
      </c>
    </row>
    <row r="106" spans="1:9" ht="18">
      <c r="A106" s="16">
        <v>23511</v>
      </c>
      <c r="B106" s="13"/>
      <c r="C106" s="13"/>
      <c r="D106" s="14"/>
      <c r="E106" s="14"/>
      <c r="F106" s="15"/>
      <c r="G106" s="15"/>
      <c r="H106" s="13"/>
      <c r="I106" s="13"/>
    </row>
    <row r="107" spans="1:9">
      <c r="A107" s="2">
        <v>23511</v>
      </c>
      <c r="B107" s="1" t="s">
        <v>11</v>
      </c>
      <c r="C107" s="1" t="s">
        <v>25</v>
      </c>
      <c r="D107" s="3" t="s">
        <v>2</v>
      </c>
      <c r="E107" s="3" t="s">
        <v>7</v>
      </c>
      <c r="F107" s="6" t="s">
        <v>119</v>
      </c>
    </row>
    <row r="108" spans="1:9" ht="18">
      <c r="A108" s="24">
        <v>23512</v>
      </c>
      <c r="B108" s="25"/>
      <c r="C108" s="25"/>
      <c r="D108" s="26"/>
      <c r="E108" s="26"/>
      <c r="F108" s="27"/>
      <c r="G108" s="27"/>
      <c r="H108" s="25"/>
      <c r="I108" s="25"/>
    </row>
    <row r="109" spans="1:9" ht="18">
      <c r="A109" s="16">
        <v>23513</v>
      </c>
      <c r="B109" s="13"/>
      <c r="C109" s="13"/>
      <c r="D109" s="14"/>
      <c r="E109" s="14"/>
      <c r="F109" s="15"/>
      <c r="G109" s="15"/>
      <c r="H109" s="13"/>
      <c r="I109" s="13"/>
    </row>
    <row r="110" spans="1:9">
      <c r="A110" s="2">
        <v>23513</v>
      </c>
      <c r="B110" s="1" t="s">
        <v>51</v>
      </c>
      <c r="C110" s="1" t="s">
        <v>127</v>
      </c>
      <c r="D110" s="3" t="s">
        <v>1</v>
      </c>
      <c r="E110" s="3" t="s">
        <v>6</v>
      </c>
      <c r="F110" s="6" t="s">
        <v>110</v>
      </c>
      <c r="H110" s="1" t="s">
        <v>130</v>
      </c>
    </row>
    <row r="111" spans="1:9">
      <c r="A111" s="2">
        <v>23513</v>
      </c>
      <c r="B111" s="1" t="s">
        <v>128</v>
      </c>
      <c r="C111" s="1" t="s">
        <v>129</v>
      </c>
      <c r="D111" s="3" t="s">
        <v>1</v>
      </c>
      <c r="E111" s="3" t="s">
        <v>6</v>
      </c>
      <c r="F111" s="6" t="s">
        <v>110</v>
      </c>
      <c r="H111" s="1" t="s">
        <v>130</v>
      </c>
    </row>
    <row r="112" spans="1:9" ht="18">
      <c r="A112" s="16">
        <v>23514</v>
      </c>
      <c r="B112" s="13"/>
      <c r="C112" s="13"/>
      <c r="D112" s="14"/>
      <c r="E112" s="14"/>
      <c r="F112" s="15"/>
      <c r="G112" s="15"/>
      <c r="H112" s="13"/>
      <c r="I112" s="13"/>
    </row>
    <row r="113" spans="1:9">
      <c r="A113" s="2">
        <v>23514</v>
      </c>
      <c r="B113" s="1" t="s">
        <v>131</v>
      </c>
      <c r="C113" s="1" t="s">
        <v>25</v>
      </c>
      <c r="D113" s="3" t="s">
        <v>2</v>
      </c>
      <c r="E113" s="3" t="s">
        <v>7</v>
      </c>
      <c r="F113" s="6" t="s">
        <v>119</v>
      </c>
    </row>
    <row r="114" spans="1:9">
      <c r="A114" s="2">
        <v>23514</v>
      </c>
      <c r="B114" s="1" t="s">
        <v>10</v>
      </c>
      <c r="C114" s="1" t="s">
        <v>118</v>
      </c>
      <c r="D114" s="3" t="s">
        <v>2</v>
      </c>
      <c r="E114" s="3" t="s">
        <v>7</v>
      </c>
      <c r="F114" s="6" t="s">
        <v>119</v>
      </c>
    </row>
    <row r="115" spans="1:9" ht="18">
      <c r="A115" s="16">
        <v>23515</v>
      </c>
      <c r="B115" s="13"/>
      <c r="C115" s="13"/>
      <c r="D115" s="14"/>
      <c r="E115" s="14"/>
      <c r="F115" s="15"/>
      <c r="G115" s="15"/>
      <c r="H115" s="13"/>
      <c r="I115" s="13"/>
    </row>
    <row r="116" spans="1:9">
      <c r="A116" s="2">
        <v>23515</v>
      </c>
      <c r="B116" s="1" t="s">
        <v>98</v>
      </c>
      <c r="C116" s="1" t="s">
        <v>27</v>
      </c>
      <c r="D116" s="3" t="s">
        <v>1</v>
      </c>
      <c r="E116" s="3" t="s">
        <v>6</v>
      </c>
      <c r="F116" s="6" t="s">
        <v>110</v>
      </c>
    </row>
    <row r="117" spans="1:9">
      <c r="A117" s="2">
        <v>23515</v>
      </c>
      <c r="B117" s="1" t="s">
        <v>99</v>
      </c>
      <c r="C117" s="1" t="s">
        <v>27</v>
      </c>
      <c r="D117" s="3" t="s">
        <v>1</v>
      </c>
      <c r="E117" s="3" t="s">
        <v>6</v>
      </c>
      <c r="F117" s="6" t="s">
        <v>110</v>
      </c>
    </row>
    <row r="118" spans="1:9">
      <c r="A118" s="2">
        <v>23515</v>
      </c>
      <c r="B118" s="1" t="s">
        <v>132</v>
      </c>
      <c r="C118" s="1" t="s">
        <v>133</v>
      </c>
      <c r="D118" s="3" t="s">
        <v>2</v>
      </c>
      <c r="E118" s="3" t="s">
        <v>7</v>
      </c>
      <c r="F118" s="6" t="s">
        <v>119</v>
      </c>
    </row>
    <row r="119" spans="1:9">
      <c r="A119" s="2">
        <v>23515</v>
      </c>
      <c r="B119" s="1" t="s">
        <v>134</v>
      </c>
      <c r="C119" s="1" t="s">
        <v>135</v>
      </c>
      <c r="D119" s="3" t="s">
        <v>2</v>
      </c>
      <c r="E119" s="3" t="s">
        <v>7</v>
      </c>
      <c r="F119" s="6" t="s">
        <v>119</v>
      </c>
    </row>
    <row r="120" spans="1:9" ht="18">
      <c r="A120" s="16">
        <v>23516</v>
      </c>
      <c r="B120" s="13"/>
      <c r="C120" s="13"/>
      <c r="D120" s="14"/>
      <c r="E120" s="14"/>
      <c r="F120" s="15"/>
      <c r="G120" s="15"/>
      <c r="H120" s="13"/>
      <c r="I120" s="13"/>
    </row>
    <row r="121" spans="1:9">
      <c r="A121" s="2">
        <v>23516</v>
      </c>
      <c r="B121" s="1" t="s">
        <v>136</v>
      </c>
      <c r="C121" s="1" t="s">
        <v>137</v>
      </c>
      <c r="D121" s="3" t="s">
        <v>1</v>
      </c>
      <c r="E121" s="3" t="s">
        <v>6</v>
      </c>
      <c r="F121" s="6" t="s">
        <v>110</v>
      </c>
    </row>
    <row r="122" spans="1:9">
      <c r="A122" s="2">
        <v>23516</v>
      </c>
      <c r="B122" s="1" t="s">
        <v>57</v>
      </c>
      <c r="C122" s="1" t="s">
        <v>64</v>
      </c>
      <c r="D122" s="3" t="s">
        <v>1</v>
      </c>
      <c r="E122" s="3" t="s">
        <v>6</v>
      </c>
      <c r="F122" s="6" t="s">
        <v>110</v>
      </c>
    </row>
    <row r="123" spans="1:9">
      <c r="A123" s="2">
        <v>23516</v>
      </c>
      <c r="B123" s="1" t="s">
        <v>134</v>
      </c>
      <c r="C123" s="1" t="s">
        <v>135</v>
      </c>
      <c r="D123" s="3" t="s">
        <v>2</v>
      </c>
      <c r="E123" s="3" t="s">
        <v>7</v>
      </c>
      <c r="F123" s="6" t="s">
        <v>119</v>
      </c>
    </row>
    <row r="124" spans="1:9">
      <c r="A124" s="2">
        <v>23516</v>
      </c>
      <c r="B124" s="1" t="s">
        <v>11</v>
      </c>
      <c r="C124" s="1" t="s">
        <v>25</v>
      </c>
      <c r="D124" s="3" t="s">
        <v>2</v>
      </c>
      <c r="E124" s="3" t="s">
        <v>7</v>
      </c>
      <c r="F124" s="6" t="s">
        <v>119</v>
      </c>
    </row>
    <row r="125" spans="1:9">
      <c r="A125" s="2">
        <v>23516</v>
      </c>
      <c r="B125" s="1" t="s">
        <v>94</v>
      </c>
      <c r="C125" s="1" t="s">
        <v>32</v>
      </c>
      <c r="D125" s="3" t="s">
        <v>2</v>
      </c>
      <c r="E125" s="3" t="s">
        <v>7</v>
      </c>
      <c r="F125" s="6" t="s">
        <v>119</v>
      </c>
    </row>
    <row r="126" spans="1:9" ht="18">
      <c r="A126" s="16">
        <v>23517</v>
      </c>
      <c r="B126" s="13"/>
      <c r="C126" s="13"/>
      <c r="D126" s="14"/>
      <c r="E126" s="14"/>
      <c r="F126" s="15"/>
      <c r="G126" s="15"/>
      <c r="H126" s="13"/>
      <c r="I126" s="13"/>
    </row>
    <row r="127" spans="1:9">
      <c r="A127" s="2">
        <v>23517</v>
      </c>
      <c r="B127" s="1" t="s">
        <v>52</v>
      </c>
      <c r="C127" s="1" t="s">
        <v>61</v>
      </c>
      <c r="D127" s="3" t="s">
        <v>1</v>
      </c>
      <c r="E127" s="3" t="s">
        <v>6</v>
      </c>
      <c r="F127" s="6" t="s">
        <v>110</v>
      </c>
    </row>
    <row r="128" spans="1:9">
      <c r="A128" s="2">
        <v>23517</v>
      </c>
      <c r="B128" s="1" t="s">
        <v>138</v>
      </c>
      <c r="C128" s="1" t="s">
        <v>139</v>
      </c>
      <c r="D128" s="3" t="s">
        <v>1</v>
      </c>
      <c r="E128" s="3" t="s">
        <v>6</v>
      </c>
      <c r="F128" s="6" t="s">
        <v>110</v>
      </c>
    </row>
    <row r="129" spans="1:6">
      <c r="A129" s="2">
        <v>23517</v>
      </c>
      <c r="B129" s="1" t="s">
        <v>140</v>
      </c>
      <c r="C129" s="1" t="s">
        <v>139</v>
      </c>
      <c r="D129" s="3" t="s">
        <v>1</v>
      </c>
      <c r="E129" s="3" t="s">
        <v>6</v>
      </c>
      <c r="F129" s="6" t="s">
        <v>110</v>
      </c>
    </row>
    <row r="130" spans="1:6">
      <c r="A130" s="2">
        <v>23517</v>
      </c>
      <c r="B130" s="1" t="s">
        <v>142</v>
      </c>
      <c r="C130" s="1" t="s">
        <v>141</v>
      </c>
      <c r="D130" s="3" t="s">
        <v>1</v>
      </c>
      <c r="E130" s="3" t="s">
        <v>6</v>
      </c>
      <c r="F130" s="6" t="s">
        <v>110</v>
      </c>
    </row>
    <row r="131" spans="1:6">
      <c r="A131" s="2">
        <v>23517</v>
      </c>
      <c r="B131" s="1" t="s">
        <v>74</v>
      </c>
      <c r="C131" s="1" t="s">
        <v>83</v>
      </c>
      <c r="D131" s="3" t="s">
        <v>1</v>
      </c>
      <c r="E131" s="3" t="s">
        <v>6</v>
      </c>
      <c r="F131" s="6" t="s">
        <v>110</v>
      </c>
    </row>
    <row r="132" spans="1:6">
      <c r="A132" s="2">
        <v>23517</v>
      </c>
      <c r="B132" s="1" t="s">
        <v>144</v>
      </c>
      <c r="C132" s="1" t="s">
        <v>143</v>
      </c>
      <c r="D132" s="3" t="s">
        <v>1</v>
      </c>
      <c r="E132" s="3" t="s">
        <v>6</v>
      </c>
      <c r="F132" s="6" t="s">
        <v>110</v>
      </c>
    </row>
    <row r="133" spans="1:6">
      <c r="A133" s="2">
        <v>23517</v>
      </c>
      <c r="B133" s="1" t="s">
        <v>146</v>
      </c>
      <c r="C133" s="1" t="s">
        <v>145</v>
      </c>
      <c r="D133" s="3" t="s">
        <v>1</v>
      </c>
      <c r="E133" s="3" t="s">
        <v>6</v>
      </c>
      <c r="F133" s="6" t="s">
        <v>110</v>
      </c>
    </row>
    <row r="134" spans="1:6">
      <c r="A134" s="2">
        <v>23517</v>
      </c>
      <c r="B134" s="1" t="s">
        <v>148</v>
      </c>
      <c r="C134" s="1" t="s">
        <v>147</v>
      </c>
      <c r="D134" s="3" t="s">
        <v>1</v>
      </c>
      <c r="E134" s="3" t="s">
        <v>6</v>
      </c>
      <c r="F134" s="6" t="s">
        <v>110</v>
      </c>
    </row>
    <row r="135" spans="1:6">
      <c r="A135" s="2">
        <v>23517</v>
      </c>
      <c r="B135" s="1" t="s">
        <v>149</v>
      </c>
      <c r="C135" s="1" t="s">
        <v>147</v>
      </c>
      <c r="D135" s="3" t="s">
        <v>1</v>
      </c>
      <c r="E135" s="3" t="s">
        <v>6</v>
      </c>
      <c r="F135" s="6" t="s">
        <v>110</v>
      </c>
    </row>
    <row r="136" spans="1:6">
      <c r="A136" s="2">
        <v>23517</v>
      </c>
      <c r="B136" s="1" t="s">
        <v>150</v>
      </c>
      <c r="C136" s="1" t="s">
        <v>147</v>
      </c>
      <c r="D136" s="3" t="s">
        <v>1</v>
      </c>
      <c r="E136" s="3" t="s">
        <v>6</v>
      </c>
      <c r="F136" s="6" t="s">
        <v>110</v>
      </c>
    </row>
    <row r="137" spans="1:6">
      <c r="A137" s="2">
        <v>23517</v>
      </c>
      <c r="B137" s="1" t="s">
        <v>152</v>
      </c>
      <c r="C137" s="1" t="s">
        <v>151</v>
      </c>
      <c r="D137" s="3" t="s">
        <v>1</v>
      </c>
      <c r="E137" s="3" t="s">
        <v>6</v>
      </c>
      <c r="F137" s="6" t="s">
        <v>110</v>
      </c>
    </row>
    <row r="138" spans="1:6">
      <c r="A138" s="2">
        <v>23517</v>
      </c>
      <c r="B138" s="1" t="s">
        <v>153</v>
      </c>
      <c r="C138" s="1" t="s">
        <v>151</v>
      </c>
      <c r="D138" s="3" t="s">
        <v>1</v>
      </c>
      <c r="E138" s="3" t="s">
        <v>6</v>
      </c>
      <c r="F138" s="6" t="s">
        <v>110</v>
      </c>
    </row>
    <row r="139" spans="1:6">
      <c r="A139" s="2">
        <v>23517</v>
      </c>
      <c r="B139" s="1" t="s">
        <v>154</v>
      </c>
      <c r="C139" s="1" t="s">
        <v>151</v>
      </c>
      <c r="D139" s="3" t="s">
        <v>1</v>
      </c>
      <c r="E139" s="3" t="s">
        <v>6</v>
      </c>
      <c r="F139" s="6" t="s">
        <v>110</v>
      </c>
    </row>
    <row r="140" spans="1:6">
      <c r="A140" s="2">
        <v>23517</v>
      </c>
      <c r="B140" s="1" t="s">
        <v>155</v>
      </c>
      <c r="C140" s="1" t="s">
        <v>163</v>
      </c>
      <c r="D140" s="3" t="s">
        <v>1</v>
      </c>
      <c r="E140" s="3" t="s">
        <v>6</v>
      </c>
      <c r="F140" s="6" t="s">
        <v>110</v>
      </c>
    </row>
    <row r="141" spans="1:6">
      <c r="A141" s="2">
        <v>23517</v>
      </c>
      <c r="B141" s="1" t="s">
        <v>156</v>
      </c>
      <c r="C141" s="1" t="s">
        <v>163</v>
      </c>
      <c r="D141" s="3" t="s">
        <v>1</v>
      </c>
      <c r="E141" s="3" t="s">
        <v>6</v>
      </c>
      <c r="F141" s="6" t="s">
        <v>110</v>
      </c>
    </row>
    <row r="142" spans="1:6">
      <c r="A142" s="2">
        <v>23517</v>
      </c>
      <c r="B142" s="1" t="s">
        <v>53</v>
      </c>
      <c r="C142" s="1" t="s">
        <v>61</v>
      </c>
      <c r="D142" s="3" t="s">
        <v>1</v>
      </c>
      <c r="E142" s="3" t="s">
        <v>6</v>
      </c>
      <c r="F142" s="6" t="s">
        <v>110</v>
      </c>
    </row>
    <row r="143" spans="1:6">
      <c r="A143" s="2">
        <v>23517</v>
      </c>
      <c r="B143" s="1" t="s">
        <v>79</v>
      </c>
      <c r="C143" s="1" t="s">
        <v>86</v>
      </c>
      <c r="D143" s="3" t="s">
        <v>1</v>
      </c>
      <c r="E143" s="3" t="s">
        <v>6</v>
      </c>
      <c r="F143" s="6" t="s">
        <v>110</v>
      </c>
    </row>
    <row r="144" spans="1:6">
      <c r="A144" s="2">
        <v>23517</v>
      </c>
      <c r="B144" s="1" t="s">
        <v>58</v>
      </c>
      <c r="C144" s="1" t="s">
        <v>157</v>
      </c>
      <c r="D144" s="3" t="s">
        <v>1</v>
      </c>
      <c r="E144" s="3" t="s">
        <v>6</v>
      </c>
      <c r="F144" s="6" t="s">
        <v>110</v>
      </c>
    </row>
    <row r="145" spans="1:9">
      <c r="A145" s="2">
        <v>23517</v>
      </c>
      <c r="B145" s="1" t="s">
        <v>99</v>
      </c>
      <c r="C145" s="1" t="s">
        <v>27</v>
      </c>
      <c r="D145" s="3" t="s">
        <v>1</v>
      </c>
      <c r="E145" s="3" t="s">
        <v>6</v>
      </c>
      <c r="F145" s="6" t="s">
        <v>110</v>
      </c>
    </row>
    <row r="146" spans="1:9">
      <c r="A146" s="2">
        <v>23517</v>
      </c>
      <c r="B146" s="1" t="s">
        <v>98</v>
      </c>
      <c r="C146" s="1" t="s">
        <v>27</v>
      </c>
      <c r="D146" s="3" t="s">
        <v>1</v>
      </c>
      <c r="E146" s="3" t="s">
        <v>6</v>
      </c>
      <c r="F146" s="6" t="s">
        <v>110</v>
      </c>
    </row>
    <row r="147" spans="1:9">
      <c r="A147" s="2">
        <v>23517</v>
      </c>
      <c r="B147" s="1" t="s">
        <v>159</v>
      </c>
      <c r="C147" s="1" t="s">
        <v>158</v>
      </c>
      <c r="D147" s="3" t="s">
        <v>1</v>
      </c>
      <c r="E147" s="3" t="s">
        <v>6</v>
      </c>
      <c r="F147" s="6" t="s">
        <v>110</v>
      </c>
    </row>
    <row r="148" spans="1:9">
      <c r="A148" s="2">
        <v>23517</v>
      </c>
      <c r="B148" s="1" t="s">
        <v>57</v>
      </c>
      <c r="C148" s="1" t="s">
        <v>160</v>
      </c>
      <c r="D148" s="3" t="s">
        <v>1</v>
      </c>
      <c r="E148" s="3" t="s">
        <v>6</v>
      </c>
      <c r="F148" s="6" t="s">
        <v>110</v>
      </c>
    </row>
    <row r="149" spans="1:9">
      <c r="A149" s="2">
        <v>23517</v>
      </c>
      <c r="B149" s="1" t="s">
        <v>161</v>
      </c>
      <c r="C149" s="1" t="s">
        <v>162</v>
      </c>
      <c r="D149" s="3" t="s">
        <v>2</v>
      </c>
      <c r="E149" s="3" t="s">
        <v>7</v>
      </c>
      <c r="F149" s="6" t="s">
        <v>119</v>
      </c>
    </row>
    <row r="150" spans="1:9">
      <c r="A150" s="2">
        <v>23517</v>
      </c>
      <c r="B150" s="1" t="s">
        <v>94</v>
      </c>
      <c r="C150" s="1" t="s">
        <v>32</v>
      </c>
      <c r="D150" s="3" t="s">
        <v>2</v>
      </c>
      <c r="E150" s="3" t="s">
        <v>7</v>
      </c>
      <c r="F150" s="6" t="s">
        <v>119</v>
      </c>
    </row>
    <row r="151" spans="1:9">
      <c r="A151" s="2">
        <v>23517</v>
      </c>
      <c r="B151" s="1" t="s">
        <v>134</v>
      </c>
      <c r="C151" s="1" t="s">
        <v>135</v>
      </c>
      <c r="D151" s="3" t="s">
        <v>2</v>
      </c>
      <c r="E151" s="3" t="s">
        <v>7</v>
      </c>
      <c r="F151" s="6" t="s">
        <v>119</v>
      </c>
    </row>
    <row r="152" spans="1:9" ht="18">
      <c r="A152" s="16">
        <v>23518</v>
      </c>
      <c r="B152" s="13"/>
      <c r="C152" s="13"/>
      <c r="D152" s="14"/>
      <c r="E152" s="14"/>
      <c r="F152" s="15"/>
      <c r="G152" s="15"/>
      <c r="H152" s="13"/>
      <c r="I152" s="13"/>
    </row>
    <row r="153" spans="1:9">
      <c r="A153" s="2">
        <v>23517</v>
      </c>
      <c r="B153" s="1" t="s">
        <v>146</v>
      </c>
      <c r="C153" s="1" t="s">
        <v>145</v>
      </c>
      <c r="D153" s="3" t="s">
        <v>1</v>
      </c>
      <c r="E153" s="3" t="s">
        <v>6</v>
      </c>
      <c r="F153" s="6" t="s">
        <v>110</v>
      </c>
    </row>
    <row r="154" spans="1:9">
      <c r="A154" s="2">
        <v>23517</v>
      </c>
      <c r="B154" s="1" t="s">
        <v>148</v>
      </c>
      <c r="C154" s="1" t="s">
        <v>177</v>
      </c>
      <c r="D154" s="3" t="s">
        <v>1</v>
      </c>
      <c r="E154" s="3" t="s">
        <v>6</v>
      </c>
      <c r="F154" s="6" t="s">
        <v>110</v>
      </c>
    </row>
    <row r="155" spans="1:9">
      <c r="A155" s="2">
        <v>23517</v>
      </c>
      <c r="B155" s="1" t="s">
        <v>149</v>
      </c>
      <c r="C155" s="1" t="s">
        <v>177</v>
      </c>
      <c r="D155" s="3" t="s">
        <v>1</v>
      </c>
      <c r="E155" s="3" t="s">
        <v>6</v>
      </c>
      <c r="F155" s="6" t="s">
        <v>110</v>
      </c>
    </row>
    <row r="156" spans="1:9">
      <c r="A156" s="2">
        <v>23517</v>
      </c>
      <c r="B156" s="1" t="s">
        <v>150</v>
      </c>
      <c r="C156" s="1" t="s">
        <v>177</v>
      </c>
      <c r="D156" s="3" t="s">
        <v>1</v>
      </c>
      <c r="E156" s="3" t="s">
        <v>6</v>
      </c>
      <c r="F156" s="6" t="s">
        <v>110</v>
      </c>
    </row>
    <row r="157" spans="1:9">
      <c r="A157" s="2">
        <v>23517</v>
      </c>
      <c r="B157" s="1" t="s">
        <v>164</v>
      </c>
      <c r="C157" s="1" t="s">
        <v>178</v>
      </c>
      <c r="D157" s="3" t="s">
        <v>1</v>
      </c>
      <c r="E157" s="3" t="s">
        <v>6</v>
      </c>
      <c r="F157" s="6" t="s">
        <v>110</v>
      </c>
    </row>
    <row r="158" spans="1:9">
      <c r="A158" s="2">
        <v>23517</v>
      </c>
      <c r="B158" s="1" t="s">
        <v>153</v>
      </c>
      <c r="C158" s="1" t="s">
        <v>178</v>
      </c>
      <c r="D158" s="3" t="s">
        <v>1</v>
      </c>
      <c r="E158" s="3" t="s">
        <v>6</v>
      </c>
      <c r="F158" s="6" t="s">
        <v>110</v>
      </c>
    </row>
    <row r="159" spans="1:9">
      <c r="A159" s="2">
        <v>23517</v>
      </c>
      <c r="B159" s="1" t="s">
        <v>154</v>
      </c>
      <c r="C159" s="1" t="s">
        <v>178</v>
      </c>
      <c r="D159" s="3" t="s">
        <v>1</v>
      </c>
      <c r="E159" s="3" t="s">
        <v>6</v>
      </c>
      <c r="F159" s="6" t="s">
        <v>110</v>
      </c>
    </row>
    <row r="160" spans="1:9">
      <c r="A160" s="2">
        <v>23517</v>
      </c>
      <c r="B160" s="1" t="s">
        <v>155</v>
      </c>
      <c r="C160" s="1" t="s">
        <v>163</v>
      </c>
      <c r="D160" s="3" t="s">
        <v>1</v>
      </c>
      <c r="E160" s="3" t="s">
        <v>6</v>
      </c>
      <c r="F160" s="6" t="s">
        <v>110</v>
      </c>
    </row>
    <row r="161" spans="1:9">
      <c r="A161" s="2">
        <v>23517</v>
      </c>
      <c r="B161" s="1" t="s">
        <v>156</v>
      </c>
      <c r="C161" s="1" t="s">
        <v>163</v>
      </c>
      <c r="D161" s="3" t="s">
        <v>1</v>
      </c>
      <c r="E161" s="3" t="s">
        <v>6</v>
      </c>
      <c r="F161" s="6" t="s">
        <v>110</v>
      </c>
    </row>
    <row r="162" spans="1:9">
      <c r="A162" s="2">
        <v>23518</v>
      </c>
      <c r="B162" s="1" t="s">
        <v>165</v>
      </c>
      <c r="C162" s="1" t="s">
        <v>176</v>
      </c>
      <c r="D162" s="3" t="s">
        <v>1</v>
      </c>
      <c r="E162" s="3" t="s">
        <v>6</v>
      </c>
      <c r="F162" s="6" t="s">
        <v>110</v>
      </c>
    </row>
    <row r="163" spans="1:9">
      <c r="A163" s="2">
        <v>23518</v>
      </c>
      <c r="B163" s="1" t="s">
        <v>166</v>
      </c>
      <c r="C163" s="1" t="s">
        <v>176</v>
      </c>
      <c r="D163" s="3" t="s">
        <v>1</v>
      </c>
      <c r="E163" s="3" t="s">
        <v>6</v>
      </c>
      <c r="F163" s="6" t="s">
        <v>110</v>
      </c>
    </row>
    <row r="164" spans="1:9">
      <c r="A164" s="2">
        <v>23518</v>
      </c>
      <c r="B164" s="1" t="s">
        <v>98</v>
      </c>
      <c r="C164" s="1" t="s">
        <v>27</v>
      </c>
      <c r="D164" s="3" t="s">
        <v>1</v>
      </c>
      <c r="E164" s="3" t="s">
        <v>6</v>
      </c>
      <c r="F164" s="6" t="s">
        <v>110</v>
      </c>
    </row>
    <row r="165" spans="1:9">
      <c r="A165" s="2">
        <v>23518</v>
      </c>
      <c r="B165" s="1" t="s">
        <v>99</v>
      </c>
      <c r="C165" s="1" t="s">
        <v>27</v>
      </c>
      <c r="D165" s="3" t="s">
        <v>1</v>
      </c>
      <c r="E165" s="3" t="s">
        <v>6</v>
      </c>
      <c r="F165" s="6" t="s">
        <v>110</v>
      </c>
    </row>
    <row r="166" spans="1:9">
      <c r="A166" s="2">
        <v>23518</v>
      </c>
      <c r="B166" s="1" t="s">
        <v>167</v>
      </c>
      <c r="C166" s="1" t="s">
        <v>173</v>
      </c>
      <c r="D166" s="3" t="s">
        <v>2</v>
      </c>
      <c r="E166" s="3" t="s">
        <v>7</v>
      </c>
      <c r="F166" s="6" t="s">
        <v>119</v>
      </c>
    </row>
    <row r="167" spans="1:9">
      <c r="A167" s="2">
        <v>23518</v>
      </c>
      <c r="B167" s="1" t="s">
        <v>168</v>
      </c>
      <c r="C167" s="1" t="s">
        <v>174</v>
      </c>
      <c r="D167" s="3" t="s">
        <v>2</v>
      </c>
      <c r="E167" s="3" t="s">
        <v>7</v>
      </c>
      <c r="F167" s="6" t="s">
        <v>119</v>
      </c>
      <c r="H167" s="1" t="s">
        <v>188</v>
      </c>
    </row>
    <row r="168" spans="1:9">
      <c r="A168" s="2">
        <v>23518</v>
      </c>
      <c r="B168" s="1" t="s">
        <v>169</v>
      </c>
      <c r="C168" s="1" t="s">
        <v>174</v>
      </c>
      <c r="D168" s="3" t="s">
        <v>2</v>
      </c>
      <c r="E168" s="3" t="s">
        <v>7</v>
      </c>
      <c r="F168" s="6" t="s">
        <v>119</v>
      </c>
      <c r="H168" s="1" t="s">
        <v>188</v>
      </c>
    </row>
    <row r="169" spans="1:9">
      <c r="A169" s="2">
        <v>23518</v>
      </c>
      <c r="B169" s="1" t="s">
        <v>170</v>
      </c>
      <c r="C169" s="1" t="s">
        <v>175</v>
      </c>
      <c r="D169" s="3" t="s">
        <v>2</v>
      </c>
      <c r="E169" s="3" t="s">
        <v>7</v>
      </c>
      <c r="F169" s="6" t="s">
        <v>119</v>
      </c>
      <c r="H169" s="1" t="s">
        <v>188</v>
      </c>
    </row>
    <row r="170" spans="1:9">
      <c r="A170" s="2">
        <v>23518</v>
      </c>
      <c r="B170" s="1" t="s">
        <v>171</v>
      </c>
      <c r="C170" s="1" t="s">
        <v>175</v>
      </c>
      <c r="D170" s="3" t="s">
        <v>2</v>
      </c>
      <c r="E170" s="3" t="s">
        <v>7</v>
      </c>
      <c r="F170" s="6" t="s">
        <v>119</v>
      </c>
      <c r="H170" s="1" t="s">
        <v>188</v>
      </c>
    </row>
    <row r="171" spans="1:9">
      <c r="A171" s="2">
        <v>23518</v>
      </c>
      <c r="B171" s="1" t="s">
        <v>172</v>
      </c>
      <c r="C171" s="1" t="s">
        <v>175</v>
      </c>
      <c r="D171" s="3" t="s">
        <v>2</v>
      </c>
      <c r="E171" s="3" t="s">
        <v>7</v>
      </c>
      <c r="F171" s="6" t="s">
        <v>119</v>
      </c>
      <c r="H171" s="1" t="s">
        <v>188</v>
      </c>
    </row>
    <row r="172" spans="1:9" ht="18">
      <c r="A172" s="16">
        <v>23519</v>
      </c>
      <c r="B172" s="13"/>
      <c r="C172" s="13"/>
      <c r="D172" s="14"/>
      <c r="E172" s="14"/>
      <c r="F172" s="15"/>
      <c r="G172" s="15"/>
      <c r="H172" s="13"/>
      <c r="I172" s="13"/>
    </row>
    <row r="173" spans="1:9">
      <c r="A173" s="2">
        <v>23518</v>
      </c>
      <c r="B173" s="1" t="s">
        <v>165</v>
      </c>
      <c r="C173" s="1" t="s">
        <v>181</v>
      </c>
      <c r="D173" s="3" t="s">
        <v>1</v>
      </c>
      <c r="E173" s="3" t="s">
        <v>6</v>
      </c>
      <c r="F173" s="6" t="s">
        <v>110</v>
      </c>
    </row>
    <row r="174" spans="1:9">
      <c r="A174" s="2">
        <v>23518</v>
      </c>
      <c r="B174" s="1" t="s">
        <v>166</v>
      </c>
      <c r="C174" s="1" t="s">
        <v>181</v>
      </c>
      <c r="D174" s="3" t="s">
        <v>1</v>
      </c>
      <c r="E174" s="3" t="s">
        <v>6</v>
      </c>
      <c r="F174" s="6" t="s">
        <v>110</v>
      </c>
    </row>
    <row r="175" spans="1:9">
      <c r="A175" s="2">
        <v>23517</v>
      </c>
      <c r="B175" s="1" t="s">
        <v>146</v>
      </c>
      <c r="C175" s="1" t="s">
        <v>145</v>
      </c>
      <c r="D175" s="3" t="s">
        <v>1</v>
      </c>
      <c r="E175" s="3" t="s">
        <v>6</v>
      </c>
      <c r="F175" s="6" t="s">
        <v>110</v>
      </c>
    </row>
    <row r="176" spans="1:9">
      <c r="A176" s="2">
        <v>23519</v>
      </c>
      <c r="B176" s="1" t="s">
        <v>179</v>
      </c>
      <c r="C176" s="1" t="s">
        <v>180</v>
      </c>
      <c r="D176" s="3" t="s">
        <v>1</v>
      </c>
      <c r="E176" s="3" t="s">
        <v>6</v>
      </c>
      <c r="F176" s="6" t="s">
        <v>110</v>
      </c>
    </row>
    <row r="177" spans="1:9">
      <c r="A177" s="2">
        <v>23519</v>
      </c>
      <c r="B177" s="1" t="s">
        <v>171</v>
      </c>
      <c r="C177" s="1" t="s">
        <v>187</v>
      </c>
      <c r="D177" s="3" t="s">
        <v>2</v>
      </c>
      <c r="E177" s="3" t="s">
        <v>7</v>
      </c>
      <c r="F177" s="6" t="s">
        <v>119</v>
      </c>
    </row>
    <row r="178" spans="1:9">
      <c r="A178" s="2">
        <v>23519</v>
      </c>
      <c r="B178" s="1" t="s">
        <v>172</v>
      </c>
      <c r="C178" s="1" t="s">
        <v>187</v>
      </c>
      <c r="D178" s="3" t="s">
        <v>2</v>
      </c>
      <c r="E178" s="3" t="s">
        <v>7</v>
      </c>
      <c r="F178" s="6" t="s">
        <v>119</v>
      </c>
    </row>
    <row r="179" spans="1:9">
      <c r="A179" s="2">
        <v>23519</v>
      </c>
      <c r="B179" s="1" t="s">
        <v>170</v>
      </c>
      <c r="C179" s="1" t="s">
        <v>187</v>
      </c>
      <c r="D179" s="3" t="s">
        <v>2</v>
      </c>
      <c r="E179" s="3" t="s">
        <v>7</v>
      </c>
      <c r="F179" s="6" t="s">
        <v>119</v>
      </c>
    </row>
    <row r="180" spans="1:9">
      <c r="A180" s="2">
        <v>23519</v>
      </c>
      <c r="B180" s="1" t="s">
        <v>168</v>
      </c>
      <c r="C180" s="1" t="s">
        <v>174</v>
      </c>
      <c r="D180" s="3" t="s">
        <v>2</v>
      </c>
      <c r="E180" s="3" t="s">
        <v>7</v>
      </c>
      <c r="F180" s="6" t="s">
        <v>119</v>
      </c>
    </row>
    <row r="181" spans="1:9">
      <c r="A181" s="2">
        <v>23519</v>
      </c>
      <c r="B181" s="1" t="s">
        <v>182</v>
      </c>
      <c r="C181" s="1" t="s">
        <v>124</v>
      </c>
      <c r="D181" s="3" t="s">
        <v>2</v>
      </c>
      <c r="E181" s="3" t="s">
        <v>7</v>
      </c>
      <c r="F181" s="6" t="s">
        <v>119</v>
      </c>
    </row>
    <row r="182" spans="1:9">
      <c r="A182" s="2">
        <v>23519</v>
      </c>
      <c r="B182" s="1" t="s">
        <v>122</v>
      </c>
      <c r="C182" s="1" t="s">
        <v>186</v>
      </c>
      <c r="D182" s="3" t="s">
        <v>2</v>
      </c>
      <c r="E182" s="3" t="s">
        <v>7</v>
      </c>
      <c r="F182" s="6" t="s">
        <v>119</v>
      </c>
    </row>
    <row r="183" spans="1:9">
      <c r="A183" s="2">
        <v>23519</v>
      </c>
      <c r="B183" s="1" t="s">
        <v>183</v>
      </c>
      <c r="C183" s="1" t="s">
        <v>24</v>
      </c>
      <c r="D183" s="3" t="s">
        <v>2</v>
      </c>
      <c r="E183" s="3" t="s">
        <v>7</v>
      </c>
      <c r="F183" s="6" t="s">
        <v>119</v>
      </c>
    </row>
    <row r="184" spans="1:9">
      <c r="A184" s="2">
        <v>23519</v>
      </c>
      <c r="B184" s="1" t="s">
        <v>184</v>
      </c>
      <c r="C184" s="1" t="s">
        <v>185</v>
      </c>
      <c r="D184" s="3" t="s">
        <v>2</v>
      </c>
      <c r="E184" s="3" t="s">
        <v>7</v>
      </c>
      <c r="F184" s="6" t="s">
        <v>119</v>
      </c>
    </row>
    <row r="185" spans="1:9">
      <c r="A185" s="28">
        <v>23521</v>
      </c>
      <c r="B185" s="13"/>
      <c r="C185" s="13"/>
      <c r="D185" s="14"/>
      <c r="E185" s="14"/>
      <c r="F185" s="15"/>
      <c r="G185" s="15"/>
      <c r="H185" s="13"/>
      <c r="I185" s="13"/>
    </row>
    <row r="186" spans="1:9">
      <c r="A186" s="2">
        <v>23518</v>
      </c>
      <c r="B186" s="1" t="s">
        <v>165</v>
      </c>
      <c r="C186" s="1" t="s">
        <v>181</v>
      </c>
      <c r="D186" s="3" t="s">
        <v>1</v>
      </c>
      <c r="E186" s="3" t="s">
        <v>6</v>
      </c>
      <c r="F186" s="6" t="s">
        <v>110</v>
      </c>
    </row>
    <row r="187" spans="1:9">
      <c r="A187" s="2">
        <v>23518</v>
      </c>
      <c r="B187" s="1" t="s">
        <v>166</v>
      </c>
      <c r="C187" s="1" t="s">
        <v>181</v>
      </c>
      <c r="D187" s="3" t="s">
        <v>1</v>
      </c>
      <c r="E187" s="3" t="s">
        <v>6</v>
      </c>
      <c r="F187" s="6" t="s">
        <v>110</v>
      </c>
    </row>
    <row r="188" spans="1:9">
      <c r="A188" s="2">
        <v>23517</v>
      </c>
      <c r="B188" s="1" t="s">
        <v>179</v>
      </c>
      <c r="C188" s="1" t="s">
        <v>180</v>
      </c>
      <c r="D188" s="3" t="s">
        <v>1</v>
      </c>
      <c r="E188" s="3" t="s">
        <v>6</v>
      </c>
      <c r="F188" s="6" t="s">
        <v>110</v>
      </c>
      <c r="H188" s="1" t="s">
        <v>195</v>
      </c>
    </row>
    <row r="189" spans="1:9">
      <c r="A189" s="2">
        <v>23520</v>
      </c>
      <c r="B189" s="1" t="s">
        <v>98</v>
      </c>
      <c r="C189" s="1" t="s">
        <v>27</v>
      </c>
      <c r="D189" s="3" t="s">
        <v>1</v>
      </c>
      <c r="E189" s="3" t="s">
        <v>6</v>
      </c>
      <c r="F189" s="6" t="s">
        <v>110</v>
      </c>
    </row>
    <row r="190" spans="1:9">
      <c r="A190" s="2">
        <v>23520</v>
      </c>
      <c r="B190" s="1" t="s">
        <v>99</v>
      </c>
      <c r="C190" s="1" t="s">
        <v>27</v>
      </c>
      <c r="D190" s="3" t="s">
        <v>1</v>
      </c>
      <c r="E190" s="3" t="s">
        <v>6</v>
      </c>
      <c r="F190" s="6" t="s">
        <v>110</v>
      </c>
    </row>
    <row r="191" spans="1:9">
      <c r="A191" s="2">
        <v>23521</v>
      </c>
      <c r="B191" s="1" t="s">
        <v>189</v>
      </c>
      <c r="C191" s="1" t="s">
        <v>191</v>
      </c>
      <c r="D191" s="3" t="s">
        <v>1</v>
      </c>
      <c r="E191" s="3" t="s">
        <v>6</v>
      </c>
      <c r="F191" s="6" t="s">
        <v>110</v>
      </c>
    </row>
    <row r="192" spans="1:9">
      <c r="A192" s="2">
        <v>23521</v>
      </c>
      <c r="B192" s="1" t="s">
        <v>190</v>
      </c>
      <c r="C192" s="1" t="s">
        <v>191</v>
      </c>
      <c r="D192" s="3" t="s">
        <v>1</v>
      </c>
      <c r="E192" s="3" t="s">
        <v>6</v>
      </c>
      <c r="F192" s="6" t="s">
        <v>110</v>
      </c>
    </row>
    <row r="193" spans="1:9">
      <c r="A193" s="2">
        <v>23521</v>
      </c>
      <c r="B193" s="1" t="s">
        <v>159</v>
      </c>
      <c r="C193" s="1" t="s">
        <v>158</v>
      </c>
      <c r="D193" s="3" t="s">
        <v>1</v>
      </c>
      <c r="E193" s="3" t="s">
        <v>6</v>
      </c>
      <c r="F193" s="6" t="s">
        <v>110</v>
      </c>
    </row>
    <row r="194" spans="1:9">
      <c r="A194" s="2">
        <v>23521</v>
      </c>
      <c r="B194" s="1" t="s">
        <v>192</v>
      </c>
      <c r="C194" s="1" t="s">
        <v>61</v>
      </c>
      <c r="D194" s="3" t="s">
        <v>2</v>
      </c>
      <c r="E194" s="3" t="s">
        <v>7</v>
      </c>
      <c r="F194" s="6" t="s">
        <v>119</v>
      </c>
    </row>
    <row r="195" spans="1:9">
      <c r="A195" s="2">
        <v>23521</v>
      </c>
      <c r="B195" s="1" t="s">
        <v>171</v>
      </c>
      <c r="C195" s="1" t="s">
        <v>187</v>
      </c>
      <c r="D195" s="3" t="s">
        <v>2</v>
      </c>
      <c r="E195" s="3" t="s">
        <v>7</v>
      </c>
      <c r="F195" s="6" t="s">
        <v>119</v>
      </c>
    </row>
    <row r="196" spans="1:9">
      <c r="A196" s="2">
        <v>23521</v>
      </c>
      <c r="B196" s="1" t="s">
        <v>172</v>
      </c>
      <c r="C196" s="1" t="s">
        <v>187</v>
      </c>
      <c r="D196" s="3" t="s">
        <v>2</v>
      </c>
      <c r="E196" s="3" t="s">
        <v>7</v>
      </c>
      <c r="F196" s="6" t="s">
        <v>119</v>
      </c>
    </row>
    <row r="197" spans="1:9">
      <c r="A197" s="2">
        <v>23521</v>
      </c>
      <c r="B197" s="1" t="s">
        <v>170</v>
      </c>
      <c r="C197" s="1" t="s">
        <v>187</v>
      </c>
      <c r="D197" s="3" t="s">
        <v>2</v>
      </c>
      <c r="E197" s="3" t="s">
        <v>7</v>
      </c>
      <c r="F197" s="6" t="s">
        <v>119</v>
      </c>
    </row>
    <row r="198" spans="1:9">
      <c r="A198" s="2">
        <v>23521</v>
      </c>
      <c r="B198" s="1" t="s">
        <v>169</v>
      </c>
      <c r="C198" s="1" t="s">
        <v>174</v>
      </c>
      <c r="D198" s="3" t="s">
        <v>2</v>
      </c>
      <c r="E198" s="3" t="s">
        <v>7</v>
      </c>
      <c r="F198" s="6" t="s">
        <v>119</v>
      </c>
    </row>
    <row r="199" spans="1:9">
      <c r="A199" s="2">
        <v>23521</v>
      </c>
      <c r="B199" s="1" t="s">
        <v>182</v>
      </c>
      <c r="C199" s="1" t="s">
        <v>124</v>
      </c>
      <c r="D199" s="3" t="s">
        <v>2</v>
      </c>
      <c r="E199" s="3" t="s">
        <v>7</v>
      </c>
      <c r="F199" s="6" t="s">
        <v>119</v>
      </c>
    </row>
    <row r="200" spans="1:9">
      <c r="A200" s="2">
        <v>23521</v>
      </c>
      <c r="B200" s="1" t="s">
        <v>193</v>
      </c>
      <c r="C200" s="1" t="s">
        <v>194</v>
      </c>
      <c r="D200" s="3" t="s">
        <v>2</v>
      </c>
      <c r="E200" s="3" t="s">
        <v>7</v>
      </c>
      <c r="F200" s="6" t="s">
        <v>119</v>
      </c>
    </row>
    <row r="201" spans="1:9">
      <c r="A201" s="2">
        <v>23521</v>
      </c>
      <c r="B201" s="1" t="s">
        <v>122</v>
      </c>
      <c r="C201" s="1" t="s">
        <v>186</v>
      </c>
      <c r="D201" s="3" t="s">
        <v>2</v>
      </c>
      <c r="E201" s="3" t="s">
        <v>7</v>
      </c>
      <c r="F201" s="6" t="s">
        <v>119</v>
      </c>
    </row>
    <row r="202" spans="1:9" ht="18">
      <c r="A202" s="16">
        <v>23522</v>
      </c>
      <c r="B202" s="13"/>
      <c r="C202" s="13"/>
      <c r="D202" s="14"/>
      <c r="E202" s="14"/>
      <c r="F202" s="15"/>
      <c r="G202" s="15"/>
      <c r="H202" s="13"/>
      <c r="I202" s="13"/>
    </row>
    <row r="203" spans="1:9">
      <c r="A203" s="2">
        <v>23518</v>
      </c>
      <c r="B203" s="1" t="s">
        <v>165</v>
      </c>
      <c r="C203" s="1" t="s">
        <v>181</v>
      </c>
      <c r="D203" s="3" t="s">
        <v>1</v>
      </c>
      <c r="E203" s="3" t="s">
        <v>6</v>
      </c>
      <c r="F203" s="6" t="s">
        <v>110</v>
      </c>
    </row>
    <row r="204" spans="1:9">
      <c r="A204" s="2">
        <v>23518</v>
      </c>
      <c r="B204" s="1" t="s">
        <v>166</v>
      </c>
      <c r="C204" s="1" t="s">
        <v>181</v>
      </c>
      <c r="D204" s="3" t="s">
        <v>1</v>
      </c>
      <c r="E204" s="3" t="s">
        <v>6</v>
      </c>
      <c r="F204" s="6" t="s">
        <v>110</v>
      </c>
    </row>
    <row r="205" spans="1:9">
      <c r="A205" s="2">
        <v>23521</v>
      </c>
      <c r="B205" s="1" t="s">
        <v>159</v>
      </c>
      <c r="C205" s="1" t="s">
        <v>158</v>
      </c>
      <c r="D205" s="3" t="s">
        <v>1</v>
      </c>
      <c r="E205" s="3" t="s">
        <v>6</v>
      </c>
      <c r="F205" s="6" t="s">
        <v>110</v>
      </c>
    </row>
    <row r="206" spans="1:9">
      <c r="A206" s="2">
        <v>23521</v>
      </c>
      <c r="B206" s="1" t="s">
        <v>190</v>
      </c>
      <c r="C206" s="1" t="s">
        <v>191</v>
      </c>
      <c r="D206" s="3" t="s">
        <v>1</v>
      </c>
      <c r="E206" s="3" t="s">
        <v>6</v>
      </c>
      <c r="F206" s="6" t="s">
        <v>110</v>
      </c>
    </row>
    <row r="207" spans="1:9">
      <c r="A207" s="2">
        <v>23521</v>
      </c>
      <c r="B207" s="1" t="s">
        <v>189</v>
      </c>
      <c r="C207" s="1" t="s">
        <v>191</v>
      </c>
      <c r="D207" s="3" t="s">
        <v>1</v>
      </c>
      <c r="E207" s="3" t="s">
        <v>6</v>
      </c>
      <c r="F207" s="6" t="s">
        <v>110</v>
      </c>
    </row>
    <row r="208" spans="1:9">
      <c r="A208" s="2">
        <v>23522</v>
      </c>
      <c r="B208" s="1" t="s">
        <v>196</v>
      </c>
      <c r="C208" s="1" t="s">
        <v>197</v>
      </c>
      <c r="D208" s="3" t="s">
        <v>1</v>
      </c>
      <c r="E208" s="3" t="s">
        <v>6</v>
      </c>
      <c r="F208" s="6" t="s">
        <v>110</v>
      </c>
    </row>
    <row r="209" spans="1:9">
      <c r="A209" s="2">
        <v>23522</v>
      </c>
      <c r="B209" s="1" t="s">
        <v>198</v>
      </c>
      <c r="C209" s="1" t="s">
        <v>124</v>
      </c>
      <c r="D209" s="3" t="s">
        <v>2</v>
      </c>
      <c r="E209" s="3" t="s">
        <v>7</v>
      </c>
      <c r="F209" s="6" t="s">
        <v>119</v>
      </c>
    </row>
    <row r="210" spans="1:9">
      <c r="A210" s="2">
        <v>23522</v>
      </c>
      <c r="B210" s="1" t="s">
        <v>170</v>
      </c>
      <c r="C210" s="1" t="s">
        <v>187</v>
      </c>
      <c r="D210" s="3" t="s">
        <v>2</v>
      </c>
      <c r="E210" s="3" t="s">
        <v>7</v>
      </c>
      <c r="F210" s="6" t="s">
        <v>119</v>
      </c>
    </row>
    <row r="211" spans="1:9">
      <c r="A211" s="2">
        <v>23522</v>
      </c>
      <c r="B211" s="1" t="s">
        <v>171</v>
      </c>
      <c r="C211" s="1" t="s">
        <v>187</v>
      </c>
      <c r="D211" s="3" t="s">
        <v>2</v>
      </c>
      <c r="E211" s="3" t="s">
        <v>7</v>
      </c>
      <c r="F211" s="6" t="s">
        <v>119</v>
      </c>
    </row>
    <row r="212" spans="1:9">
      <c r="A212" s="2">
        <v>23522</v>
      </c>
      <c r="B212" s="1" t="s">
        <v>172</v>
      </c>
      <c r="C212" s="1" t="s">
        <v>187</v>
      </c>
      <c r="D212" s="3" t="s">
        <v>2</v>
      </c>
      <c r="E212" s="3" t="s">
        <v>7</v>
      </c>
      <c r="F212" s="6" t="s">
        <v>119</v>
      </c>
    </row>
    <row r="213" spans="1:9">
      <c r="A213" s="28">
        <v>23523</v>
      </c>
      <c r="B213" s="13"/>
      <c r="C213" s="13"/>
      <c r="D213" s="14"/>
      <c r="E213" s="14"/>
      <c r="F213" s="15"/>
      <c r="G213" s="15"/>
      <c r="H213" s="13"/>
      <c r="I213" s="13"/>
    </row>
    <row r="214" spans="1:9">
      <c r="A214" s="2">
        <v>23523</v>
      </c>
      <c r="B214" s="1" t="s">
        <v>199</v>
      </c>
      <c r="C214" s="1" t="s">
        <v>200</v>
      </c>
      <c r="D214" s="3" t="s">
        <v>1</v>
      </c>
      <c r="E214" s="3" t="s">
        <v>6</v>
      </c>
      <c r="F214" s="6" t="s">
        <v>110</v>
      </c>
    </row>
    <row r="215" spans="1:9">
      <c r="A215" s="2">
        <v>23523</v>
      </c>
      <c r="B215" s="1" t="s">
        <v>57</v>
      </c>
      <c r="C215" s="1" t="s">
        <v>64</v>
      </c>
      <c r="D215" s="3" t="s">
        <v>1</v>
      </c>
      <c r="E215" s="3" t="s">
        <v>6</v>
      </c>
      <c r="F215" s="6" t="s">
        <v>110</v>
      </c>
    </row>
    <row r="216" spans="1:9">
      <c r="A216" s="2">
        <v>23523</v>
      </c>
      <c r="B216" s="1" t="s">
        <v>201</v>
      </c>
      <c r="C216" s="1" t="s">
        <v>202</v>
      </c>
      <c r="D216" s="3" t="s">
        <v>2</v>
      </c>
      <c r="E216" s="3" t="s">
        <v>7</v>
      </c>
      <c r="F216" s="6" t="s">
        <v>119</v>
      </c>
    </row>
    <row r="217" spans="1:9">
      <c r="A217" s="2">
        <v>23523</v>
      </c>
      <c r="B217" s="1" t="s">
        <v>10</v>
      </c>
      <c r="C217" s="1" t="s">
        <v>118</v>
      </c>
      <c r="D217" s="3" t="s">
        <v>2</v>
      </c>
      <c r="E217" s="3" t="s">
        <v>7</v>
      </c>
      <c r="F217" s="6" t="s">
        <v>119</v>
      </c>
    </row>
    <row r="218" spans="1:9">
      <c r="A218" s="2">
        <v>23523</v>
      </c>
      <c r="B218" s="1" t="s">
        <v>203</v>
      </c>
      <c r="C218" s="1" t="s">
        <v>185</v>
      </c>
      <c r="D218" s="3" t="s">
        <v>2</v>
      </c>
      <c r="E218" s="3" t="s">
        <v>7</v>
      </c>
      <c r="F218" s="6" t="s">
        <v>119</v>
      </c>
    </row>
    <row r="219" spans="1:9">
      <c r="A219" s="29">
        <v>23524</v>
      </c>
      <c r="B219" s="13"/>
      <c r="C219" s="13"/>
      <c r="D219" s="14"/>
      <c r="E219" s="14"/>
      <c r="F219" s="15"/>
      <c r="G219" s="15"/>
      <c r="H219" s="13"/>
      <c r="I219" s="13"/>
    </row>
    <row r="220" spans="1:9">
      <c r="A220" s="2">
        <v>23523</v>
      </c>
      <c r="B220" s="1" t="s">
        <v>199</v>
      </c>
      <c r="C220" s="1" t="s">
        <v>200</v>
      </c>
      <c r="D220" s="3" t="s">
        <v>1</v>
      </c>
      <c r="E220" s="3" t="s">
        <v>6</v>
      </c>
      <c r="F220" s="6" t="s">
        <v>110</v>
      </c>
    </row>
    <row r="221" spans="1:9">
      <c r="A221" s="2">
        <v>23523</v>
      </c>
      <c r="B221" s="1" t="s">
        <v>98</v>
      </c>
      <c r="C221" s="1" t="s">
        <v>27</v>
      </c>
      <c r="D221" s="3" t="s">
        <v>1</v>
      </c>
      <c r="E221" s="3" t="s">
        <v>6</v>
      </c>
      <c r="F221" s="6" t="s">
        <v>110</v>
      </c>
    </row>
    <row r="222" spans="1:9">
      <c r="A222" s="2">
        <v>23523</v>
      </c>
      <c r="B222" s="1" t="s">
        <v>99</v>
      </c>
      <c r="C222" s="1" t="s">
        <v>27</v>
      </c>
      <c r="D222" s="3" t="s">
        <v>1</v>
      </c>
      <c r="E222" s="3" t="s">
        <v>6</v>
      </c>
      <c r="F222" s="6" t="s">
        <v>110</v>
      </c>
    </row>
    <row r="223" spans="1:9">
      <c r="A223" s="2">
        <v>23524</v>
      </c>
      <c r="B223" s="1" t="s">
        <v>159</v>
      </c>
      <c r="C223" s="1" t="s">
        <v>158</v>
      </c>
      <c r="D223" s="3" t="s">
        <v>1</v>
      </c>
      <c r="E223" s="3" t="s">
        <v>6</v>
      </c>
      <c r="F223" s="6" t="s">
        <v>110</v>
      </c>
    </row>
    <row r="224" spans="1:9">
      <c r="A224" s="2">
        <v>23524</v>
      </c>
      <c r="B224" s="1" t="s">
        <v>201</v>
      </c>
      <c r="C224" s="1" t="s">
        <v>202</v>
      </c>
      <c r="D224" s="3" t="s">
        <v>2</v>
      </c>
      <c r="E224" s="3" t="s">
        <v>7</v>
      </c>
      <c r="F224" s="6" t="s">
        <v>119</v>
      </c>
    </row>
    <row r="225" spans="1:9" ht="18.5">
      <c r="A225" s="2">
        <v>23524</v>
      </c>
      <c r="B225" s="1" t="s">
        <v>10</v>
      </c>
      <c r="C225" s="30" t="s">
        <v>118</v>
      </c>
      <c r="D225" s="3" t="s">
        <v>2</v>
      </c>
      <c r="E225" s="3" t="s">
        <v>7</v>
      </c>
      <c r="F225" s="6" t="s">
        <v>119</v>
      </c>
    </row>
    <row r="226" spans="1:9">
      <c r="A226" s="2">
        <v>23524</v>
      </c>
      <c r="B226" s="1" t="s">
        <v>203</v>
      </c>
      <c r="C226" s="1" t="s">
        <v>185</v>
      </c>
      <c r="D226" s="3" t="s">
        <v>2</v>
      </c>
      <c r="E226" s="3" t="s">
        <v>7</v>
      </c>
      <c r="F226" s="6" t="s">
        <v>119</v>
      </c>
    </row>
    <row r="227" spans="1:9" ht="18">
      <c r="A227" s="16">
        <v>23525</v>
      </c>
      <c r="B227" s="13"/>
      <c r="C227" s="13"/>
      <c r="D227" s="14"/>
      <c r="E227" s="14"/>
      <c r="F227" s="15"/>
      <c r="G227" s="15"/>
      <c r="H227" s="13"/>
      <c r="I227" s="13"/>
    </row>
    <row r="228" spans="1:9" s="20" customFormat="1">
      <c r="A228" s="23">
        <v>23523</v>
      </c>
      <c r="B228" s="20" t="s">
        <v>199</v>
      </c>
      <c r="C228" s="20" t="s">
        <v>200</v>
      </c>
      <c r="D228" s="21" t="s">
        <v>1</v>
      </c>
      <c r="E228" s="21" t="s">
        <v>6</v>
      </c>
      <c r="F228" s="22" t="s">
        <v>110</v>
      </c>
      <c r="G228" s="22"/>
    </row>
    <row r="229" spans="1:9">
      <c r="A229" s="2">
        <v>23523</v>
      </c>
      <c r="B229" s="1" t="s">
        <v>99</v>
      </c>
      <c r="C229" s="1" t="s">
        <v>27</v>
      </c>
      <c r="D229" s="3" t="s">
        <v>1</v>
      </c>
      <c r="E229" s="21" t="s">
        <v>6</v>
      </c>
      <c r="F229" s="6" t="s">
        <v>110</v>
      </c>
    </row>
    <row r="230" spans="1:9">
      <c r="A230" s="2">
        <v>23525</v>
      </c>
      <c r="B230" s="1" t="s">
        <v>102</v>
      </c>
      <c r="C230" s="1" t="s">
        <v>96</v>
      </c>
      <c r="D230" s="3" t="s">
        <v>2</v>
      </c>
      <c r="E230" s="3" t="s">
        <v>7</v>
      </c>
      <c r="F230" s="6" t="s">
        <v>119</v>
      </c>
    </row>
    <row r="231" spans="1:9">
      <c r="A231" s="2">
        <v>23525</v>
      </c>
      <c r="B231" s="1" t="s">
        <v>204</v>
      </c>
      <c r="C231" s="1" t="s">
        <v>28</v>
      </c>
      <c r="D231" s="3" t="s">
        <v>2</v>
      </c>
      <c r="E231" s="3" t="s">
        <v>7</v>
      </c>
      <c r="F231" s="6" t="s">
        <v>119</v>
      </c>
      <c r="G231" s="6" t="s">
        <v>205</v>
      </c>
    </row>
    <row r="232" spans="1:9" ht="18">
      <c r="A232" s="16">
        <v>23526</v>
      </c>
      <c r="B232" s="13"/>
      <c r="C232" s="13"/>
      <c r="D232" s="14"/>
      <c r="E232" s="14"/>
      <c r="F232" s="15"/>
      <c r="G232" s="15"/>
      <c r="H232" s="13"/>
      <c r="I232" s="13"/>
    </row>
    <row r="233" spans="1:9">
      <c r="A233" s="2">
        <v>23523</v>
      </c>
      <c r="B233" s="1" t="s">
        <v>199</v>
      </c>
      <c r="C233" s="1" t="s">
        <v>200</v>
      </c>
      <c r="D233" s="3" t="s">
        <v>1</v>
      </c>
      <c r="E233" s="3" t="s">
        <v>6</v>
      </c>
      <c r="F233" s="6" t="s">
        <v>110</v>
      </c>
    </row>
    <row r="234" spans="1:9">
      <c r="A234" s="2">
        <v>23523</v>
      </c>
      <c r="B234" s="1" t="s">
        <v>99</v>
      </c>
      <c r="C234" s="1" t="s">
        <v>27</v>
      </c>
      <c r="D234" s="3" t="s">
        <v>1</v>
      </c>
      <c r="E234" s="3" t="s">
        <v>6</v>
      </c>
      <c r="F234" s="6" t="s">
        <v>110</v>
      </c>
    </row>
    <row r="235" spans="1:9">
      <c r="A235" s="2">
        <v>23526</v>
      </c>
      <c r="B235" s="1" t="s">
        <v>57</v>
      </c>
      <c r="C235" s="1" t="s">
        <v>64</v>
      </c>
      <c r="D235" s="3" t="s">
        <v>1</v>
      </c>
      <c r="E235" s="3" t="s">
        <v>6</v>
      </c>
      <c r="F235" s="6" t="s">
        <v>110</v>
      </c>
    </row>
    <row r="236" spans="1:9">
      <c r="A236" s="2">
        <v>23526</v>
      </c>
      <c r="B236" s="1" t="s">
        <v>52</v>
      </c>
      <c r="C236" s="1" t="s">
        <v>61</v>
      </c>
      <c r="D236" s="3" t="s">
        <v>1</v>
      </c>
      <c r="E236" s="3" t="s">
        <v>6</v>
      </c>
      <c r="F236" s="6" t="s">
        <v>110</v>
      </c>
    </row>
    <row r="237" spans="1:9">
      <c r="A237" s="2">
        <v>23526</v>
      </c>
      <c r="B237" s="1" t="s">
        <v>53</v>
      </c>
      <c r="C237" s="1" t="s">
        <v>61</v>
      </c>
      <c r="D237" s="3" t="s">
        <v>1</v>
      </c>
      <c r="E237" s="3" t="s">
        <v>6</v>
      </c>
      <c r="F237" s="6" t="s">
        <v>110</v>
      </c>
    </row>
    <row r="238" spans="1:9">
      <c r="A238" s="2">
        <v>23526</v>
      </c>
      <c r="B238" s="1" t="s">
        <v>106</v>
      </c>
      <c r="C238" s="1" t="s">
        <v>107</v>
      </c>
      <c r="D238" s="3" t="s">
        <v>1</v>
      </c>
      <c r="E238" s="3" t="s">
        <v>6</v>
      </c>
      <c r="F238" s="6" t="s">
        <v>110</v>
      </c>
    </row>
    <row r="239" spans="1:9">
      <c r="A239" s="2">
        <v>23526</v>
      </c>
      <c r="B239" s="1" t="s">
        <v>155</v>
      </c>
      <c r="C239" s="1" t="s">
        <v>163</v>
      </c>
      <c r="D239" s="3" t="s">
        <v>1</v>
      </c>
      <c r="E239" s="3" t="s">
        <v>6</v>
      </c>
      <c r="F239" s="6" t="s">
        <v>110</v>
      </c>
    </row>
    <row r="240" spans="1:9">
      <c r="A240" s="2">
        <v>23526</v>
      </c>
      <c r="B240" s="1" t="s">
        <v>156</v>
      </c>
      <c r="C240" s="1" t="s">
        <v>163</v>
      </c>
      <c r="D240" s="3" t="s">
        <v>1</v>
      </c>
      <c r="E240" s="3" t="s">
        <v>6</v>
      </c>
      <c r="F240" s="6" t="s">
        <v>110</v>
      </c>
    </row>
    <row r="241" spans="1:9">
      <c r="A241" s="2">
        <v>23526</v>
      </c>
      <c r="B241" s="1" t="s">
        <v>142</v>
      </c>
      <c r="C241" s="1" t="s">
        <v>141</v>
      </c>
      <c r="D241" s="3" t="s">
        <v>1</v>
      </c>
      <c r="E241" s="3" t="s">
        <v>6</v>
      </c>
      <c r="F241" s="6" t="s">
        <v>110</v>
      </c>
    </row>
    <row r="242" spans="1:9">
      <c r="A242" s="2">
        <v>23526</v>
      </c>
      <c r="B242" s="1" t="s">
        <v>206</v>
      </c>
      <c r="C242" s="1" t="s">
        <v>210</v>
      </c>
      <c r="D242" s="3" t="s">
        <v>1</v>
      </c>
      <c r="E242" s="3" t="s">
        <v>6</v>
      </c>
      <c r="F242" s="6" t="s">
        <v>110</v>
      </c>
    </row>
    <row r="243" spans="1:9">
      <c r="A243" s="2">
        <v>23526</v>
      </c>
      <c r="B243" s="1" t="s">
        <v>207</v>
      </c>
      <c r="C243" s="1" t="s">
        <v>211</v>
      </c>
      <c r="D243" s="3" t="s">
        <v>1</v>
      </c>
      <c r="E243" s="3" t="s">
        <v>6</v>
      </c>
      <c r="F243" s="6" t="s">
        <v>110</v>
      </c>
    </row>
    <row r="244" spans="1:9">
      <c r="A244" s="2">
        <v>23526</v>
      </c>
      <c r="B244" s="1" t="s">
        <v>79</v>
      </c>
      <c r="C244" s="1" t="s">
        <v>86</v>
      </c>
      <c r="D244" s="3" t="s">
        <v>1</v>
      </c>
      <c r="E244" s="3" t="s">
        <v>6</v>
      </c>
      <c r="F244" s="6" t="s">
        <v>110</v>
      </c>
    </row>
    <row r="245" spans="1:9">
      <c r="A245" s="2">
        <v>23526</v>
      </c>
      <c r="B245" s="1" t="s">
        <v>136</v>
      </c>
      <c r="C245" s="1" t="s">
        <v>137</v>
      </c>
      <c r="D245" s="3" t="s">
        <v>1</v>
      </c>
      <c r="E245" s="3" t="s">
        <v>6</v>
      </c>
      <c r="F245" s="6" t="s">
        <v>110</v>
      </c>
    </row>
    <row r="246" spans="1:9">
      <c r="A246" s="2">
        <v>23526</v>
      </c>
      <c r="B246" s="1" t="s">
        <v>51</v>
      </c>
      <c r="C246" s="1" t="s">
        <v>127</v>
      </c>
      <c r="D246" s="3" t="s">
        <v>1</v>
      </c>
      <c r="E246" s="3" t="s">
        <v>6</v>
      </c>
      <c r="F246" s="6" t="s">
        <v>110</v>
      </c>
    </row>
    <row r="247" spans="1:9">
      <c r="A247" s="2">
        <v>23526</v>
      </c>
      <c r="B247" s="1" t="s">
        <v>165</v>
      </c>
      <c r="C247" s="1" t="s">
        <v>127</v>
      </c>
      <c r="D247" s="3" t="s">
        <v>1</v>
      </c>
      <c r="E247" s="3" t="s">
        <v>6</v>
      </c>
      <c r="F247" s="6" t="s">
        <v>110</v>
      </c>
    </row>
    <row r="248" spans="1:9">
      <c r="A248" s="2">
        <v>23526</v>
      </c>
      <c r="B248" s="1" t="s">
        <v>166</v>
      </c>
      <c r="C248" s="1" t="s">
        <v>127</v>
      </c>
      <c r="D248" s="3" t="s">
        <v>1</v>
      </c>
      <c r="E248" s="3" t="s">
        <v>6</v>
      </c>
      <c r="F248" s="6" t="s">
        <v>110</v>
      </c>
    </row>
    <row r="249" spans="1:9">
      <c r="A249" s="2">
        <v>23526</v>
      </c>
      <c r="B249" s="1" t="s">
        <v>58</v>
      </c>
      <c r="C249" s="1" t="s">
        <v>214</v>
      </c>
      <c r="D249" s="3" t="s">
        <v>1</v>
      </c>
      <c r="E249" s="3" t="s">
        <v>6</v>
      </c>
      <c r="F249" s="6" t="s">
        <v>110</v>
      </c>
    </row>
    <row r="250" spans="1:9">
      <c r="A250" s="2">
        <v>23526</v>
      </c>
      <c r="B250" s="1" t="s">
        <v>208</v>
      </c>
      <c r="C250" s="1" t="s">
        <v>212</v>
      </c>
      <c r="D250" s="3" t="s">
        <v>1</v>
      </c>
      <c r="E250" s="3" t="s">
        <v>6</v>
      </c>
      <c r="F250" s="6" t="s">
        <v>110</v>
      </c>
    </row>
    <row r="251" spans="1:9">
      <c r="A251" s="2">
        <v>23526</v>
      </c>
      <c r="B251" s="1" t="s">
        <v>209</v>
      </c>
      <c r="C251" s="1" t="s">
        <v>213</v>
      </c>
      <c r="D251" s="3" t="s">
        <v>1</v>
      </c>
      <c r="E251" s="3" t="s">
        <v>6</v>
      </c>
      <c r="F251" s="6" t="s">
        <v>110</v>
      </c>
    </row>
    <row r="252" spans="1:9">
      <c r="A252" s="2">
        <v>23526</v>
      </c>
      <c r="B252" s="1" t="s">
        <v>215</v>
      </c>
      <c r="C252" s="1" t="s">
        <v>216</v>
      </c>
      <c r="D252" s="3" t="s">
        <v>1</v>
      </c>
      <c r="E252" s="3" t="s">
        <v>7</v>
      </c>
      <c r="F252" s="6" t="s">
        <v>110</v>
      </c>
      <c r="G252" s="6" t="s">
        <v>55</v>
      </c>
    </row>
    <row r="253" spans="1:9">
      <c r="A253" s="28">
        <v>23527</v>
      </c>
      <c r="B253" s="13"/>
      <c r="C253" s="13"/>
      <c r="D253" s="14"/>
      <c r="E253" s="14"/>
      <c r="F253" s="15"/>
      <c r="G253" s="15"/>
      <c r="H253" s="13"/>
      <c r="I253" s="13"/>
    </row>
    <row r="254" spans="1:9">
      <c r="A254" s="2">
        <v>23523</v>
      </c>
      <c r="B254" s="1" t="s">
        <v>199</v>
      </c>
      <c r="C254" s="1" t="s">
        <v>200</v>
      </c>
      <c r="D254" s="3" t="s">
        <v>1</v>
      </c>
      <c r="E254" s="3" t="s">
        <v>6</v>
      </c>
      <c r="F254" s="6" t="s">
        <v>110</v>
      </c>
    </row>
    <row r="255" spans="1:9">
      <c r="A255" s="2">
        <v>23523</v>
      </c>
      <c r="B255" s="1" t="s">
        <v>99</v>
      </c>
      <c r="C255" s="1" t="s">
        <v>27</v>
      </c>
      <c r="D255" s="3" t="s">
        <v>1</v>
      </c>
      <c r="E255" s="3" t="s">
        <v>6</v>
      </c>
      <c r="F255" s="6" t="s">
        <v>110</v>
      </c>
    </row>
    <row r="256" spans="1:9">
      <c r="A256" s="2">
        <v>23526</v>
      </c>
      <c r="B256" s="1" t="s">
        <v>155</v>
      </c>
      <c r="C256" s="1" t="s">
        <v>163</v>
      </c>
      <c r="D256" s="3" t="s">
        <v>1</v>
      </c>
      <c r="E256" s="3" t="s">
        <v>6</v>
      </c>
      <c r="F256" s="6" t="s">
        <v>110</v>
      </c>
    </row>
    <row r="257" spans="1:9">
      <c r="A257" s="2">
        <v>23526</v>
      </c>
      <c r="B257" s="1" t="s">
        <v>156</v>
      </c>
      <c r="C257" s="1" t="s">
        <v>163</v>
      </c>
      <c r="D257" s="3" t="s">
        <v>1</v>
      </c>
      <c r="E257" s="3" t="s">
        <v>6</v>
      </c>
      <c r="F257" s="6" t="s">
        <v>110</v>
      </c>
    </row>
    <row r="258" spans="1:9">
      <c r="A258" s="2">
        <v>23526</v>
      </c>
      <c r="B258" s="1" t="s">
        <v>142</v>
      </c>
      <c r="C258" s="1" t="s">
        <v>141</v>
      </c>
      <c r="D258" s="3" t="s">
        <v>1</v>
      </c>
      <c r="E258" s="3" t="s">
        <v>6</v>
      </c>
      <c r="F258" s="6" t="s">
        <v>110</v>
      </c>
    </row>
    <row r="259" spans="1:9">
      <c r="A259" s="2">
        <v>23526</v>
      </c>
      <c r="B259" s="1" t="s">
        <v>51</v>
      </c>
      <c r="C259" s="1" t="s">
        <v>127</v>
      </c>
      <c r="D259" s="3" t="s">
        <v>1</v>
      </c>
      <c r="E259" s="3" t="s">
        <v>6</v>
      </c>
      <c r="F259" s="6" t="s">
        <v>110</v>
      </c>
    </row>
    <row r="260" spans="1:9">
      <c r="A260" s="2">
        <v>23526</v>
      </c>
      <c r="B260" s="1" t="s">
        <v>165</v>
      </c>
      <c r="C260" s="1" t="s">
        <v>127</v>
      </c>
      <c r="D260" s="3" t="s">
        <v>1</v>
      </c>
      <c r="E260" s="3" t="s">
        <v>6</v>
      </c>
      <c r="F260" s="6" t="s">
        <v>110</v>
      </c>
    </row>
    <row r="261" spans="1:9">
      <c r="A261" s="2">
        <v>23526</v>
      </c>
      <c r="B261" s="1" t="s">
        <v>166</v>
      </c>
      <c r="C261" s="1" t="s">
        <v>127</v>
      </c>
      <c r="D261" s="3" t="s">
        <v>1</v>
      </c>
      <c r="E261" s="3" t="s">
        <v>6</v>
      </c>
      <c r="F261" s="6" t="s">
        <v>110</v>
      </c>
    </row>
    <row r="262" spans="1:9">
      <c r="A262" s="2">
        <v>23526</v>
      </c>
      <c r="B262" s="1" t="s">
        <v>58</v>
      </c>
      <c r="C262" s="1" t="s">
        <v>214</v>
      </c>
      <c r="D262" s="3" t="s">
        <v>1</v>
      </c>
      <c r="E262" s="3" t="s">
        <v>6</v>
      </c>
      <c r="F262" s="6" t="s">
        <v>110</v>
      </c>
    </row>
    <row r="263" spans="1:9">
      <c r="A263" s="2">
        <v>23526</v>
      </c>
      <c r="B263" s="1" t="s">
        <v>208</v>
      </c>
      <c r="C263" s="1" t="s">
        <v>212</v>
      </c>
      <c r="D263" s="3" t="s">
        <v>1</v>
      </c>
      <c r="E263" s="3" t="s">
        <v>6</v>
      </c>
      <c r="F263" s="6" t="s">
        <v>110</v>
      </c>
    </row>
    <row r="264" spans="1:9">
      <c r="A264" s="2">
        <v>23526</v>
      </c>
      <c r="B264" s="1" t="s">
        <v>209</v>
      </c>
      <c r="C264" s="1" t="s">
        <v>213</v>
      </c>
      <c r="D264" s="3" t="s">
        <v>1</v>
      </c>
      <c r="E264" s="3" t="s">
        <v>6</v>
      </c>
      <c r="F264" s="6" t="s">
        <v>110</v>
      </c>
    </row>
    <row r="265" spans="1:9">
      <c r="A265" s="2">
        <v>23526</v>
      </c>
      <c r="B265" s="1" t="s">
        <v>206</v>
      </c>
      <c r="C265" s="1" t="s">
        <v>210</v>
      </c>
      <c r="D265" s="3" t="s">
        <v>1</v>
      </c>
      <c r="E265" s="3" t="s">
        <v>6</v>
      </c>
      <c r="F265" s="6" t="s">
        <v>110</v>
      </c>
    </row>
    <row r="266" spans="1:9">
      <c r="A266" s="2">
        <v>23526</v>
      </c>
      <c r="B266" s="1" t="s">
        <v>217</v>
      </c>
      <c r="C266" s="1" t="s">
        <v>158</v>
      </c>
      <c r="D266" s="3" t="s">
        <v>1</v>
      </c>
      <c r="E266" s="3" t="s">
        <v>6</v>
      </c>
      <c r="F266" s="6" t="s">
        <v>110</v>
      </c>
    </row>
    <row r="267" spans="1:9">
      <c r="A267" s="2">
        <v>23526</v>
      </c>
      <c r="B267" s="1" t="s">
        <v>219</v>
      </c>
      <c r="C267" s="1" t="s">
        <v>218</v>
      </c>
      <c r="D267" s="3" t="s">
        <v>1</v>
      </c>
      <c r="E267" s="3" t="s">
        <v>6</v>
      </c>
      <c r="F267" s="6" t="s">
        <v>110</v>
      </c>
    </row>
    <row r="268" spans="1:9">
      <c r="A268" s="2">
        <v>23526</v>
      </c>
      <c r="B268" s="1" t="s">
        <v>221</v>
      </c>
      <c r="C268" s="1" t="s">
        <v>220</v>
      </c>
      <c r="D268" s="3" t="s">
        <v>1</v>
      </c>
      <c r="E268" s="3" t="s">
        <v>6</v>
      </c>
      <c r="F268" s="6" t="s">
        <v>110</v>
      </c>
    </row>
    <row r="269" spans="1:9">
      <c r="A269" s="2">
        <v>23527</v>
      </c>
      <c r="B269" s="1" t="s">
        <v>222</v>
      </c>
      <c r="C269" s="1" t="s">
        <v>223</v>
      </c>
      <c r="D269" s="3" t="s">
        <v>1</v>
      </c>
      <c r="E269" s="3" t="s">
        <v>6</v>
      </c>
      <c r="F269" s="6" t="s">
        <v>110</v>
      </c>
    </row>
    <row r="270" spans="1:9">
      <c r="A270" s="2">
        <v>23527</v>
      </c>
      <c r="B270" s="1" t="s">
        <v>225</v>
      </c>
      <c r="C270" s="1" t="s">
        <v>224</v>
      </c>
      <c r="D270" s="3" t="s">
        <v>1</v>
      </c>
      <c r="E270" s="3" t="s">
        <v>6</v>
      </c>
      <c r="F270" s="6" t="s">
        <v>110</v>
      </c>
    </row>
    <row r="271" spans="1:9">
      <c r="A271" s="2">
        <v>23527</v>
      </c>
      <c r="B271" s="1" t="s">
        <v>226</v>
      </c>
      <c r="C271" s="1" t="s">
        <v>227</v>
      </c>
      <c r="D271" s="3" t="s">
        <v>1</v>
      </c>
      <c r="E271" s="3" t="s">
        <v>6</v>
      </c>
      <c r="F271" s="6" t="s">
        <v>110</v>
      </c>
    </row>
    <row r="272" spans="1:9">
      <c r="A272" s="29">
        <v>23528</v>
      </c>
      <c r="B272" s="13"/>
      <c r="C272" s="13"/>
      <c r="D272" s="14"/>
      <c r="E272" s="14"/>
      <c r="F272" s="15"/>
      <c r="G272" s="15"/>
      <c r="H272" s="13"/>
      <c r="I272" s="13"/>
    </row>
    <row r="273" spans="1:9" ht="16.149999999999999" customHeight="1">
      <c r="A273" s="2">
        <v>23523</v>
      </c>
      <c r="B273" s="1" t="s">
        <v>99</v>
      </c>
      <c r="C273" s="1" t="s">
        <v>27</v>
      </c>
      <c r="D273" s="3" t="s">
        <v>1</v>
      </c>
      <c r="E273" s="3" t="s">
        <v>6</v>
      </c>
      <c r="F273" s="6" t="s">
        <v>110</v>
      </c>
    </row>
    <row r="274" spans="1:9">
      <c r="A274" s="2">
        <v>23526</v>
      </c>
      <c r="B274" s="1" t="s">
        <v>155</v>
      </c>
      <c r="C274" s="1" t="s">
        <v>163</v>
      </c>
      <c r="D274" s="3" t="s">
        <v>1</v>
      </c>
      <c r="E274" s="3" t="s">
        <v>6</v>
      </c>
      <c r="F274" s="6" t="s">
        <v>110</v>
      </c>
    </row>
    <row r="275" spans="1:9">
      <c r="A275" s="2">
        <v>23526</v>
      </c>
      <c r="B275" s="1" t="s">
        <v>156</v>
      </c>
      <c r="C275" s="1" t="s">
        <v>163</v>
      </c>
      <c r="D275" s="3" t="s">
        <v>1</v>
      </c>
      <c r="E275" s="3" t="s">
        <v>6</v>
      </c>
      <c r="F275" s="6" t="s">
        <v>110</v>
      </c>
    </row>
    <row r="276" spans="1:9">
      <c r="A276" s="2">
        <v>23526</v>
      </c>
      <c r="B276" s="1" t="s">
        <v>142</v>
      </c>
      <c r="C276" s="1" t="s">
        <v>141</v>
      </c>
      <c r="D276" s="3" t="s">
        <v>1</v>
      </c>
      <c r="E276" s="3" t="s">
        <v>6</v>
      </c>
      <c r="F276" s="6" t="s">
        <v>110</v>
      </c>
    </row>
    <row r="277" spans="1:9">
      <c r="A277" s="2">
        <v>23526</v>
      </c>
      <c r="B277" s="1" t="s">
        <v>58</v>
      </c>
      <c r="C277" s="1" t="s">
        <v>214</v>
      </c>
      <c r="D277" s="3" t="s">
        <v>1</v>
      </c>
      <c r="E277" s="3" t="s">
        <v>6</v>
      </c>
      <c r="F277" s="6" t="s">
        <v>110</v>
      </c>
    </row>
    <row r="278" spans="1:9">
      <c r="A278" s="2">
        <v>23528</v>
      </c>
      <c r="B278" s="1" t="s">
        <v>179</v>
      </c>
      <c r="C278" s="1" t="s">
        <v>180</v>
      </c>
      <c r="D278" s="3" t="s">
        <v>1</v>
      </c>
      <c r="E278" s="3" t="s">
        <v>6</v>
      </c>
      <c r="F278" s="6" t="s">
        <v>110</v>
      </c>
    </row>
    <row r="279" spans="1:9">
      <c r="A279" s="2">
        <v>23528</v>
      </c>
      <c r="B279" s="1" t="s">
        <v>159</v>
      </c>
      <c r="C279" s="1" t="s">
        <v>158</v>
      </c>
      <c r="D279" s="3" t="s">
        <v>1</v>
      </c>
      <c r="E279" s="3" t="s">
        <v>6</v>
      </c>
      <c r="F279" s="6" t="s">
        <v>110</v>
      </c>
    </row>
    <row r="280" spans="1:9">
      <c r="A280" s="2">
        <v>23528</v>
      </c>
      <c r="B280" s="1" t="s">
        <v>207</v>
      </c>
      <c r="C280" s="1" t="s">
        <v>235</v>
      </c>
      <c r="D280" s="3" t="s">
        <v>1</v>
      </c>
      <c r="E280" s="3" t="s">
        <v>6</v>
      </c>
      <c r="F280" s="6" t="s">
        <v>110</v>
      </c>
    </row>
    <row r="281" spans="1:9">
      <c r="A281" s="2">
        <v>23528</v>
      </c>
      <c r="B281" s="1" t="s">
        <v>228</v>
      </c>
      <c r="C281" s="1" t="s">
        <v>235</v>
      </c>
      <c r="D281" s="3" t="s">
        <v>1</v>
      </c>
      <c r="E281" s="3" t="s">
        <v>6</v>
      </c>
      <c r="F281" s="6" t="s">
        <v>110</v>
      </c>
    </row>
    <row r="282" spans="1:9">
      <c r="A282" s="2">
        <v>23528</v>
      </c>
      <c r="B282" s="1" t="s">
        <v>215</v>
      </c>
      <c r="C282" s="1" t="s">
        <v>216</v>
      </c>
      <c r="D282" s="3" t="s">
        <v>2</v>
      </c>
      <c r="E282" s="3" t="s">
        <v>7</v>
      </c>
      <c r="F282" s="6" t="s">
        <v>119</v>
      </c>
    </row>
    <row r="283" spans="1:9">
      <c r="A283" s="2">
        <v>23528</v>
      </c>
      <c r="B283" s="1" t="s">
        <v>225</v>
      </c>
      <c r="C283" s="1" t="s">
        <v>224</v>
      </c>
      <c r="D283" s="3" t="s">
        <v>2</v>
      </c>
      <c r="E283" s="3" t="s">
        <v>7</v>
      </c>
      <c r="F283" s="6" t="s">
        <v>119</v>
      </c>
    </row>
    <row r="284" spans="1:9">
      <c r="A284" s="2">
        <v>23528</v>
      </c>
      <c r="B284" s="1" t="s">
        <v>189</v>
      </c>
      <c r="C284" s="1" t="s">
        <v>191</v>
      </c>
      <c r="D284" s="3" t="s">
        <v>2</v>
      </c>
      <c r="E284" s="3" t="s">
        <v>7</v>
      </c>
      <c r="F284" s="6" t="s">
        <v>119</v>
      </c>
    </row>
    <row r="285" spans="1:9">
      <c r="A285" s="2">
        <v>23528</v>
      </c>
      <c r="B285" s="1" t="s">
        <v>229</v>
      </c>
      <c r="C285" s="1" t="s">
        <v>230</v>
      </c>
      <c r="D285" s="3" t="s">
        <v>2</v>
      </c>
      <c r="E285" s="3" t="s">
        <v>7</v>
      </c>
      <c r="F285" s="6" t="s">
        <v>119</v>
      </c>
    </row>
    <row r="286" spans="1:9">
      <c r="A286" s="2">
        <v>23528</v>
      </c>
      <c r="B286" s="1" t="s">
        <v>231</v>
      </c>
      <c r="C286" s="1" t="s">
        <v>232</v>
      </c>
      <c r="D286" s="3" t="s">
        <v>2</v>
      </c>
      <c r="E286" s="3" t="s">
        <v>7</v>
      </c>
      <c r="F286" s="6" t="s">
        <v>119</v>
      </c>
    </row>
    <row r="287" spans="1:9">
      <c r="A287" s="2">
        <v>23528</v>
      </c>
      <c r="B287" s="1" t="s">
        <v>233</v>
      </c>
      <c r="C287" s="1" t="s">
        <v>234</v>
      </c>
      <c r="D287" s="3" t="s">
        <v>2</v>
      </c>
      <c r="E287" s="3" t="s">
        <v>7</v>
      </c>
      <c r="F287" s="6" t="s">
        <v>119</v>
      </c>
    </row>
    <row r="288" spans="1:9">
      <c r="A288" s="28">
        <v>23529</v>
      </c>
      <c r="B288" s="13"/>
      <c r="C288" s="13"/>
      <c r="D288" s="14"/>
      <c r="E288" s="14"/>
      <c r="F288" s="15"/>
      <c r="G288" s="15"/>
      <c r="H288" s="13"/>
      <c r="I288" s="13"/>
    </row>
    <row r="289" spans="1:9">
      <c r="A289" s="2">
        <v>23528</v>
      </c>
      <c r="B289" s="1" t="s">
        <v>207</v>
      </c>
      <c r="C289" s="1" t="s">
        <v>235</v>
      </c>
      <c r="D289" s="3" t="s">
        <v>1</v>
      </c>
      <c r="E289" s="3" t="s">
        <v>6</v>
      </c>
      <c r="F289" s="6" t="s">
        <v>110</v>
      </c>
    </row>
    <row r="290" spans="1:9">
      <c r="A290" s="2">
        <v>23528</v>
      </c>
      <c r="B290" s="1" t="s">
        <v>228</v>
      </c>
      <c r="C290" s="1" t="s">
        <v>235</v>
      </c>
      <c r="D290" s="3" t="s">
        <v>1</v>
      </c>
      <c r="E290" s="3" t="s">
        <v>6</v>
      </c>
      <c r="F290" s="6" t="s">
        <v>110</v>
      </c>
    </row>
    <row r="291" spans="1:9">
      <c r="A291" s="2">
        <v>23529</v>
      </c>
      <c r="B291" s="1" t="s">
        <v>236</v>
      </c>
      <c r="C291" s="1" t="s">
        <v>237</v>
      </c>
      <c r="D291" s="3" t="s">
        <v>2</v>
      </c>
      <c r="E291" s="3" t="s">
        <v>7</v>
      </c>
      <c r="F291" s="6" t="s">
        <v>119</v>
      </c>
    </row>
    <row r="292" spans="1:9">
      <c r="A292" s="2">
        <v>23529</v>
      </c>
      <c r="B292" s="1" t="s">
        <v>238</v>
      </c>
      <c r="C292" s="1" t="s">
        <v>239</v>
      </c>
      <c r="D292" s="3" t="s">
        <v>2</v>
      </c>
      <c r="E292" s="3" t="s">
        <v>7</v>
      </c>
      <c r="F292" s="6" t="s">
        <v>119</v>
      </c>
    </row>
    <row r="293" spans="1:9">
      <c r="A293" s="2">
        <v>23529</v>
      </c>
      <c r="B293" s="1" t="s">
        <v>115</v>
      </c>
      <c r="C293" s="1" t="s">
        <v>117</v>
      </c>
      <c r="D293" s="3" t="s">
        <v>2</v>
      </c>
      <c r="E293" s="3" t="s">
        <v>7</v>
      </c>
      <c r="F293" s="6" t="s">
        <v>119</v>
      </c>
    </row>
    <row r="294" spans="1:9">
      <c r="A294" s="2">
        <v>23529</v>
      </c>
      <c r="B294" s="1" t="s">
        <v>231</v>
      </c>
      <c r="C294" s="1" t="s">
        <v>232</v>
      </c>
      <c r="D294" s="3" t="s">
        <v>2</v>
      </c>
      <c r="E294" s="3" t="s">
        <v>7</v>
      </c>
      <c r="F294" s="6" t="s">
        <v>119</v>
      </c>
    </row>
    <row r="295" spans="1:9">
      <c r="A295" s="2">
        <v>23529</v>
      </c>
      <c r="B295" s="1" t="s">
        <v>240</v>
      </c>
      <c r="C295" s="1" t="s">
        <v>241</v>
      </c>
      <c r="D295" s="3" t="s">
        <v>2</v>
      </c>
      <c r="E295" s="3" t="s">
        <v>7</v>
      </c>
      <c r="F295" s="6" t="s">
        <v>119</v>
      </c>
    </row>
    <row r="296" spans="1:9" ht="18">
      <c r="A296" s="16">
        <v>23530</v>
      </c>
      <c r="B296" s="13"/>
      <c r="C296" s="13"/>
      <c r="D296" s="14"/>
      <c r="E296" s="14"/>
      <c r="F296" s="15"/>
      <c r="G296" s="15"/>
      <c r="H296" s="13"/>
      <c r="I296" s="13"/>
    </row>
    <row r="297" spans="1:9">
      <c r="A297" s="2">
        <v>23528</v>
      </c>
      <c r="B297" s="1" t="s">
        <v>207</v>
      </c>
      <c r="C297" s="1" t="s">
        <v>235</v>
      </c>
      <c r="D297" s="3" t="s">
        <v>1</v>
      </c>
      <c r="E297" s="3" t="s">
        <v>6</v>
      </c>
      <c r="F297" s="6" t="s">
        <v>110</v>
      </c>
    </row>
    <row r="298" spans="1:9">
      <c r="A298" s="2">
        <v>23528</v>
      </c>
      <c r="B298" s="1" t="s">
        <v>228</v>
      </c>
      <c r="C298" s="1" t="s">
        <v>235</v>
      </c>
      <c r="D298" s="3" t="s">
        <v>1</v>
      </c>
      <c r="E298" s="3" t="s">
        <v>6</v>
      </c>
      <c r="F298" s="6" t="s">
        <v>110</v>
      </c>
    </row>
    <row r="299" spans="1:9">
      <c r="A299" s="2">
        <v>23530</v>
      </c>
      <c r="B299" s="1" t="s">
        <v>159</v>
      </c>
      <c r="C299" s="1" t="s">
        <v>158</v>
      </c>
      <c r="D299" s="3" t="s">
        <v>1</v>
      </c>
      <c r="E299" s="3" t="s">
        <v>6</v>
      </c>
      <c r="F299" s="6" t="s">
        <v>110</v>
      </c>
    </row>
    <row r="300" spans="1:9">
      <c r="A300" s="2">
        <v>23530</v>
      </c>
      <c r="B300" s="1" t="s">
        <v>196</v>
      </c>
      <c r="C300" s="1" t="s">
        <v>197</v>
      </c>
      <c r="D300" s="3" t="s">
        <v>1</v>
      </c>
      <c r="E300" s="3" t="s">
        <v>6</v>
      </c>
      <c r="F300" s="6" t="s">
        <v>110</v>
      </c>
    </row>
    <row r="301" spans="1:9">
      <c r="A301" s="2">
        <v>23530</v>
      </c>
      <c r="B301" s="1" t="s">
        <v>199</v>
      </c>
      <c r="C301" s="1" t="s">
        <v>200</v>
      </c>
      <c r="D301" s="3" t="s">
        <v>1</v>
      </c>
      <c r="E301" s="3" t="s">
        <v>6</v>
      </c>
      <c r="F301" s="6" t="s">
        <v>110</v>
      </c>
    </row>
    <row r="302" spans="1:9">
      <c r="A302" s="2">
        <v>23530</v>
      </c>
      <c r="B302" s="1" t="s">
        <v>242</v>
      </c>
      <c r="C302" s="1" t="s">
        <v>246</v>
      </c>
      <c r="D302" s="3" t="s">
        <v>1</v>
      </c>
      <c r="E302" s="3" t="s">
        <v>6</v>
      </c>
      <c r="F302" s="6" t="s">
        <v>110</v>
      </c>
    </row>
    <row r="303" spans="1:9">
      <c r="A303" s="2">
        <v>23530</v>
      </c>
      <c r="B303" s="1" t="s">
        <v>244</v>
      </c>
      <c r="C303" s="1" t="s">
        <v>243</v>
      </c>
      <c r="D303" s="3" t="s">
        <v>2</v>
      </c>
      <c r="E303" s="3" t="s">
        <v>7</v>
      </c>
      <c r="F303" s="6" t="s">
        <v>119</v>
      </c>
    </row>
    <row r="304" spans="1:9">
      <c r="A304" s="2">
        <v>23530</v>
      </c>
      <c r="B304" s="1" t="s">
        <v>182</v>
      </c>
      <c r="C304" s="1" t="s">
        <v>247</v>
      </c>
      <c r="D304" s="3" t="s">
        <v>2</v>
      </c>
      <c r="E304" s="3" t="s">
        <v>7</v>
      </c>
      <c r="F304" s="6" t="s">
        <v>119</v>
      </c>
    </row>
    <row r="305" spans="1:9">
      <c r="A305" s="2">
        <v>23530</v>
      </c>
      <c r="B305" s="1" t="s">
        <v>238</v>
      </c>
      <c r="C305" s="1" t="s">
        <v>239</v>
      </c>
      <c r="D305" s="3" t="s">
        <v>2</v>
      </c>
      <c r="E305" s="3" t="s">
        <v>7</v>
      </c>
      <c r="F305" s="6" t="s">
        <v>119</v>
      </c>
    </row>
    <row r="306" spans="1:9">
      <c r="A306" s="2">
        <v>23530</v>
      </c>
      <c r="B306" s="1" t="s">
        <v>231</v>
      </c>
      <c r="C306" s="1" t="s">
        <v>232</v>
      </c>
      <c r="D306" s="3" t="s">
        <v>2</v>
      </c>
      <c r="E306" s="3" t="s">
        <v>7</v>
      </c>
      <c r="F306" s="6" t="s">
        <v>119</v>
      </c>
    </row>
    <row r="307" spans="1:9">
      <c r="A307" s="2">
        <v>23530</v>
      </c>
      <c r="B307" s="1" t="s">
        <v>222</v>
      </c>
      <c r="C307" s="1" t="s">
        <v>245</v>
      </c>
      <c r="D307" s="3" t="s">
        <v>2</v>
      </c>
      <c r="E307" s="3" t="s">
        <v>7</v>
      </c>
      <c r="F307" s="6" t="s">
        <v>119</v>
      </c>
    </row>
    <row r="308" spans="1:9">
      <c r="A308" s="2">
        <v>23530</v>
      </c>
      <c r="B308" s="1" t="s">
        <v>138</v>
      </c>
      <c r="C308" s="1" t="s">
        <v>139</v>
      </c>
      <c r="D308" s="3" t="s">
        <v>2</v>
      </c>
      <c r="E308" s="3" t="s">
        <v>7</v>
      </c>
      <c r="F308" s="6" t="s">
        <v>119</v>
      </c>
    </row>
    <row r="309" spans="1:9">
      <c r="A309" s="2">
        <v>23530</v>
      </c>
      <c r="B309" s="1" t="s">
        <v>77</v>
      </c>
      <c r="C309" s="1" t="s">
        <v>84</v>
      </c>
      <c r="D309" s="3" t="s">
        <v>2</v>
      </c>
      <c r="E309" s="3" t="s">
        <v>7</v>
      </c>
      <c r="F309" s="6" t="s">
        <v>119</v>
      </c>
    </row>
    <row r="310" spans="1:9">
      <c r="A310" s="2">
        <v>23530</v>
      </c>
      <c r="B310" s="1" t="s">
        <v>240</v>
      </c>
      <c r="C310" s="1" t="s">
        <v>241</v>
      </c>
      <c r="D310" s="3" t="s">
        <v>2</v>
      </c>
      <c r="E310" s="3" t="s">
        <v>7</v>
      </c>
      <c r="F310" s="6" t="s">
        <v>119</v>
      </c>
    </row>
    <row r="311" spans="1:9" ht="18">
      <c r="A311" s="16">
        <v>23531</v>
      </c>
      <c r="B311" s="13"/>
      <c r="C311" s="13"/>
      <c r="D311" s="14"/>
      <c r="E311" s="14"/>
      <c r="F311" s="15"/>
      <c r="G311" s="15"/>
      <c r="H311" s="13"/>
      <c r="I311" s="13"/>
    </row>
    <row r="312" spans="1:9">
      <c r="A312" s="2">
        <v>23531</v>
      </c>
      <c r="B312" s="1" t="s">
        <v>207</v>
      </c>
      <c r="C312" s="1" t="s">
        <v>235</v>
      </c>
      <c r="D312" s="3" t="s">
        <v>1</v>
      </c>
      <c r="E312" s="3" t="s">
        <v>6</v>
      </c>
      <c r="F312" s="6" t="s">
        <v>110</v>
      </c>
    </row>
    <row r="313" spans="1:9">
      <c r="A313" s="2">
        <v>23531</v>
      </c>
      <c r="B313" s="1" t="s">
        <v>228</v>
      </c>
      <c r="C313" s="1" t="s">
        <v>235</v>
      </c>
      <c r="D313" s="3" t="s">
        <v>1</v>
      </c>
      <c r="E313" s="3" t="s">
        <v>6</v>
      </c>
      <c r="F313" s="6" t="s">
        <v>110</v>
      </c>
    </row>
    <row r="314" spans="1:9">
      <c r="A314" s="2">
        <v>23531</v>
      </c>
      <c r="B314" s="1" t="s">
        <v>199</v>
      </c>
      <c r="C314" s="1" t="s">
        <v>200</v>
      </c>
      <c r="D314" s="3" t="s">
        <v>1</v>
      </c>
      <c r="E314" s="3" t="s">
        <v>6</v>
      </c>
      <c r="F314" s="6" t="s">
        <v>110</v>
      </c>
    </row>
    <row r="315" spans="1:9">
      <c r="A315" s="2">
        <v>23531</v>
      </c>
      <c r="B315" s="1" t="s">
        <v>248</v>
      </c>
      <c r="C315" s="1" t="s">
        <v>255</v>
      </c>
      <c r="D315" s="3" t="s">
        <v>1</v>
      </c>
      <c r="E315" s="3" t="s">
        <v>6</v>
      </c>
      <c r="F315" s="6" t="s">
        <v>110</v>
      </c>
    </row>
    <row r="316" spans="1:9">
      <c r="A316" s="2">
        <v>23531</v>
      </c>
      <c r="B316" s="1" t="s">
        <v>159</v>
      </c>
      <c r="C316" s="1" t="s">
        <v>158</v>
      </c>
      <c r="D316" s="3" t="s">
        <v>1</v>
      </c>
      <c r="E316" s="3" t="s">
        <v>6</v>
      </c>
      <c r="F316" s="6" t="s">
        <v>110</v>
      </c>
    </row>
    <row r="317" spans="1:9">
      <c r="A317" s="2">
        <v>23531</v>
      </c>
      <c r="B317" s="1" t="s">
        <v>249</v>
      </c>
      <c r="C317" s="1" t="s">
        <v>252</v>
      </c>
      <c r="D317" s="3" t="s">
        <v>1</v>
      </c>
      <c r="E317" s="3" t="s">
        <v>6</v>
      </c>
      <c r="F317" s="6" t="s">
        <v>110</v>
      </c>
    </row>
    <row r="318" spans="1:9">
      <c r="A318" s="2">
        <v>23531</v>
      </c>
      <c r="B318" s="1" t="s">
        <v>250</v>
      </c>
      <c r="C318" s="1" t="s">
        <v>251</v>
      </c>
      <c r="D318" s="3" t="s">
        <v>2</v>
      </c>
      <c r="E318" s="3" t="s">
        <v>7</v>
      </c>
      <c r="F318" s="6" t="s">
        <v>119</v>
      </c>
    </row>
    <row r="319" spans="1:9">
      <c r="A319" s="2">
        <v>23531</v>
      </c>
      <c r="B319" s="1" t="s">
        <v>253</v>
      </c>
      <c r="C319" s="1" t="s">
        <v>254</v>
      </c>
      <c r="D319" s="3" t="s">
        <v>2</v>
      </c>
      <c r="E319" s="3" t="s">
        <v>7</v>
      </c>
      <c r="F319" s="6" t="s">
        <v>119</v>
      </c>
    </row>
    <row r="320" spans="1:9" ht="18">
      <c r="A320" s="16">
        <v>23532</v>
      </c>
      <c r="B320" s="13"/>
      <c r="C320" s="13"/>
      <c r="D320" s="14"/>
      <c r="E320" s="14"/>
      <c r="F320" s="15"/>
      <c r="G320" s="15"/>
      <c r="H320" s="13"/>
      <c r="I320" s="13"/>
    </row>
    <row r="321" spans="1:9">
      <c r="A321" s="2">
        <v>23531</v>
      </c>
      <c r="B321" s="1" t="s">
        <v>199</v>
      </c>
      <c r="C321" s="1" t="s">
        <v>200</v>
      </c>
      <c r="D321" s="3" t="s">
        <v>1</v>
      </c>
      <c r="E321" s="3" t="s">
        <v>6</v>
      </c>
      <c r="F321" s="6" t="s">
        <v>110</v>
      </c>
    </row>
    <row r="322" spans="1:9">
      <c r="A322" s="2">
        <v>23531</v>
      </c>
      <c r="B322" s="1" t="s">
        <v>248</v>
      </c>
      <c r="C322" s="1" t="s">
        <v>255</v>
      </c>
      <c r="D322" s="3" t="s">
        <v>1</v>
      </c>
      <c r="E322" s="3" t="s">
        <v>6</v>
      </c>
      <c r="F322" s="6" t="s">
        <v>110</v>
      </c>
    </row>
    <row r="323" spans="1:9">
      <c r="A323" s="2">
        <v>44351</v>
      </c>
      <c r="B323" s="1" t="s">
        <v>256</v>
      </c>
      <c r="C323" s="1" t="s">
        <v>212</v>
      </c>
      <c r="D323" s="3" t="s">
        <v>1</v>
      </c>
      <c r="E323" s="3" t="s">
        <v>6</v>
      </c>
      <c r="F323" s="6" t="s">
        <v>110</v>
      </c>
    </row>
    <row r="324" spans="1:9">
      <c r="A324" s="2">
        <v>23532</v>
      </c>
      <c r="B324" s="1" t="s">
        <v>257</v>
      </c>
      <c r="C324" s="1" t="s">
        <v>258</v>
      </c>
      <c r="D324" s="3" t="s">
        <v>1</v>
      </c>
      <c r="E324" s="3" t="s">
        <v>6</v>
      </c>
      <c r="F324" s="6" t="s">
        <v>110</v>
      </c>
    </row>
    <row r="325" spans="1:9">
      <c r="A325" s="2">
        <v>23532</v>
      </c>
      <c r="B325" s="1" t="s">
        <v>196</v>
      </c>
      <c r="C325" s="1" t="s">
        <v>197</v>
      </c>
      <c r="D325" s="3" t="s">
        <v>2</v>
      </c>
      <c r="E325" s="3" t="s">
        <v>7</v>
      </c>
      <c r="F325" s="6" t="s">
        <v>119</v>
      </c>
    </row>
    <row r="326" spans="1:9">
      <c r="A326" s="2">
        <v>23532</v>
      </c>
      <c r="B326" s="1" t="s">
        <v>253</v>
      </c>
      <c r="C326" s="1" t="s">
        <v>254</v>
      </c>
      <c r="D326" s="3" t="s">
        <v>2</v>
      </c>
      <c r="E326" s="3" t="s">
        <v>7</v>
      </c>
      <c r="F326" s="6" t="s">
        <v>119</v>
      </c>
    </row>
    <row r="327" spans="1:9" ht="18">
      <c r="A327" s="16">
        <v>23533</v>
      </c>
      <c r="B327" s="13"/>
      <c r="C327" s="13"/>
      <c r="D327" s="14"/>
      <c r="E327" s="14"/>
      <c r="F327" s="15"/>
      <c r="G327" s="15"/>
      <c r="H327" s="13"/>
      <c r="I327" s="13"/>
    </row>
    <row r="328" spans="1:9">
      <c r="A328" s="2">
        <v>23532</v>
      </c>
      <c r="B328" s="1" t="s">
        <v>149</v>
      </c>
      <c r="C328" s="1" t="s">
        <v>147</v>
      </c>
      <c r="D328" s="3" t="s">
        <v>1</v>
      </c>
      <c r="E328" s="3" t="s">
        <v>6</v>
      </c>
      <c r="F328" s="6" t="s">
        <v>110</v>
      </c>
    </row>
    <row r="329" spans="1:9">
      <c r="A329" s="2">
        <v>23533</v>
      </c>
      <c r="B329" s="1" t="s">
        <v>259</v>
      </c>
      <c r="C329" s="1" t="s">
        <v>88</v>
      </c>
      <c r="D329" s="3" t="s">
        <v>1</v>
      </c>
      <c r="E329" s="3" t="s">
        <v>6</v>
      </c>
      <c r="F329" s="6" t="s">
        <v>110</v>
      </c>
    </row>
    <row r="330" spans="1:9">
      <c r="A330" s="2">
        <v>23533</v>
      </c>
      <c r="B330" s="1" t="s">
        <v>260</v>
      </c>
      <c r="C330" s="1" t="s">
        <v>127</v>
      </c>
      <c r="D330" s="3" t="s">
        <v>1</v>
      </c>
      <c r="E330" s="3" t="s">
        <v>6</v>
      </c>
      <c r="F330" s="6" t="s">
        <v>110</v>
      </c>
    </row>
    <row r="331" spans="1:9">
      <c r="A331" s="2">
        <v>23533</v>
      </c>
      <c r="B331" s="1" t="s">
        <v>261</v>
      </c>
      <c r="C331" s="1" t="s">
        <v>263</v>
      </c>
      <c r="D331" s="3" t="s">
        <v>1</v>
      </c>
      <c r="E331" s="3" t="s">
        <v>6</v>
      </c>
      <c r="F331" s="6" t="s">
        <v>110</v>
      </c>
    </row>
    <row r="332" spans="1:9">
      <c r="A332" s="2">
        <v>23533</v>
      </c>
      <c r="B332" s="1" t="s">
        <v>262</v>
      </c>
      <c r="C332" s="1" t="s">
        <v>264</v>
      </c>
      <c r="D332" s="3" t="s">
        <v>1</v>
      </c>
      <c r="E332" s="3" t="s">
        <v>6</v>
      </c>
      <c r="F332" s="6" t="s">
        <v>110</v>
      </c>
    </row>
    <row r="333" spans="1:9">
      <c r="A333" s="2">
        <v>23533</v>
      </c>
      <c r="B333" s="1" t="s">
        <v>199</v>
      </c>
      <c r="C333" s="1" t="s">
        <v>200</v>
      </c>
      <c r="D333" s="3" t="s">
        <v>1</v>
      </c>
      <c r="E333" s="3" t="s">
        <v>6</v>
      </c>
      <c r="F333" s="6" t="s">
        <v>110</v>
      </c>
    </row>
    <row r="334" spans="1:9">
      <c r="A334" s="2">
        <v>23533</v>
      </c>
      <c r="B334" s="1" t="s">
        <v>122</v>
      </c>
      <c r="C334" s="1" t="s">
        <v>124</v>
      </c>
      <c r="D334" s="3" t="s">
        <v>1</v>
      </c>
      <c r="E334" s="3" t="s">
        <v>6</v>
      </c>
      <c r="F334" s="6" t="s">
        <v>110</v>
      </c>
    </row>
    <row r="335" spans="1:9">
      <c r="A335" s="2">
        <v>23533</v>
      </c>
      <c r="B335" s="1" t="s">
        <v>265</v>
      </c>
      <c r="C335" s="1" t="s">
        <v>113</v>
      </c>
      <c r="D335" s="3" t="s">
        <v>2</v>
      </c>
      <c r="E335" s="3" t="s">
        <v>7</v>
      </c>
      <c r="F335" s="6" t="s">
        <v>119</v>
      </c>
    </row>
    <row r="336" spans="1:9">
      <c r="A336" s="2">
        <v>23533</v>
      </c>
      <c r="B336" s="1" t="s">
        <v>182</v>
      </c>
      <c r="C336" s="1" t="s">
        <v>124</v>
      </c>
      <c r="D336" s="3" t="s">
        <v>2</v>
      </c>
      <c r="E336" s="3" t="s">
        <v>7</v>
      </c>
      <c r="F336" s="6" t="s">
        <v>119</v>
      </c>
    </row>
    <row r="337" spans="1:9">
      <c r="A337" s="2">
        <v>23533</v>
      </c>
      <c r="B337" s="1" t="s">
        <v>106</v>
      </c>
      <c r="C337" s="1" t="s">
        <v>107</v>
      </c>
      <c r="D337" s="3" t="s">
        <v>2</v>
      </c>
      <c r="E337" s="3" t="s">
        <v>7</v>
      </c>
      <c r="F337" s="6" t="s">
        <v>119</v>
      </c>
    </row>
    <row r="338" spans="1:9">
      <c r="A338" s="2">
        <v>23533</v>
      </c>
      <c r="B338" s="1" t="s">
        <v>266</v>
      </c>
      <c r="C338" s="1" t="s">
        <v>267</v>
      </c>
      <c r="D338" s="3" t="s">
        <v>2</v>
      </c>
      <c r="E338" s="3" t="s">
        <v>7</v>
      </c>
      <c r="F338" s="6" t="s">
        <v>119</v>
      </c>
    </row>
    <row r="339" spans="1:9" ht="18">
      <c r="A339" s="16">
        <v>23534</v>
      </c>
      <c r="B339" s="13"/>
      <c r="C339" s="13"/>
      <c r="D339" s="14"/>
      <c r="E339" s="14"/>
      <c r="F339" s="15"/>
      <c r="G339" s="15"/>
      <c r="H339" s="13"/>
      <c r="I339" s="13"/>
    </row>
    <row r="340" spans="1:9">
      <c r="A340" s="2">
        <v>23534</v>
      </c>
      <c r="B340" s="1" t="s">
        <v>268</v>
      </c>
      <c r="C340" s="1" t="s">
        <v>269</v>
      </c>
      <c r="D340" s="3" t="s">
        <v>1</v>
      </c>
      <c r="E340" s="3" t="s">
        <v>6</v>
      </c>
      <c r="F340" s="6" t="s">
        <v>110</v>
      </c>
    </row>
    <row r="341" spans="1:9">
      <c r="A341" s="2">
        <v>23534</v>
      </c>
      <c r="B341" s="1" t="s">
        <v>207</v>
      </c>
      <c r="C341" s="1" t="s">
        <v>235</v>
      </c>
      <c r="D341" s="3" t="s">
        <v>1</v>
      </c>
      <c r="E341" s="3" t="s">
        <v>6</v>
      </c>
      <c r="F341" s="6" t="s">
        <v>110</v>
      </c>
    </row>
    <row r="342" spans="1:9">
      <c r="A342" s="2">
        <v>23534</v>
      </c>
      <c r="B342" s="1" t="s">
        <v>228</v>
      </c>
      <c r="C342" s="1" t="s">
        <v>235</v>
      </c>
      <c r="D342" s="3" t="s">
        <v>1</v>
      </c>
      <c r="E342" s="3" t="s">
        <v>6</v>
      </c>
      <c r="F342" s="6" t="s">
        <v>110</v>
      </c>
    </row>
    <row r="343" spans="1:9">
      <c r="A343" s="2">
        <v>23534</v>
      </c>
      <c r="B343" s="1" t="s">
        <v>265</v>
      </c>
      <c r="C343" s="1" t="s">
        <v>113</v>
      </c>
      <c r="D343" s="3" t="s">
        <v>2</v>
      </c>
      <c r="E343" s="3" t="s">
        <v>7</v>
      </c>
      <c r="F343" s="6" t="s">
        <v>119</v>
      </c>
    </row>
    <row r="344" spans="1:9">
      <c r="A344" s="2">
        <v>23534</v>
      </c>
      <c r="B344" s="1" t="s">
        <v>266</v>
      </c>
      <c r="C344" s="1" t="s">
        <v>267</v>
      </c>
      <c r="D344" s="3" t="s">
        <v>2</v>
      </c>
      <c r="E344" s="3" t="s">
        <v>7</v>
      </c>
      <c r="F344" s="6" t="s">
        <v>119</v>
      </c>
    </row>
    <row r="345" spans="1:9">
      <c r="A345" s="2">
        <v>23534</v>
      </c>
      <c r="B345" s="1" t="s">
        <v>106</v>
      </c>
      <c r="C345" s="1" t="s">
        <v>107</v>
      </c>
      <c r="D345" s="3" t="s">
        <v>2</v>
      </c>
      <c r="E345" s="3" t="s">
        <v>7</v>
      </c>
      <c r="F345" s="6" t="s">
        <v>119</v>
      </c>
    </row>
    <row r="346" spans="1:9">
      <c r="A346" s="28">
        <v>23535</v>
      </c>
      <c r="B346" s="13"/>
      <c r="C346" s="13"/>
      <c r="D346" s="14"/>
      <c r="E346" s="14"/>
      <c r="F346" s="15"/>
      <c r="G346" s="15"/>
      <c r="H346" s="13"/>
      <c r="I346" s="13"/>
    </row>
    <row r="347" spans="1:9">
      <c r="A347" s="2">
        <v>23534</v>
      </c>
      <c r="B347" s="1" t="s">
        <v>207</v>
      </c>
      <c r="C347" s="1" t="s">
        <v>235</v>
      </c>
      <c r="D347" s="3" t="s">
        <v>1</v>
      </c>
      <c r="E347" s="3" t="s">
        <v>6</v>
      </c>
      <c r="F347" s="6" t="s">
        <v>110</v>
      </c>
    </row>
    <row r="348" spans="1:9">
      <c r="A348" s="2">
        <v>23534</v>
      </c>
      <c r="B348" s="1" t="s">
        <v>228</v>
      </c>
      <c r="C348" s="1" t="s">
        <v>235</v>
      </c>
      <c r="D348" s="3" t="s">
        <v>1</v>
      </c>
      <c r="E348" s="3" t="s">
        <v>6</v>
      </c>
      <c r="F348" s="6" t="s">
        <v>110</v>
      </c>
    </row>
    <row r="349" spans="1:9">
      <c r="A349" s="2">
        <v>23534</v>
      </c>
      <c r="B349" s="1" t="s">
        <v>268</v>
      </c>
      <c r="C349" s="1" t="s">
        <v>269</v>
      </c>
      <c r="D349" s="3" t="s">
        <v>1</v>
      </c>
      <c r="E349" s="3" t="s">
        <v>6</v>
      </c>
      <c r="F349" s="6" t="s">
        <v>110</v>
      </c>
    </row>
    <row r="350" spans="1:9">
      <c r="A350" s="2">
        <v>23535</v>
      </c>
      <c r="B350" s="1" t="s">
        <v>199</v>
      </c>
      <c r="C350" s="1" t="s">
        <v>200</v>
      </c>
      <c r="D350" s="3" t="s">
        <v>1</v>
      </c>
      <c r="E350" s="3" t="s">
        <v>6</v>
      </c>
      <c r="F350" s="6" t="s">
        <v>110</v>
      </c>
    </row>
    <row r="351" spans="1:9">
      <c r="A351" s="2">
        <v>23535</v>
      </c>
      <c r="B351" s="1" t="s">
        <v>159</v>
      </c>
      <c r="C351" s="1" t="s">
        <v>158</v>
      </c>
      <c r="D351" s="3" t="s">
        <v>1</v>
      </c>
      <c r="E351" s="3" t="s">
        <v>6</v>
      </c>
      <c r="F351" s="6" t="s">
        <v>110</v>
      </c>
    </row>
    <row r="352" spans="1:9">
      <c r="A352" s="2">
        <v>23535</v>
      </c>
      <c r="B352" s="1" t="s">
        <v>270</v>
      </c>
      <c r="C352" s="1" t="s">
        <v>272</v>
      </c>
      <c r="D352" s="3" t="s">
        <v>1</v>
      </c>
      <c r="E352" s="3" t="s">
        <v>6</v>
      </c>
      <c r="F352" s="6" t="s">
        <v>110</v>
      </c>
    </row>
    <row r="353" spans="1:9">
      <c r="A353" s="2">
        <v>23535</v>
      </c>
      <c r="B353" s="1" t="s">
        <v>271</v>
      </c>
      <c r="C353" s="1" t="s">
        <v>272</v>
      </c>
      <c r="D353" s="3" t="s">
        <v>1</v>
      </c>
      <c r="E353" s="3" t="s">
        <v>6</v>
      </c>
      <c r="F353" s="6" t="s">
        <v>110</v>
      </c>
    </row>
    <row r="354" spans="1:9">
      <c r="A354" s="2">
        <v>23535</v>
      </c>
      <c r="B354" s="1" t="s">
        <v>265</v>
      </c>
      <c r="C354" s="1" t="s">
        <v>273</v>
      </c>
      <c r="D354" s="3" t="s">
        <v>2</v>
      </c>
      <c r="E354" s="3" t="s">
        <v>7</v>
      </c>
      <c r="F354" s="6" t="s">
        <v>119</v>
      </c>
    </row>
    <row r="355" spans="1:9">
      <c r="A355" s="2">
        <v>23535</v>
      </c>
      <c r="B355" s="1" t="s">
        <v>95</v>
      </c>
      <c r="C355" s="1" t="s">
        <v>96</v>
      </c>
      <c r="D355" s="3" t="s">
        <v>2</v>
      </c>
      <c r="E355" s="3" t="s">
        <v>7</v>
      </c>
      <c r="F355" s="6" t="s">
        <v>119</v>
      </c>
    </row>
    <row r="356" spans="1:9">
      <c r="A356" s="2">
        <v>23535</v>
      </c>
      <c r="B356" s="1" t="s">
        <v>274</v>
      </c>
      <c r="C356" s="1" t="s">
        <v>275</v>
      </c>
      <c r="D356" s="3" t="s">
        <v>2</v>
      </c>
      <c r="E356" s="3" t="s">
        <v>7</v>
      </c>
      <c r="F356" s="6" t="s">
        <v>119</v>
      </c>
    </row>
    <row r="357" spans="1:9">
      <c r="A357" s="2">
        <v>23535</v>
      </c>
      <c r="B357" s="1" t="s">
        <v>276</v>
      </c>
      <c r="C357" s="1" t="s">
        <v>267</v>
      </c>
      <c r="D357" s="3" t="s">
        <v>2</v>
      </c>
      <c r="E357" s="3" t="s">
        <v>7</v>
      </c>
      <c r="F357" s="6" t="s">
        <v>119</v>
      </c>
    </row>
    <row r="358" spans="1:9">
      <c r="A358" s="2">
        <v>23535</v>
      </c>
      <c r="B358" s="1" t="s">
        <v>106</v>
      </c>
      <c r="C358" s="1" t="s">
        <v>107</v>
      </c>
      <c r="D358" s="3" t="s">
        <v>2</v>
      </c>
      <c r="E358" s="3" t="s">
        <v>7</v>
      </c>
      <c r="F358" s="6" t="s">
        <v>119</v>
      </c>
    </row>
    <row r="359" spans="1:9" ht="18">
      <c r="A359" s="16">
        <v>23536</v>
      </c>
      <c r="B359" s="13"/>
      <c r="C359" s="13"/>
      <c r="D359" s="14"/>
      <c r="E359" s="14"/>
      <c r="F359" s="15"/>
      <c r="G359" s="15"/>
      <c r="H359" s="13"/>
      <c r="I359" s="13"/>
    </row>
    <row r="360" spans="1:9">
      <c r="A360" s="2">
        <v>23534</v>
      </c>
      <c r="B360" s="1" t="s">
        <v>207</v>
      </c>
      <c r="C360" s="1" t="s">
        <v>235</v>
      </c>
      <c r="D360" s="3" t="s">
        <v>1</v>
      </c>
      <c r="E360" s="3" t="s">
        <v>6</v>
      </c>
      <c r="F360" s="6" t="s">
        <v>110</v>
      </c>
    </row>
    <row r="361" spans="1:9">
      <c r="A361" s="2">
        <v>23534</v>
      </c>
      <c r="B361" s="1" t="s">
        <v>228</v>
      </c>
      <c r="C361" s="1" t="s">
        <v>235</v>
      </c>
      <c r="D361" s="3" t="s">
        <v>1</v>
      </c>
      <c r="E361" s="3" t="s">
        <v>6</v>
      </c>
      <c r="F361" s="6" t="s">
        <v>110</v>
      </c>
    </row>
    <row r="362" spans="1:9">
      <c r="A362" s="2">
        <v>23535</v>
      </c>
      <c r="B362" s="1" t="s">
        <v>268</v>
      </c>
      <c r="C362" s="1" t="s">
        <v>269</v>
      </c>
      <c r="D362" s="3" t="s">
        <v>1</v>
      </c>
      <c r="E362" s="3" t="s">
        <v>6</v>
      </c>
      <c r="F362" s="6" t="s">
        <v>110</v>
      </c>
    </row>
    <row r="363" spans="1:9">
      <c r="A363" s="2">
        <v>23535</v>
      </c>
      <c r="B363" s="1" t="s">
        <v>199</v>
      </c>
      <c r="C363" s="1" t="s">
        <v>200</v>
      </c>
      <c r="D363" s="3" t="s">
        <v>1</v>
      </c>
      <c r="E363" s="3" t="s">
        <v>6</v>
      </c>
      <c r="F363" s="6" t="s">
        <v>110</v>
      </c>
    </row>
    <row r="364" spans="1:9">
      <c r="A364" s="2">
        <v>23535</v>
      </c>
      <c r="B364" s="1" t="s">
        <v>274</v>
      </c>
      <c r="C364" s="1" t="s">
        <v>275</v>
      </c>
      <c r="D364" s="3" t="s">
        <v>2</v>
      </c>
      <c r="E364" s="3" t="s">
        <v>7</v>
      </c>
      <c r="F364" s="6" t="s">
        <v>119</v>
      </c>
    </row>
    <row r="365" spans="1:9">
      <c r="A365" s="2">
        <v>23536</v>
      </c>
      <c r="B365" s="1" t="s">
        <v>52</v>
      </c>
      <c r="C365" s="1" t="s">
        <v>61</v>
      </c>
      <c r="D365" s="3" t="s">
        <v>2</v>
      </c>
      <c r="E365" s="3" t="s">
        <v>7</v>
      </c>
      <c r="F365" s="6" t="s">
        <v>119</v>
      </c>
    </row>
    <row r="366" spans="1:9">
      <c r="A366" s="2">
        <v>23536</v>
      </c>
      <c r="B366" s="1" t="s">
        <v>183</v>
      </c>
      <c r="C366" s="1" t="s">
        <v>118</v>
      </c>
      <c r="D366" s="3" t="s">
        <v>2</v>
      </c>
      <c r="E366" s="3" t="s">
        <v>7</v>
      </c>
      <c r="F366" s="6" t="s">
        <v>119</v>
      </c>
    </row>
    <row r="367" spans="1:9">
      <c r="A367" s="2">
        <v>23536</v>
      </c>
      <c r="B367" s="1" t="s">
        <v>277</v>
      </c>
      <c r="C367" s="1" t="s">
        <v>278</v>
      </c>
      <c r="D367" s="3" t="s">
        <v>2</v>
      </c>
      <c r="E367" s="3" t="s">
        <v>7</v>
      </c>
      <c r="F367" s="6" t="s">
        <v>119</v>
      </c>
    </row>
    <row r="368" spans="1:9" ht="18">
      <c r="A368" s="16">
        <v>23537</v>
      </c>
      <c r="B368" s="13"/>
      <c r="C368" s="13"/>
      <c r="D368" s="14"/>
      <c r="E368" s="14"/>
      <c r="F368" s="15"/>
      <c r="G368" s="15"/>
      <c r="H368" s="13"/>
      <c r="I368" s="13"/>
    </row>
    <row r="369" spans="1:9">
      <c r="A369" s="2">
        <v>23534</v>
      </c>
      <c r="B369" s="1" t="s">
        <v>207</v>
      </c>
      <c r="C369" s="1" t="s">
        <v>235</v>
      </c>
      <c r="D369" s="3" t="s">
        <v>1</v>
      </c>
      <c r="E369" s="3" t="s">
        <v>6</v>
      </c>
      <c r="F369" s="6" t="s">
        <v>110</v>
      </c>
    </row>
    <row r="370" spans="1:9">
      <c r="A370" s="2">
        <v>23534</v>
      </c>
      <c r="B370" s="1" t="s">
        <v>228</v>
      </c>
      <c r="C370" s="1" t="s">
        <v>235</v>
      </c>
      <c r="D370" s="3" t="s">
        <v>1</v>
      </c>
      <c r="E370" s="3" t="s">
        <v>6</v>
      </c>
      <c r="F370" s="6" t="s">
        <v>110</v>
      </c>
    </row>
    <row r="371" spans="1:9">
      <c r="A371" s="2">
        <v>23536</v>
      </c>
      <c r="B371" s="1" t="s">
        <v>279</v>
      </c>
      <c r="C371" s="1" t="s">
        <v>288</v>
      </c>
      <c r="D371" s="3" t="s">
        <v>1</v>
      </c>
      <c r="E371" s="3" t="s">
        <v>6</v>
      </c>
      <c r="F371" s="6" t="s">
        <v>110</v>
      </c>
    </row>
    <row r="372" spans="1:9">
      <c r="A372" s="2">
        <v>23537</v>
      </c>
      <c r="B372" s="1" t="s">
        <v>196</v>
      </c>
      <c r="C372" s="1" t="s">
        <v>197</v>
      </c>
      <c r="D372" s="3" t="s">
        <v>1</v>
      </c>
      <c r="E372" s="3" t="s">
        <v>6</v>
      </c>
      <c r="F372" s="6" t="s">
        <v>110</v>
      </c>
    </row>
    <row r="373" spans="1:9">
      <c r="A373" s="2">
        <v>23537</v>
      </c>
      <c r="B373" s="1" t="s">
        <v>280</v>
      </c>
      <c r="C373" s="1" t="s">
        <v>283</v>
      </c>
      <c r="D373" s="3" t="s">
        <v>1</v>
      </c>
      <c r="E373" s="3" t="s">
        <v>6</v>
      </c>
      <c r="F373" s="6" t="s">
        <v>110</v>
      </c>
    </row>
    <row r="374" spans="1:9">
      <c r="A374" s="2">
        <v>23537</v>
      </c>
      <c r="B374" s="1" t="s">
        <v>199</v>
      </c>
      <c r="C374" s="1" t="s">
        <v>200</v>
      </c>
      <c r="D374" s="3" t="s">
        <v>1</v>
      </c>
      <c r="E374" s="3" t="s">
        <v>6</v>
      </c>
      <c r="F374" s="6" t="s">
        <v>110</v>
      </c>
    </row>
    <row r="375" spans="1:9">
      <c r="A375" s="2">
        <v>23537</v>
      </c>
      <c r="B375" s="1" t="s">
        <v>159</v>
      </c>
      <c r="C375" s="1" t="s">
        <v>158</v>
      </c>
      <c r="D375" s="3" t="s">
        <v>1</v>
      </c>
      <c r="E375" s="3" t="s">
        <v>6</v>
      </c>
      <c r="F375" s="6" t="s">
        <v>110</v>
      </c>
    </row>
    <row r="376" spans="1:9">
      <c r="A376" s="2">
        <v>23537</v>
      </c>
      <c r="B376" s="1" t="s">
        <v>281</v>
      </c>
      <c r="C376" s="1" t="s">
        <v>286</v>
      </c>
      <c r="D376" s="3" t="s">
        <v>2</v>
      </c>
      <c r="E376" s="3" t="s">
        <v>7</v>
      </c>
      <c r="F376" s="6" t="s">
        <v>119</v>
      </c>
    </row>
    <row r="377" spans="1:9">
      <c r="A377" s="2">
        <v>23537</v>
      </c>
      <c r="B377" s="1" t="s">
        <v>282</v>
      </c>
      <c r="C377" s="1" t="s">
        <v>287</v>
      </c>
      <c r="D377" s="3" t="s">
        <v>2</v>
      </c>
      <c r="E377" s="3" t="s">
        <v>7</v>
      </c>
      <c r="F377" s="6" t="s">
        <v>119</v>
      </c>
    </row>
    <row r="378" spans="1:9">
      <c r="A378" s="2">
        <v>23537</v>
      </c>
      <c r="B378" s="1" t="s">
        <v>284</v>
      </c>
      <c r="C378" s="1" t="s">
        <v>285</v>
      </c>
      <c r="D378" s="3" t="s">
        <v>2</v>
      </c>
      <c r="E378" s="3" t="s">
        <v>7</v>
      </c>
      <c r="F378" s="6" t="s">
        <v>119</v>
      </c>
    </row>
    <row r="379" spans="1:9" ht="18">
      <c r="A379" s="16">
        <v>23538</v>
      </c>
      <c r="B379" s="13"/>
      <c r="C379" s="13"/>
      <c r="D379" s="14"/>
      <c r="E379" s="14"/>
      <c r="F379" s="15"/>
      <c r="G379" s="15"/>
      <c r="H379" s="13"/>
      <c r="I379" s="13"/>
    </row>
    <row r="380" spans="1:9">
      <c r="A380" s="2">
        <v>23538</v>
      </c>
      <c r="B380" s="1" t="s">
        <v>78</v>
      </c>
      <c r="C380" s="1" t="s">
        <v>85</v>
      </c>
      <c r="D380" s="3" t="s">
        <v>1</v>
      </c>
      <c r="E380" s="3" t="s">
        <v>6</v>
      </c>
      <c r="F380" s="6" t="s">
        <v>110</v>
      </c>
    </row>
    <row r="381" spans="1:9">
      <c r="A381" s="2">
        <v>23538</v>
      </c>
      <c r="B381" s="1" t="s">
        <v>289</v>
      </c>
      <c r="C381" s="1" t="s">
        <v>290</v>
      </c>
      <c r="D381" s="3" t="s">
        <v>1</v>
      </c>
      <c r="E381" s="3" t="s">
        <v>6</v>
      </c>
      <c r="F381" s="6" t="s">
        <v>110</v>
      </c>
    </row>
    <row r="382" spans="1:9">
      <c r="A382" s="2">
        <v>23538</v>
      </c>
      <c r="B382" s="1" t="s">
        <v>270</v>
      </c>
      <c r="C382" s="1" t="s">
        <v>272</v>
      </c>
      <c r="D382" s="3" t="s">
        <v>1</v>
      </c>
      <c r="E382" s="3" t="s">
        <v>6</v>
      </c>
      <c r="F382" s="6" t="s">
        <v>110</v>
      </c>
    </row>
    <row r="383" spans="1:9">
      <c r="A383" s="2">
        <v>23538</v>
      </c>
      <c r="B383" s="1" t="s">
        <v>271</v>
      </c>
      <c r="C383" s="1" t="s">
        <v>272</v>
      </c>
      <c r="D383" s="3" t="s">
        <v>1</v>
      </c>
      <c r="E383" s="3" t="s">
        <v>6</v>
      </c>
      <c r="F383" s="6" t="s">
        <v>110</v>
      </c>
    </row>
    <row r="384" spans="1:9">
      <c r="A384" s="2">
        <v>23538</v>
      </c>
      <c r="B384" s="1" t="s">
        <v>199</v>
      </c>
      <c r="C384" s="1" t="s">
        <v>200</v>
      </c>
      <c r="D384" s="3" t="s">
        <v>1</v>
      </c>
      <c r="E384" s="3" t="s">
        <v>6</v>
      </c>
      <c r="F384" s="6" t="s">
        <v>110</v>
      </c>
    </row>
    <row r="385" spans="1:9">
      <c r="A385" s="2">
        <v>23538</v>
      </c>
      <c r="B385" s="1" t="s">
        <v>292</v>
      </c>
      <c r="C385" s="1" t="s">
        <v>291</v>
      </c>
      <c r="D385" s="3" t="s">
        <v>2</v>
      </c>
      <c r="E385" s="3" t="s">
        <v>7</v>
      </c>
      <c r="F385" s="6" t="s">
        <v>119</v>
      </c>
    </row>
    <row r="386" spans="1:9">
      <c r="A386" s="2">
        <v>23538</v>
      </c>
      <c r="B386" s="1" t="s">
        <v>282</v>
      </c>
      <c r="C386" s="1" t="s">
        <v>287</v>
      </c>
      <c r="D386" s="3" t="s">
        <v>2</v>
      </c>
      <c r="E386" s="3" t="s">
        <v>7</v>
      </c>
      <c r="F386" s="6" t="s">
        <v>119</v>
      </c>
    </row>
    <row r="387" spans="1:9" ht="18">
      <c r="A387" s="16">
        <v>23539</v>
      </c>
      <c r="B387" s="13"/>
      <c r="C387" s="13"/>
      <c r="D387" s="14"/>
      <c r="E387" s="14"/>
      <c r="F387" s="15"/>
      <c r="G387" s="15"/>
      <c r="H387" s="13"/>
      <c r="I387" s="13"/>
    </row>
    <row r="388" spans="1:9">
      <c r="A388" s="2">
        <v>23539</v>
      </c>
      <c r="B388" s="1" t="s">
        <v>199</v>
      </c>
      <c r="C388" s="1" t="s">
        <v>200</v>
      </c>
      <c r="D388" s="3" t="s">
        <v>1</v>
      </c>
      <c r="E388" s="3" t="s">
        <v>6</v>
      </c>
      <c r="F388" s="6" t="s">
        <v>110</v>
      </c>
    </row>
    <row r="389" spans="1:9">
      <c r="A389" s="2">
        <v>23539</v>
      </c>
      <c r="B389" s="1" t="s">
        <v>284</v>
      </c>
      <c r="C389" s="1" t="s">
        <v>285</v>
      </c>
      <c r="D389" s="3" t="s">
        <v>1</v>
      </c>
      <c r="E389" s="3" t="s">
        <v>6</v>
      </c>
      <c r="F389" s="6" t="s">
        <v>110</v>
      </c>
    </row>
    <row r="390" spans="1:9">
      <c r="A390" s="2">
        <v>23539</v>
      </c>
      <c r="B390" s="1" t="s">
        <v>282</v>
      </c>
      <c r="C390" s="1" t="s">
        <v>287</v>
      </c>
      <c r="D390" s="3" t="s">
        <v>2</v>
      </c>
      <c r="E390" s="3" t="s">
        <v>7</v>
      </c>
      <c r="F390" s="6" t="s">
        <v>119</v>
      </c>
    </row>
    <row r="391" spans="1:9">
      <c r="A391" s="2">
        <v>23539</v>
      </c>
      <c r="B391" s="1" t="s">
        <v>293</v>
      </c>
      <c r="C391" s="1" t="s">
        <v>294</v>
      </c>
      <c r="D391" s="3" t="s">
        <v>2</v>
      </c>
      <c r="E391" s="3" t="s">
        <v>7</v>
      </c>
      <c r="F391" s="6" t="s">
        <v>119</v>
      </c>
    </row>
    <row r="392" spans="1:9">
      <c r="A392" s="2">
        <v>23539</v>
      </c>
      <c r="B392" s="1" t="s">
        <v>295</v>
      </c>
      <c r="C392" s="1" t="s">
        <v>296</v>
      </c>
      <c r="D392" s="3" t="s">
        <v>2</v>
      </c>
      <c r="E392" s="3" t="s">
        <v>7</v>
      </c>
      <c r="F392" s="6" t="s">
        <v>119</v>
      </c>
    </row>
    <row r="393" spans="1:9">
      <c r="A393" s="28">
        <v>23540</v>
      </c>
      <c r="B393" s="13"/>
      <c r="C393" s="13"/>
      <c r="D393" s="14"/>
      <c r="E393" s="14"/>
      <c r="F393" s="15"/>
      <c r="G393" s="15"/>
      <c r="H393" s="13"/>
      <c r="I393" s="13"/>
    </row>
    <row r="394" spans="1:9">
      <c r="A394" s="2">
        <v>23540</v>
      </c>
      <c r="B394" s="1" t="s">
        <v>112</v>
      </c>
      <c r="C394" s="1" t="s">
        <v>113</v>
      </c>
      <c r="D394" s="3" t="s">
        <v>1</v>
      </c>
      <c r="E394" s="3" t="s">
        <v>6</v>
      </c>
      <c r="F394" s="6" t="s">
        <v>110</v>
      </c>
    </row>
    <row r="395" spans="1:9">
      <c r="A395" s="2">
        <v>23540</v>
      </c>
      <c r="B395" s="1" t="s">
        <v>11</v>
      </c>
      <c r="C395" s="1" t="s">
        <v>25</v>
      </c>
      <c r="D395" s="3" t="s">
        <v>2</v>
      </c>
      <c r="E395" s="3" t="s">
        <v>7</v>
      </c>
      <c r="F395" s="6" t="s">
        <v>119</v>
      </c>
    </row>
    <row r="396" spans="1:9">
      <c r="A396" s="2">
        <v>23540</v>
      </c>
      <c r="B396" s="1" t="s">
        <v>282</v>
      </c>
      <c r="C396" s="1" t="s">
        <v>287</v>
      </c>
      <c r="D396" s="3" t="s">
        <v>2</v>
      </c>
      <c r="E396" s="3" t="s">
        <v>7</v>
      </c>
      <c r="F396" s="6" t="s">
        <v>119</v>
      </c>
    </row>
    <row r="397" spans="1:9">
      <c r="A397" s="2">
        <v>23540</v>
      </c>
      <c r="B397" s="1" t="s">
        <v>297</v>
      </c>
      <c r="C397" s="1" t="s">
        <v>101</v>
      </c>
      <c r="D397" s="3" t="s">
        <v>2</v>
      </c>
      <c r="E397" s="3" t="s">
        <v>7</v>
      </c>
      <c r="F397" s="6" t="s">
        <v>119</v>
      </c>
    </row>
    <row r="398" spans="1:9" ht="18">
      <c r="A398" s="16">
        <v>23541</v>
      </c>
      <c r="B398" s="13"/>
      <c r="C398" s="13"/>
      <c r="D398" s="14"/>
      <c r="E398" s="14"/>
      <c r="F398" s="15"/>
      <c r="G398" s="15"/>
      <c r="H398" s="13"/>
      <c r="I398" s="13"/>
    </row>
    <row r="399" spans="1:9">
      <c r="A399" s="2">
        <v>23540</v>
      </c>
      <c r="B399" s="1" t="s">
        <v>159</v>
      </c>
      <c r="C399" s="1" t="s">
        <v>158</v>
      </c>
      <c r="D399" s="3" t="s">
        <v>1</v>
      </c>
      <c r="E399" s="3" t="s">
        <v>6</v>
      </c>
      <c r="F399" s="6" t="s">
        <v>110</v>
      </c>
    </row>
    <row r="400" spans="1:9">
      <c r="A400" s="2">
        <v>23541</v>
      </c>
      <c r="B400" s="1" t="s">
        <v>298</v>
      </c>
      <c r="C400" s="1" t="s">
        <v>299</v>
      </c>
      <c r="D400" s="3" t="s">
        <v>1</v>
      </c>
      <c r="E400" s="3" t="s">
        <v>6</v>
      </c>
      <c r="F400" s="6" t="s">
        <v>110</v>
      </c>
    </row>
    <row r="401" spans="1:9">
      <c r="A401" s="2">
        <v>23541</v>
      </c>
      <c r="B401" s="1" t="s">
        <v>165</v>
      </c>
      <c r="C401" s="1" t="s">
        <v>127</v>
      </c>
      <c r="D401" s="3" t="s">
        <v>1</v>
      </c>
      <c r="E401" s="3" t="s">
        <v>6</v>
      </c>
      <c r="F401" s="6" t="s">
        <v>110</v>
      </c>
    </row>
    <row r="402" spans="1:9">
      <c r="A402" s="2">
        <v>23541</v>
      </c>
      <c r="B402" s="1" t="s">
        <v>166</v>
      </c>
      <c r="C402" s="1" t="s">
        <v>127</v>
      </c>
      <c r="D402" s="3" t="s">
        <v>1</v>
      </c>
      <c r="E402" s="3" t="s">
        <v>6</v>
      </c>
      <c r="F402" s="6" t="s">
        <v>110</v>
      </c>
    </row>
    <row r="403" spans="1:9">
      <c r="A403" s="2">
        <v>23541</v>
      </c>
      <c r="B403" s="1" t="s">
        <v>51</v>
      </c>
      <c r="C403" s="1" t="s">
        <v>127</v>
      </c>
      <c r="D403" s="3" t="s">
        <v>1</v>
      </c>
      <c r="E403" s="3" t="s">
        <v>6</v>
      </c>
      <c r="F403" s="6" t="s">
        <v>110</v>
      </c>
    </row>
    <row r="404" spans="1:9" ht="18">
      <c r="A404" s="16">
        <v>23542</v>
      </c>
      <c r="B404" s="13"/>
      <c r="C404" s="13"/>
      <c r="D404" s="14"/>
      <c r="E404" s="14"/>
      <c r="F404" s="15"/>
      <c r="G404" s="15"/>
      <c r="H404" s="13"/>
      <c r="I404" s="13"/>
    </row>
    <row r="405" spans="1:9">
      <c r="A405" s="2">
        <v>23542</v>
      </c>
      <c r="B405" s="1" t="s">
        <v>78</v>
      </c>
      <c r="C405" s="1" t="s">
        <v>85</v>
      </c>
      <c r="D405" s="3" t="s">
        <v>1</v>
      </c>
      <c r="E405" s="3" t="s">
        <v>6</v>
      </c>
      <c r="F405" s="6" t="s">
        <v>110</v>
      </c>
    </row>
    <row r="406" spans="1:9">
      <c r="A406" s="2">
        <v>23542</v>
      </c>
      <c r="B406" s="1" t="s">
        <v>199</v>
      </c>
      <c r="C406" s="1" t="s">
        <v>200</v>
      </c>
      <c r="D406" s="3" t="s">
        <v>1</v>
      </c>
      <c r="E406" s="3" t="s">
        <v>6</v>
      </c>
      <c r="F406" s="6" t="s">
        <v>110</v>
      </c>
    </row>
    <row r="407" spans="1:9">
      <c r="A407" s="2">
        <v>23542</v>
      </c>
      <c r="B407" s="1" t="s">
        <v>166</v>
      </c>
      <c r="C407" s="1" t="s">
        <v>127</v>
      </c>
      <c r="D407" s="3" t="s">
        <v>1</v>
      </c>
      <c r="E407" s="3" t="s">
        <v>6</v>
      </c>
      <c r="F407" s="6" t="s">
        <v>110</v>
      </c>
    </row>
    <row r="408" spans="1:9">
      <c r="A408" s="2">
        <v>23542</v>
      </c>
      <c r="B408" s="1" t="s">
        <v>301</v>
      </c>
      <c r="C408" s="1" t="s">
        <v>127</v>
      </c>
      <c r="D408" s="3" t="s">
        <v>1</v>
      </c>
      <c r="E408" s="3" t="s">
        <v>6</v>
      </c>
      <c r="F408" s="6" t="s">
        <v>110</v>
      </c>
    </row>
    <row r="409" spans="1:9">
      <c r="A409" s="2">
        <v>23542</v>
      </c>
      <c r="B409" s="1" t="s">
        <v>302</v>
      </c>
      <c r="C409" s="1" t="s">
        <v>127</v>
      </c>
      <c r="D409" s="3" t="s">
        <v>1</v>
      </c>
      <c r="E409" s="3" t="s">
        <v>6</v>
      </c>
      <c r="F409" s="6" t="s">
        <v>110</v>
      </c>
    </row>
    <row r="410" spans="1:9">
      <c r="A410" s="2">
        <v>23542</v>
      </c>
      <c r="B410" s="1" t="s">
        <v>303</v>
      </c>
      <c r="C410" s="1" t="s">
        <v>127</v>
      </c>
      <c r="D410" s="3" t="s">
        <v>1</v>
      </c>
      <c r="E410" s="3" t="s">
        <v>6</v>
      </c>
      <c r="F410" s="6" t="s">
        <v>110</v>
      </c>
    </row>
    <row r="411" spans="1:9">
      <c r="A411" s="2">
        <v>23542</v>
      </c>
      <c r="B411" s="1" t="s">
        <v>260</v>
      </c>
      <c r="C411" s="1" t="s">
        <v>127</v>
      </c>
      <c r="D411" s="3" t="s">
        <v>1</v>
      </c>
      <c r="E411" s="3" t="s">
        <v>6</v>
      </c>
      <c r="F411" s="6" t="s">
        <v>110</v>
      </c>
    </row>
    <row r="412" spans="1:9">
      <c r="A412" s="2">
        <v>23542</v>
      </c>
      <c r="B412" s="1" t="s">
        <v>300</v>
      </c>
      <c r="C412" s="1" t="s">
        <v>127</v>
      </c>
      <c r="D412" s="3" t="s">
        <v>1</v>
      </c>
      <c r="E412" s="3" t="s">
        <v>6</v>
      </c>
      <c r="F412" s="6" t="s">
        <v>110</v>
      </c>
    </row>
    <row r="413" spans="1:9">
      <c r="A413" s="2">
        <v>23542</v>
      </c>
      <c r="B413" s="1" t="s">
        <v>51</v>
      </c>
      <c r="C413" s="1" t="s">
        <v>127</v>
      </c>
      <c r="D413" s="3" t="s">
        <v>2</v>
      </c>
      <c r="E413" s="3" t="s">
        <v>7</v>
      </c>
      <c r="F413" s="6" t="s">
        <v>119</v>
      </c>
    </row>
    <row r="414" spans="1:9">
      <c r="A414" s="2">
        <v>23542</v>
      </c>
      <c r="B414" s="1" t="s">
        <v>165</v>
      </c>
      <c r="C414" s="1" t="s">
        <v>127</v>
      </c>
      <c r="D414" s="3" t="s">
        <v>2</v>
      </c>
      <c r="E414" s="3" t="s">
        <v>7</v>
      </c>
      <c r="F414" s="6" t="s">
        <v>119</v>
      </c>
    </row>
    <row r="415" spans="1:9">
      <c r="A415" s="2">
        <v>23542</v>
      </c>
      <c r="B415" s="1" t="s">
        <v>304</v>
      </c>
      <c r="C415" s="1" t="s">
        <v>305</v>
      </c>
      <c r="D415" s="3" t="s">
        <v>2</v>
      </c>
      <c r="E415" s="3" t="s">
        <v>7</v>
      </c>
      <c r="F415" s="6" t="s">
        <v>119</v>
      </c>
    </row>
    <row r="416" spans="1:9">
      <c r="A416" s="2">
        <v>23542</v>
      </c>
      <c r="B416" s="1" t="s">
        <v>282</v>
      </c>
      <c r="C416" s="1" t="s">
        <v>287</v>
      </c>
      <c r="D416" s="3" t="s">
        <v>2</v>
      </c>
      <c r="E416" s="3" t="s">
        <v>7</v>
      </c>
      <c r="F416" s="6" t="s">
        <v>119</v>
      </c>
    </row>
    <row r="417" spans="1:9">
      <c r="A417" s="29">
        <v>23543</v>
      </c>
      <c r="B417" s="13"/>
      <c r="C417" s="13"/>
      <c r="D417" s="14"/>
      <c r="E417" s="14"/>
      <c r="F417" s="15"/>
      <c r="G417" s="15"/>
      <c r="H417" s="13"/>
      <c r="I417" s="13"/>
    </row>
    <row r="418" spans="1:9">
      <c r="A418" s="2">
        <v>23542</v>
      </c>
      <c r="B418" s="1" t="s">
        <v>78</v>
      </c>
      <c r="C418" s="1" t="s">
        <v>85</v>
      </c>
      <c r="D418" s="3" t="s">
        <v>1</v>
      </c>
      <c r="E418" s="3" t="s">
        <v>6</v>
      </c>
      <c r="F418" s="6" t="s">
        <v>110</v>
      </c>
    </row>
    <row r="419" spans="1:9">
      <c r="A419" s="2">
        <v>23544</v>
      </c>
      <c r="B419" s="1" t="s">
        <v>306</v>
      </c>
      <c r="C419" s="1" t="s">
        <v>308</v>
      </c>
      <c r="D419" s="3" t="s">
        <v>1</v>
      </c>
      <c r="E419" s="3" t="s">
        <v>6</v>
      </c>
      <c r="F419" s="6" t="s">
        <v>110</v>
      </c>
    </row>
    <row r="420" spans="1:9">
      <c r="A420" s="2">
        <v>23544</v>
      </c>
      <c r="B420" s="1" t="s">
        <v>199</v>
      </c>
      <c r="C420" s="1" t="s">
        <v>200</v>
      </c>
      <c r="D420" s="3" t="s">
        <v>1</v>
      </c>
      <c r="E420" s="3" t="s">
        <v>6</v>
      </c>
      <c r="F420" s="6" t="s">
        <v>110</v>
      </c>
    </row>
    <row r="421" spans="1:9">
      <c r="A421" s="2">
        <v>23544</v>
      </c>
      <c r="B421" s="1" t="s">
        <v>11</v>
      </c>
      <c r="C421" s="1" t="s">
        <v>25</v>
      </c>
      <c r="D421" s="3" t="s">
        <v>2</v>
      </c>
      <c r="E421" s="3" t="s">
        <v>7</v>
      </c>
      <c r="F421" s="6" t="s">
        <v>119</v>
      </c>
    </row>
    <row r="422" spans="1:9">
      <c r="A422" s="2">
        <v>23544</v>
      </c>
      <c r="B422" s="1" t="s">
        <v>238</v>
      </c>
      <c r="C422" s="1" t="s">
        <v>307</v>
      </c>
      <c r="D422" s="3" t="s">
        <v>2</v>
      </c>
      <c r="E422" s="3" t="s">
        <v>7</v>
      </c>
      <c r="F422" s="6" t="s">
        <v>119</v>
      </c>
    </row>
    <row r="423" spans="1:9">
      <c r="A423" s="28">
        <v>23545</v>
      </c>
      <c r="B423" s="13"/>
      <c r="C423" s="13"/>
      <c r="D423" s="14"/>
      <c r="E423" s="14"/>
      <c r="F423" s="15"/>
      <c r="G423" s="15"/>
      <c r="H423" s="13"/>
      <c r="I423" s="13"/>
    </row>
    <row r="424" spans="1:9">
      <c r="A424" s="2">
        <v>23542</v>
      </c>
      <c r="B424" s="1" t="s">
        <v>78</v>
      </c>
      <c r="C424" s="1" t="s">
        <v>85</v>
      </c>
      <c r="D424" s="3" t="s">
        <v>1</v>
      </c>
      <c r="E424" s="3" t="s">
        <v>6</v>
      </c>
      <c r="F424" s="6" t="s">
        <v>110</v>
      </c>
    </row>
    <row r="425" spans="1:9">
      <c r="A425" s="2">
        <v>23545</v>
      </c>
      <c r="B425" s="1" t="s">
        <v>309</v>
      </c>
      <c r="C425" s="1" t="s">
        <v>312</v>
      </c>
      <c r="D425" s="3" t="s">
        <v>1</v>
      </c>
      <c r="E425" s="3" t="s">
        <v>6</v>
      </c>
      <c r="F425" s="6" t="s">
        <v>110</v>
      </c>
    </row>
    <row r="426" spans="1:9">
      <c r="A426" s="2">
        <v>23545</v>
      </c>
      <c r="B426" s="1" t="s">
        <v>277</v>
      </c>
      <c r="C426" s="1" t="s">
        <v>310</v>
      </c>
      <c r="D426" s="3" t="s">
        <v>1</v>
      </c>
      <c r="E426" s="3" t="s">
        <v>6</v>
      </c>
      <c r="F426" s="6" t="s">
        <v>311</v>
      </c>
    </row>
    <row r="427" spans="1:9">
      <c r="A427" s="2">
        <v>23545</v>
      </c>
      <c r="B427" s="1" t="s">
        <v>199</v>
      </c>
      <c r="C427" s="1" t="s">
        <v>313</v>
      </c>
      <c r="D427" s="3" t="s">
        <v>2</v>
      </c>
      <c r="E427" s="3" t="s">
        <v>7</v>
      </c>
      <c r="F427" s="6" t="s">
        <v>119</v>
      </c>
    </row>
    <row r="428" spans="1:9">
      <c r="A428" s="28">
        <v>23546</v>
      </c>
      <c r="B428" s="13"/>
      <c r="C428" s="13"/>
      <c r="D428" s="14"/>
      <c r="E428" s="14"/>
      <c r="F428" s="15"/>
      <c r="G428" s="15"/>
      <c r="H428" s="13"/>
      <c r="I428" s="13"/>
    </row>
    <row r="429" spans="1:9">
      <c r="A429" s="2">
        <v>23545</v>
      </c>
      <c r="B429" s="1" t="s">
        <v>156</v>
      </c>
      <c r="C429" s="1" t="s">
        <v>163</v>
      </c>
      <c r="D429" s="3" t="s">
        <v>1</v>
      </c>
      <c r="E429" s="3" t="s">
        <v>6</v>
      </c>
      <c r="F429" s="6" t="s">
        <v>110</v>
      </c>
    </row>
    <row r="430" spans="1:9">
      <c r="A430" s="2">
        <v>23545</v>
      </c>
      <c r="B430" s="1" t="s">
        <v>155</v>
      </c>
      <c r="C430" s="1" t="s">
        <v>163</v>
      </c>
      <c r="D430" s="3" t="s">
        <v>1</v>
      </c>
      <c r="E430" s="3" t="s">
        <v>6</v>
      </c>
      <c r="F430" s="6" t="s">
        <v>110</v>
      </c>
    </row>
    <row r="431" spans="1:9">
      <c r="A431" s="2">
        <v>23545</v>
      </c>
      <c r="B431" s="1" t="s">
        <v>199</v>
      </c>
      <c r="C431" s="1" t="s">
        <v>200</v>
      </c>
      <c r="D431" s="3" t="s">
        <v>1</v>
      </c>
      <c r="E431" s="3" t="s">
        <v>6</v>
      </c>
      <c r="F431" s="6" t="s">
        <v>110</v>
      </c>
    </row>
    <row r="432" spans="1:9">
      <c r="A432" s="2">
        <v>23545</v>
      </c>
      <c r="B432" s="1" t="s">
        <v>159</v>
      </c>
      <c r="C432" s="1" t="s">
        <v>158</v>
      </c>
      <c r="D432" s="3" t="s">
        <v>1</v>
      </c>
      <c r="E432" s="3" t="s">
        <v>6</v>
      </c>
      <c r="F432" s="6" t="s">
        <v>110</v>
      </c>
    </row>
    <row r="433" spans="1:9">
      <c r="A433" s="2">
        <v>23545</v>
      </c>
      <c r="B433" s="1" t="s">
        <v>102</v>
      </c>
      <c r="C433" s="1" t="s">
        <v>96</v>
      </c>
      <c r="D433" s="3" t="s">
        <v>2</v>
      </c>
      <c r="E433" s="3" t="s">
        <v>7</v>
      </c>
      <c r="F433" s="6" t="s">
        <v>119</v>
      </c>
    </row>
    <row r="434" spans="1:9">
      <c r="A434" s="2">
        <v>23545</v>
      </c>
      <c r="B434" s="1" t="s">
        <v>138</v>
      </c>
      <c r="C434" s="1" t="s">
        <v>139</v>
      </c>
      <c r="D434" s="3" t="s">
        <v>2</v>
      </c>
      <c r="E434" s="3" t="s">
        <v>7</v>
      </c>
      <c r="F434" s="6" t="s">
        <v>119</v>
      </c>
    </row>
    <row r="435" spans="1:9">
      <c r="A435" s="2">
        <v>23545</v>
      </c>
      <c r="B435" s="1" t="s">
        <v>229</v>
      </c>
      <c r="C435" s="1" t="s">
        <v>316</v>
      </c>
      <c r="D435" s="3" t="s">
        <v>2</v>
      </c>
      <c r="E435" s="3" t="s">
        <v>7</v>
      </c>
      <c r="F435" s="6" t="s">
        <v>119</v>
      </c>
    </row>
    <row r="436" spans="1:9">
      <c r="A436" s="2">
        <v>23545</v>
      </c>
      <c r="B436" s="1" t="s">
        <v>314</v>
      </c>
      <c r="C436" s="1" t="s">
        <v>315</v>
      </c>
      <c r="D436" s="3" t="s">
        <v>2</v>
      </c>
      <c r="E436" s="3" t="s">
        <v>7</v>
      </c>
      <c r="F436" s="6" t="s">
        <v>119</v>
      </c>
    </row>
    <row r="437" spans="1:9">
      <c r="A437" s="28">
        <v>23549</v>
      </c>
      <c r="B437" s="13"/>
      <c r="C437" s="13"/>
      <c r="D437" s="14"/>
      <c r="E437" s="14"/>
      <c r="F437" s="15"/>
      <c r="G437" s="15"/>
      <c r="H437" s="13"/>
      <c r="I437" s="13"/>
    </row>
    <row r="438" spans="1:9">
      <c r="A438" s="2">
        <v>23548</v>
      </c>
      <c r="B438" s="1" t="s">
        <v>196</v>
      </c>
      <c r="C438" s="1" t="s">
        <v>197</v>
      </c>
      <c r="D438" s="3" t="s">
        <v>1</v>
      </c>
      <c r="E438" s="3" t="s">
        <v>6</v>
      </c>
      <c r="F438" s="6" t="s">
        <v>110</v>
      </c>
    </row>
    <row r="439" spans="1:9">
      <c r="A439" s="2">
        <v>23549</v>
      </c>
      <c r="B439" s="1" t="s">
        <v>199</v>
      </c>
      <c r="C439" s="1" t="s">
        <v>313</v>
      </c>
      <c r="D439" s="3" t="s">
        <v>1</v>
      </c>
      <c r="E439" s="3" t="s">
        <v>6</v>
      </c>
      <c r="F439" s="6" t="s">
        <v>110</v>
      </c>
    </row>
    <row r="440" spans="1:9">
      <c r="A440" s="2">
        <v>23549</v>
      </c>
      <c r="B440" s="1" t="s">
        <v>78</v>
      </c>
      <c r="C440" s="1" t="s">
        <v>85</v>
      </c>
      <c r="D440" s="3" t="s">
        <v>1</v>
      </c>
      <c r="E440" s="3" t="s">
        <v>6</v>
      </c>
      <c r="F440" s="6" t="s">
        <v>110</v>
      </c>
    </row>
    <row r="441" spans="1:9">
      <c r="A441" s="2">
        <v>23549</v>
      </c>
      <c r="B441" s="1" t="s">
        <v>317</v>
      </c>
      <c r="C441" s="1" t="s">
        <v>319</v>
      </c>
      <c r="D441" s="3" t="s">
        <v>1</v>
      </c>
      <c r="E441" s="3" t="s">
        <v>6</v>
      </c>
      <c r="F441" s="6" t="s">
        <v>110</v>
      </c>
    </row>
    <row r="442" spans="1:9">
      <c r="A442" s="2">
        <v>23549</v>
      </c>
      <c r="B442" s="1" t="s">
        <v>261</v>
      </c>
      <c r="C442" s="1" t="s">
        <v>263</v>
      </c>
      <c r="D442" s="3" t="s">
        <v>1</v>
      </c>
      <c r="E442" s="3" t="s">
        <v>6</v>
      </c>
      <c r="F442" s="6" t="s">
        <v>110</v>
      </c>
    </row>
    <row r="443" spans="1:9">
      <c r="A443" s="2">
        <v>23549</v>
      </c>
      <c r="B443" s="1" t="s">
        <v>318</v>
      </c>
      <c r="C443" s="1" t="s">
        <v>320</v>
      </c>
      <c r="D443" s="3" t="s">
        <v>1</v>
      </c>
      <c r="E443" s="3" t="s">
        <v>6</v>
      </c>
      <c r="F443" s="6" t="s">
        <v>110</v>
      </c>
    </row>
    <row r="444" spans="1:9">
      <c r="A444" s="2">
        <v>23549</v>
      </c>
      <c r="B444" s="1" t="s">
        <v>321</v>
      </c>
      <c r="C444" s="1" t="s">
        <v>234</v>
      </c>
      <c r="D444" s="3" t="s">
        <v>2</v>
      </c>
      <c r="E444" s="3" t="s">
        <v>7</v>
      </c>
      <c r="F444" s="6" t="s">
        <v>119</v>
      </c>
    </row>
    <row r="445" spans="1:9">
      <c r="A445" s="2">
        <v>23549</v>
      </c>
      <c r="B445" s="1" t="s">
        <v>322</v>
      </c>
      <c r="C445" s="1" t="s">
        <v>324</v>
      </c>
      <c r="D445" s="3" t="s">
        <v>2</v>
      </c>
      <c r="E445" s="3" t="s">
        <v>7</v>
      </c>
      <c r="F445" s="6" t="s">
        <v>119</v>
      </c>
    </row>
    <row r="446" spans="1:9">
      <c r="A446" s="2">
        <v>23549</v>
      </c>
      <c r="B446" s="1" t="s">
        <v>244</v>
      </c>
      <c r="C446" s="1" t="s">
        <v>325</v>
      </c>
      <c r="D446" s="3" t="s">
        <v>2</v>
      </c>
      <c r="E446" s="3" t="s">
        <v>7</v>
      </c>
      <c r="F446" s="6" t="s">
        <v>119</v>
      </c>
    </row>
    <row r="447" spans="1:9">
      <c r="A447" s="2">
        <v>23549</v>
      </c>
      <c r="B447" s="1" t="s">
        <v>304</v>
      </c>
      <c r="C447" s="1" t="s">
        <v>305</v>
      </c>
      <c r="D447" s="3" t="s">
        <v>2</v>
      </c>
      <c r="E447" s="3" t="s">
        <v>7</v>
      </c>
      <c r="F447" s="6" t="s">
        <v>119</v>
      </c>
    </row>
    <row r="448" spans="1:9">
      <c r="A448" s="2">
        <v>23549</v>
      </c>
      <c r="B448" s="1" t="s">
        <v>11</v>
      </c>
      <c r="C448" s="1" t="s">
        <v>25</v>
      </c>
      <c r="D448" s="3" t="s">
        <v>2</v>
      </c>
      <c r="E448" s="3" t="s">
        <v>7</v>
      </c>
      <c r="F448" s="6" t="s">
        <v>119</v>
      </c>
    </row>
    <row r="449" spans="1:9">
      <c r="A449" s="2">
        <v>23549</v>
      </c>
      <c r="B449" s="1" t="s">
        <v>323</v>
      </c>
      <c r="C449" s="1" t="s">
        <v>326</v>
      </c>
      <c r="D449" s="3" t="s">
        <v>2</v>
      </c>
      <c r="E449" s="3" t="s">
        <v>7</v>
      </c>
      <c r="F449" s="6" t="s">
        <v>119</v>
      </c>
    </row>
    <row r="450" spans="1:9">
      <c r="A450" s="2">
        <v>23549</v>
      </c>
      <c r="B450" s="1" t="s">
        <v>138</v>
      </c>
      <c r="C450" s="1" t="s">
        <v>139</v>
      </c>
      <c r="D450" s="3" t="s">
        <v>2</v>
      </c>
      <c r="E450" s="3" t="s">
        <v>7</v>
      </c>
      <c r="F450" s="6" t="s">
        <v>119</v>
      </c>
    </row>
    <row r="451" spans="1:9">
      <c r="A451" s="2">
        <v>23549</v>
      </c>
      <c r="B451" s="1" t="s">
        <v>301</v>
      </c>
      <c r="C451" s="1" t="s">
        <v>327</v>
      </c>
      <c r="D451" s="3" t="s">
        <v>2</v>
      </c>
      <c r="E451" s="3" t="s">
        <v>7</v>
      </c>
      <c r="F451" s="6" t="s">
        <v>119</v>
      </c>
    </row>
    <row r="452" spans="1:9">
      <c r="A452" s="2">
        <v>23549</v>
      </c>
      <c r="B452" s="1" t="s">
        <v>284</v>
      </c>
      <c r="C452" s="1" t="s">
        <v>285</v>
      </c>
      <c r="D452" s="3" t="s">
        <v>2</v>
      </c>
      <c r="E452" s="3" t="s">
        <v>7</v>
      </c>
      <c r="F452" s="6" t="s">
        <v>119</v>
      </c>
    </row>
    <row r="453" spans="1:9" ht="18">
      <c r="A453" s="16">
        <v>23550</v>
      </c>
      <c r="B453" s="13"/>
      <c r="C453" s="13"/>
      <c r="D453" s="14"/>
      <c r="E453" s="14"/>
      <c r="F453" s="15"/>
      <c r="G453" s="15"/>
      <c r="H453" s="13"/>
      <c r="I453" s="13"/>
    </row>
    <row r="454" spans="1:9">
      <c r="A454" s="2">
        <v>23550</v>
      </c>
      <c r="B454" s="1" t="s">
        <v>328</v>
      </c>
      <c r="C454" s="1" t="s">
        <v>330</v>
      </c>
      <c r="D454" s="3" t="s">
        <v>1</v>
      </c>
      <c r="E454" s="3" t="s">
        <v>6</v>
      </c>
      <c r="F454" s="6" t="s">
        <v>110</v>
      </c>
    </row>
    <row r="455" spans="1:9">
      <c r="A455" s="2">
        <v>23550</v>
      </c>
      <c r="B455" s="1" t="s">
        <v>78</v>
      </c>
      <c r="C455" s="1" t="s">
        <v>85</v>
      </c>
      <c r="D455" s="3" t="s">
        <v>1</v>
      </c>
      <c r="E455" s="3" t="s">
        <v>6</v>
      </c>
      <c r="F455" s="6" t="s">
        <v>110</v>
      </c>
    </row>
    <row r="456" spans="1:9">
      <c r="A456" s="2">
        <v>23550</v>
      </c>
      <c r="B456" s="1" t="s">
        <v>199</v>
      </c>
      <c r="C456" s="1" t="s">
        <v>200</v>
      </c>
      <c r="D456" s="3" t="s">
        <v>1</v>
      </c>
      <c r="E456" s="3" t="s">
        <v>6</v>
      </c>
      <c r="F456" s="6" t="s">
        <v>110</v>
      </c>
    </row>
    <row r="457" spans="1:9">
      <c r="A457" s="2">
        <v>23550</v>
      </c>
      <c r="B457" s="1" t="s">
        <v>329</v>
      </c>
      <c r="C457" s="1" t="s">
        <v>331</v>
      </c>
      <c r="D457" s="3" t="s">
        <v>1</v>
      </c>
      <c r="E457" s="3" t="s">
        <v>6</v>
      </c>
      <c r="F457" s="6" t="s">
        <v>110</v>
      </c>
    </row>
    <row r="458" spans="1:9">
      <c r="A458" s="2">
        <v>23550</v>
      </c>
      <c r="B458" s="1" t="s">
        <v>322</v>
      </c>
      <c r="C458" s="1" t="s">
        <v>324</v>
      </c>
      <c r="D458" s="3" t="s">
        <v>2</v>
      </c>
      <c r="E458" s="3" t="s">
        <v>7</v>
      </c>
      <c r="F458" s="6" t="s">
        <v>119</v>
      </c>
    </row>
    <row r="459" spans="1:9">
      <c r="A459" s="2">
        <v>23550</v>
      </c>
      <c r="B459" s="1" t="s">
        <v>74</v>
      </c>
      <c r="C459" s="1" t="s">
        <v>83</v>
      </c>
      <c r="D459" s="3" t="s">
        <v>2</v>
      </c>
      <c r="E459" s="3" t="s">
        <v>7</v>
      </c>
      <c r="F459" s="6" t="s">
        <v>119</v>
      </c>
    </row>
    <row r="460" spans="1:9">
      <c r="A460" s="2">
        <v>23550</v>
      </c>
      <c r="B460" s="1" t="s">
        <v>323</v>
      </c>
      <c r="C460" s="1" t="s">
        <v>332</v>
      </c>
      <c r="D460" s="3" t="s">
        <v>2</v>
      </c>
      <c r="E460" s="3" t="s">
        <v>7</v>
      </c>
      <c r="F460" s="6" t="s">
        <v>119</v>
      </c>
    </row>
    <row r="461" spans="1:9">
      <c r="A461" s="2">
        <v>23550</v>
      </c>
      <c r="B461" s="1" t="s">
        <v>321</v>
      </c>
      <c r="C461" s="1" t="s">
        <v>234</v>
      </c>
      <c r="D461" s="3" t="s">
        <v>2</v>
      </c>
      <c r="E461" s="3" t="s">
        <v>7</v>
      </c>
      <c r="F461" s="6" t="s">
        <v>119</v>
      </c>
    </row>
    <row r="462" spans="1:9">
      <c r="A462" s="29">
        <v>23551</v>
      </c>
      <c r="B462" s="13"/>
      <c r="C462" s="13"/>
      <c r="D462" s="14"/>
      <c r="E462" s="14"/>
      <c r="F462" s="15"/>
      <c r="G462" s="15"/>
      <c r="H462" s="13"/>
      <c r="I462" s="13"/>
    </row>
    <row r="463" spans="1:9">
      <c r="A463" s="2">
        <v>23551</v>
      </c>
      <c r="B463" s="1" t="s">
        <v>159</v>
      </c>
      <c r="C463" s="1" t="s">
        <v>158</v>
      </c>
      <c r="D463" s="3" t="s">
        <v>1</v>
      </c>
      <c r="E463" s="3" t="s">
        <v>6</v>
      </c>
      <c r="F463" s="6" t="s">
        <v>110</v>
      </c>
    </row>
    <row r="464" spans="1:9">
      <c r="A464" s="2">
        <v>23551</v>
      </c>
      <c r="B464" s="1" t="s">
        <v>333</v>
      </c>
      <c r="C464" s="1" t="s">
        <v>339</v>
      </c>
      <c r="D464" s="3" t="s">
        <v>1</v>
      </c>
      <c r="E464" s="3" t="s">
        <v>6</v>
      </c>
      <c r="F464" s="6" t="s">
        <v>110</v>
      </c>
    </row>
    <row r="465" spans="1:9">
      <c r="A465" s="2">
        <v>23551</v>
      </c>
      <c r="B465" s="1" t="s">
        <v>334</v>
      </c>
      <c r="C465" s="1" t="s">
        <v>340</v>
      </c>
      <c r="D465" s="3" t="s">
        <v>1</v>
      </c>
      <c r="E465" s="3" t="s">
        <v>6</v>
      </c>
      <c r="F465" s="6" t="s">
        <v>110</v>
      </c>
    </row>
    <row r="466" spans="1:9">
      <c r="A466" s="2">
        <v>23551</v>
      </c>
      <c r="B466" s="1" t="s">
        <v>11</v>
      </c>
      <c r="C466" s="1" t="s">
        <v>338</v>
      </c>
      <c r="D466" s="3" t="s">
        <v>2</v>
      </c>
      <c r="E466" s="3" t="s">
        <v>7</v>
      </c>
      <c r="F466" s="6" t="s">
        <v>119</v>
      </c>
    </row>
    <row r="467" spans="1:9">
      <c r="A467" s="2">
        <v>23551</v>
      </c>
      <c r="B467" s="1" t="s">
        <v>335</v>
      </c>
      <c r="C467" s="1" t="s">
        <v>337</v>
      </c>
      <c r="D467" s="3" t="s">
        <v>2</v>
      </c>
      <c r="E467" s="3" t="s">
        <v>7</v>
      </c>
      <c r="F467" s="6" t="s">
        <v>119</v>
      </c>
    </row>
    <row r="468" spans="1:9">
      <c r="A468" s="2">
        <v>23551</v>
      </c>
      <c r="B468" s="1" t="s">
        <v>321</v>
      </c>
      <c r="C468" s="1" t="s">
        <v>336</v>
      </c>
      <c r="D468" s="3" t="s">
        <v>2</v>
      </c>
      <c r="E468" s="3" t="s">
        <v>7</v>
      </c>
      <c r="F468" s="6" t="s">
        <v>119</v>
      </c>
    </row>
    <row r="469" spans="1:9" ht="18">
      <c r="A469" s="16">
        <v>23552</v>
      </c>
      <c r="B469" s="13"/>
      <c r="C469" s="13"/>
      <c r="D469" s="14"/>
      <c r="E469" s="14"/>
      <c r="F469" s="15"/>
      <c r="G469" s="15"/>
      <c r="H469" s="13"/>
      <c r="I469" s="13"/>
    </row>
    <row r="470" spans="1:9">
      <c r="A470" s="2">
        <v>23552</v>
      </c>
      <c r="B470" s="1" t="s">
        <v>333</v>
      </c>
      <c r="C470" s="1" t="s">
        <v>339</v>
      </c>
      <c r="D470" s="3" t="s">
        <v>1</v>
      </c>
      <c r="E470" s="3" t="s">
        <v>6</v>
      </c>
      <c r="F470" s="6" t="s">
        <v>110</v>
      </c>
    </row>
    <row r="471" spans="1:9">
      <c r="A471" s="2">
        <v>23552</v>
      </c>
      <c r="B471" s="1" t="s">
        <v>199</v>
      </c>
      <c r="C471" s="1" t="s">
        <v>200</v>
      </c>
      <c r="D471" s="3" t="s">
        <v>1</v>
      </c>
      <c r="E471" s="3" t="s">
        <v>6</v>
      </c>
      <c r="F471" s="6" t="s">
        <v>110</v>
      </c>
    </row>
    <row r="472" spans="1:9">
      <c r="A472" s="2">
        <v>23552</v>
      </c>
      <c r="B472" s="1" t="s">
        <v>78</v>
      </c>
      <c r="C472" s="1" t="s">
        <v>85</v>
      </c>
      <c r="D472" s="3" t="s">
        <v>1</v>
      </c>
      <c r="E472" s="3" t="s">
        <v>6</v>
      </c>
      <c r="F472" s="6" t="s">
        <v>110</v>
      </c>
    </row>
    <row r="473" spans="1:9">
      <c r="A473" s="2">
        <v>23552</v>
      </c>
      <c r="B473" s="1" t="s">
        <v>261</v>
      </c>
      <c r="C473" s="1" t="s">
        <v>263</v>
      </c>
      <c r="D473" s="3" t="s">
        <v>1</v>
      </c>
      <c r="E473" s="3" t="s">
        <v>6</v>
      </c>
      <c r="F473" s="6" t="s">
        <v>110</v>
      </c>
    </row>
    <row r="474" spans="1:9">
      <c r="A474" s="2">
        <v>23552</v>
      </c>
      <c r="B474" s="1" t="s">
        <v>58</v>
      </c>
      <c r="C474" s="1" t="s">
        <v>214</v>
      </c>
      <c r="D474" s="3" t="s">
        <v>1</v>
      </c>
      <c r="E474" s="3" t="s">
        <v>6</v>
      </c>
      <c r="F474" s="6" t="s">
        <v>110</v>
      </c>
    </row>
    <row r="475" spans="1:9">
      <c r="A475" s="2">
        <v>23552</v>
      </c>
      <c r="B475" s="1" t="s">
        <v>221</v>
      </c>
      <c r="C475" s="1" t="s">
        <v>341</v>
      </c>
      <c r="D475" s="3" t="s">
        <v>1</v>
      </c>
      <c r="E475" s="3" t="s">
        <v>6</v>
      </c>
      <c r="F475" s="6" t="s">
        <v>110</v>
      </c>
    </row>
    <row r="476" spans="1:9">
      <c r="A476" s="2">
        <v>23552</v>
      </c>
      <c r="B476" s="1" t="s">
        <v>323</v>
      </c>
      <c r="C476" s="1" t="s">
        <v>332</v>
      </c>
      <c r="D476" s="3" t="s">
        <v>1</v>
      </c>
      <c r="E476" s="3" t="s">
        <v>6</v>
      </c>
      <c r="F476" s="6" t="s">
        <v>110</v>
      </c>
    </row>
    <row r="477" spans="1:9">
      <c r="A477" s="2">
        <v>23552</v>
      </c>
      <c r="B477" s="1" t="s">
        <v>256</v>
      </c>
      <c r="C477" s="1" t="s">
        <v>342</v>
      </c>
      <c r="D477" s="3" t="s">
        <v>1</v>
      </c>
      <c r="E477" s="3" t="s">
        <v>6</v>
      </c>
      <c r="F477" s="6" t="s">
        <v>110</v>
      </c>
    </row>
    <row r="478" spans="1:9">
      <c r="A478" s="2">
        <v>23552</v>
      </c>
      <c r="B478" s="1" t="s">
        <v>196</v>
      </c>
      <c r="C478" s="1" t="s">
        <v>312</v>
      </c>
      <c r="D478" s="3" t="s">
        <v>1</v>
      </c>
      <c r="E478" s="3" t="s">
        <v>6</v>
      </c>
      <c r="F478" s="6" t="s">
        <v>110</v>
      </c>
    </row>
    <row r="479" spans="1:9" ht="18">
      <c r="A479" s="16">
        <v>23553</v>
      </c>
      <c r="B479" s="13"/>
      <c r="C479" s="13"/>
      <c r="D479" s="14"/>
      <c r="E479" s="14"/>
      <c r="F479" s="15"/>
      <c r="G479" s="15"/>
      <c r="H479" s="13"/>
      <c r="I479" s="13"/>
    </row>
    <row r="480" spans="1:9">
      <c r="A480" s="2">
        <v>23552</v>
      </c>
      <c r="B480" s="1" t="s">
        <v>333</v>
      </c>
      <c r="C480" s="1" t="s">
        <v>339</v>
      </c>
      <c r="D480" s="3" t="s">
        <v>1</v>
      </c>
      <c r="E480" s="3" t="s">
        <v>6</v>
      </c>
      <c r="F480" s="6" t="s">
        <v>110</v>
      </c>
    </row>
    <row r="481" spans="1:9">
      <c r="A481" s="2">
        <v>23552</v>
      </c>
      <c r="B481" s="1" t="s">
        <v>199</v>
      </c>
      <c r="C481" s="1" t="s">
        <v>200</v>
      </c>
      <c r="D481" s="3" t="s">
        <v>1</v>
      </c>
      <c r="E481" s="3" t="s">
        <v>6</v>
      </c>
      <c r="F481" s="6" t="s">
        <v>110</v>
      </c>
    </row>
    <row r="482" spans="1:9">
      <c r="A482" s="2">
        <v>23552</v>
      </c>
      <c r="B482" s="1" t="s">
        <v>196</v>
      </c>
      <c r="C482" s="1" t="s">
        <v>312</v>
      </c>
      <c r="D482" s="3" t="s">
        <v>1</v>
      </c>
      <c r="E482" s="3" t="s">
        <v>6</v>
      </c>
      <c r="F482" s="6" t="s">
        <v>110</v>
      </c>
    </row>
    <row r="483" spans="1:9">
      <c r="A483" s="2">
        <v>23553</v>
      </c>
      <c r="B483" s="1" t="s">
        <v>78</v>
      </c>
      <c r="C483" s="1" t="s">
        <v>85</v>
      </c>
      <c r="D483" s="3" t="s">
        <v>1</v>
      </c>
      <c r="E483" s="3" t="s">
        <v>6</v>
      </c>
      <c r="F483" s="6" t="s">
        <v>110</v>
      </c>
    </row>
    <row r="484" spans="1:9">
      <c r="A484" s="2">
        <v>23553</v>
      </c>
      <c r="B484" s="1" t="s">
        <v>159</v>
      </c>
      <c r="C484" s="1" t="s">
        <v>158</v>
      </c>
      <c r="D484" s="3" t="s">
        <v>1</v>
      </c>
      <c r="E484" s="3" t="s">
        <v>6</v>
      </c>
      <c r="F484" s="6" t="s">
        <v>110</v>
      </c>
    </row>
    <row r="485" spans="1:9">
      <c r="A485" s="2">
        <v>23553</v>
      </c>
      <c r="B485" s="1" t="s">
        <v>343</v>
      </c>
      <c r="C485" s="1" t="s">
        <v>185</v>
      </c>
      <c r="D485" s="3" t="s">
        <v>1</v>
      </c>
      <c r="E485" s="3" t="s">
        <v>6</v>
      </c>
      <c r="F485" s="6" t="s">
        <v>110</v>
      </c>
    </row>
    <row r="486" spans="1:9">
      <c r="A486" s="2">
        <v>23553</v>
      </c>
      <c r="B486" s="1" t="s">
        <v>134</v>
      </c>
      <c r="C486" s="1" t="s">
        <v>344</v>
      </c>
      <c r="D486" s="3" t="s">
        <v>1</v>
      </c>
      <c r="E486" s="3" t="s">
        <v>6</v>
      </c>
      <c r="F486" s="6" t="s">
        <v>110</v>
      </c>
    </row>
    <row r="487" spans="1:9">
      <c r="A487" s="2">
        <v>23553</v>
      </c>
      <c r="B487" s="1" t="s">
        <v>345</v>
      </c>
      <c r="C487" s="1" t="s">
        <v>347</v>
      </c>
      <c r="D487" s="3" t="s">
        <v>2</v>
      </c>
      <c r="E487" s="3" t="s">
        <v>7</v>
      </c>
      <c r="F487" s="6" t="s">
        <v>119</v>
      </c>
    </row>
    <row r="488" spans="1:9">
      <c r="A488" s="2">
        <v>23553</v>
      </c>
      <c r="B488" s="1" t="s">
        <v>321</v>
      </c>
      <c r="C488" s="1" t="s">
        <v>336</v>
      </c>
      <c r="D488" s="3" t="s">
        <v>2</v>
      </c>
      <c r="E488" s="3" t="s">
        <v>7</v>
      </c>
      <c r="F488" s="6" t="s">
        <v>119</v>
      </c>
    </row>
    <row r="489" spans="1:9">
      <c r="A489" s="2">
        <v>23553</v>
      </c>
      <c r="B489" s="1" t="s">
        <v>346</v>
      </c>
      <c r="C489" s="1" t="s">
        <v>348</v>
      </c>
      <c r="D489" s="3" t="s">
        <v>2</v>
      </c>
      <c r="E489" s="3" t="s">
        <v>7</v>
      </c>
      <c r="F489" s="6" t="s">
        <v>119</v>
      </c>
    </row>
    <row r="490" spans="1:9">
      <c r="A490" s="28">
        <v>23554</v>
      </c>
      <c r="B490" s="13"/>
      <c r="C490" s="13"/>
      <c r="D490" s="14"/>
      <c r="E490" s="14"/>
      <c r="F490" s="15"/>
      <c r="G490" s="15"/>
      <c r="H490" s="13"/>
      <c r="I490" s="13"/>
    </row>
    <row r="491" spans="1:9">
      <c r="A491" s="2">
        <v>23553</v>
      </c>
      <c r="B491" s="1" t="s">
        <v>134</v>
      </c>
      <c r="C491" s="1" t="s">
        <v>135</v>
      </c>
      <c r="D491" s="3" t="s">
        <v>1</v>
      </c>
      <c r="E491" s="3" t="s">
        <v>6</v>
      </c>
      <c r="F491" s="6" t="s">
        <v>110</v>
      </c>
    </row>
    <row r="492" spans="1:9">
      <c r="A492" s="2">
        <v>23553</v>
      </c>
      <c r="B492" s="1" t="s">
        <v>343</v>
      </c>
      <c r="C492" s="1" t="s">
        <v>185</v>
      </c>
      <c r="D492" s="3" t="s">
        <v>1</v>
      </c>
      <c r="E492" s="3" t="s">
        <v>6</v>
      </c>
      <c r="F492" s="6" t="s">
        <v>110</v>
      </c>
    </row>
    <row r="493" spans="1:9">
      <c r="A493" s="2">
        <v>23554</v>
      </c>
      <c r="B493" s="1" t="s">
        <v>159</v>
      </c>
      <c r="C493" s="1" t="s">
        <v>158</v>
      </c>
      <c r="D493" s="3" t="s">
        <v>1</v>
      </c>
      <c r="E493" s="3" t="s">
        <v>6</v>
      </c>
      <c r="F493" s="6" t="s">
        <v>110</v>
      </c>
    </row>
    <row r="494" spans="1:9">
      <c r="A494" s="2">
        <v>23554</v>
      </c>
      <c r="B494" s="1" t="s">
        <v>78</v>
      </c>
      <c r="C494" s="1" t="s">
        <v>85</v>
      </c>
      <c r="D494" s="3" t="s">
        <v>1</v>
      </c>
      <c r="E494" s="3" t="s">
        <v>6</v>
      </c>
      <c r="F494" s="6" t="s">
        <v>110</v>
      </c>
    </row>
    <row r="495" spans="1:9">
      <c r="A495" s="2">
        <v>23554</v>
      </c>
      <c r="B495" s="1" t="s">
        <v>199</v>
      </c>
      <c r="C495" s="1" t="s">
        <v>200</v>
      </c>
      <c r="D495" s="3" t="s">
        <v>1</v>
      </c>
      <c r="E495" s="3" t="s">
        <v>6</v>
      </c>
      <c r="F495" s="6" t="s">
        <v>110</v>
      </c>
    </row>
    <row r="496" spans="1:9">
      <c r="A496" s="2">
        <v>23554</v>
      </c>
      <c r="B496" s="1" t="s">
        <v>350</v>
      </c>
      <c r="C496" s="1" t="s">
        <v>351</v>
      </c>
      <c r="D496" s="3" t="s">
        <v>1</v>
      </c>
      <c r="E496" s="3" t="s">
        <v>6</v>
      </c>
      <c r="F496" s="6" t="s">
        <v>110</v>
      </c>
    </row>
    <row r="497" spans="1:9">
      <c r="A497" s="2">
        <v>23554</v>
      </c>
      <c r="B497" s="1" t="s">
        <v>352</v>
      </c>
      <c r="C497" s="1" t="s">
        <v>353</v>
      </c>
      <c r="D497" s="3" t="s">
        <v>1</v>
      </c>
      <c r="E497" s="3" t="s">
        <v>6</v>
      </c>
      <c r="F497" s="6" t="s">
        <v>110</v>
      </c>
    </row>
    <row r="498" spans="1:9">
      <c r="A498" s="2">
        <v>23554</v>
      </c>
      <c r="B498" s="1" t="s">
        <v>321</v>
      </c>
      <c r="C498" s="1" t="s">
        <v>234</v>
      </c>
      <c r="D498" s="3" t="s">
        <v>2</v>
      </c>
      <c r="E498" s="3" t="s">
        <v>7</v>
      </c>
      <c r="F498" s="6" t="s">
        <v>119</v>
      </c>
    </row>
    <row r="499" spans="1:9">
      <c r="A499" s="29">
        <v>23555</v>
      </c>
      <c r="B499" s="13"/>
      <c r="C499" s="13"/>
      <c r="D499" s="14"/>
      <c r="E499" s="14"/>
      <c r="F499" s="15"/>
      <c r="G499" s="15"/>
      <c r="H499" s="13"/>
      <c r="I499" s="13"/>
    </row>
    <row r="500" spans="1:9">
      <c r="A500" s="2">
        <v>23553</v>
      </c>
      <c r="B500" s="1" t="s">
        <v>134</v>
      </c>
      <c r="C500" s="1" t="s">
        <v>135</v>
      </c>
      <c r="D500" s="3" t="s">
        <v>1</v>
      </c>
      <c r="E500" s="3" t="s">
        <v>6</v>
      </c>
      <c r="F500" s="6" t="s">
        <v>110</v>
      </c>
    </row>
    <row r="501" spans="1:9">
      <c r="A501" s="2">
        <v>23555</v>
      </c>
      <c r="B501" s="1" t="s">
        <v>159</v>
      </c>
      <c r="C501" s="1" t="s">
        <v>354</v>
      </c>
      <c r="D501" s="3" t="s">
        <v>1</v>
      </c>
      <c r="E501" s="3" t="s">
        <v>6</v>
      </c>
      <c r="F501" s="6" t="s">
        <v>110</v>
      </c>
    </row>
    <row r="502" spans="1:9">
      <c r="A502" s="2">
        <v>23555</v>
      </c>
      <c r="B502" s="1" t="s">
        <v>78</v>
      </c>
      <c r="C502" s="1" t="s">
        <v>85</v>
      </c>
      <c r="D502" s="3" t="s">
        <v>1</v>
      </c>
      <c r="E502" s="3" t="s">
        <v>6</v>
      </c>
      <c r="F502" s="6" t="s">
        <v>110</v>
      </c>
    </row>
    <row r="503" spans="1:9">
      <c r="A503" s="2">
        <v>23555</v>
      </c>
      <c r="B503" s="1" t="s">
        <v>343</v>
      </c>
      <c r="C503" s="1" t="s">
        <v>355</v>
      </c>
      <c r="D503" s="3" t="s">
        <v>1</v>
      </c>
      <c r="E503" s="3" t="s">
        <v>6</v>
      </c>
      <c r="F503" s="6" t="s">
        <v>110</v>
      </c>
    </row>
    <row r="504" spans="1:9" ht="18">
      <c r="A504" s="16">
        <v>23556</v>
      </c>
      <c r="B504" s="13"/>
      <c r="C504" s="13"/>
      <c r="D504" s="14"/>
      <c r="E504" s="14"/>
      <c r="F504" s="15"/>
      <c r="G504" s="15"/>
      <c r="H504" s="13"/>
      <c r="I504" s="13"/>
    </row>
    <row r="505" spans="1:9">
      <c r="A505" s="2">
        <v>23553</v>
      </c>
      <c r="B505" s="1" t="s">
        <v>134</v>
      </c>
      <c r="C505" s="1" t="s">
        <v>135</v>
      </c>
      <c r="D505" s="3" t="s">
        <v>1</v>
      </c>
      <c r="E505" s="3" t="s">
        <v>6</v>
      </c>
      <c r="F505" s="6" t="s">
        <v>110</v>
      </c>
      <c r="G505" s="6" t="s">
        <v>358</v>
      </c>
    </row>
    <row r="506" spans="1:9">
      <c r="A506" s="2">
        <v>23556</v>
      </c>
      <c r="B506" s="1" t="s">
        <v>159</v>
      </c>
      <c r="C506" s="1" t="s">
        <v>354</v>
      </c>
      <c r="D506" s="3" t="s">
        <v>1</v>
      </c>
      <c r="E506" s="3" t="s">
        <v>6</v>
      </c>
      <c r="F506" s="6" t="s">
        <v>110</v>
      </c>
    </row>
    <row r="507" spans="1:9">
      <c r="A507" s="2">
        <v>23556</v>
      </c>
      <c r="B507" s="1" t="s">
        <v>206</v>
      </c>
      <c r="C507" s="1" t="s">
        <v>356</v>
      </c>
      <c r="D507" s="3" t="s">
        <v>1</v>
      </c>
      <c r="E507" s="3" t="s">
        <v>6</v>
      </c>
      <c r="F507" s="6" t="s">
        <v>110</v>
      </c>
    </row>
    <row r="508" spans="1:9">
      <c r="A508" s="2">
        <v>23556</v>
      </c>
      <c r="B508" s="1" t="s">
        <v>165</v>
      </c>
      <c r="C508" s="1" t="s">
        <v>127</v>
      </c>
      <c r="D508" s="3" t="s">
        <v>1</v>
      </c>
      <c r="E508" s="3" t="s">
        <v>6</v>
      </c>
      <c r="F508" s="6" t="s">
        <v>110</v>
      </c>
    </row>
    <row r="509" spans="1:9">
      <c r="A509" s="2">
        <v>23556</v>
      </c>
      <c r="B509" s="1" t="s">
        <v>166</v>
      </c>
      <c r="C509" s="1" t="s">
        <v>127</v>
      </c>
      <c r="D509" s="3" t="s">
        <v>1</v>
      </c>
      <c r="E509" s="3" t="s">
        <v>6</v>
      </c>
      <c r="F509" s="6" t="s">
        <v>110</v>
      </c>
    </row>
    <row r="510" spans="1:9">
      <c r="A510" s="2">
        <v>23556</v>
      </c>
      <c r="B510" s="1" t="s">
        <v>51</v>
      </c>
      <c r="C510" s="1" t="s">
        <v>127</v>
      </c>
      <c r="D510" s="3" t="s">
        <v>1</v>
      </c>
      <c r="E510" s="3" t="s">
        <v>6</v>
      </c>
      <c r="F510" s="6" t="s">
        <v>110</v>
      </c>
    </row>
    <row r="511" spans="1:9">
      <c r="A511" s="2">
        <v>23556</v>
      </c>
      <c r="B511" s="1" t="s">
        <v>284</v>
      </c>
      <c r="C511" s="1" t="s">
        <v>357</v>
      </c>
      <c r="D511" s="3" t="s">
        <v>1</v>
      </c>
      <c r="E511" s="3" t="s">
        <v>6</v>
      </c>
      <c r="F511" s="6" t="s">
        <v>110</v>
      </c>
    </row>
    <row r="512" spans="1:9">
      <c r="A512" s="2">
        <v>23556</v>
      </c>
      <c r="B512" s="1" t="s">
        <v>321</v>
      </c>
      <c r="C512" s="1" t="s">
        <v>234</v>
      </c>
      <c r="D512" s="3" t="s">
        <v>2</v>
      </c>
      <c r="E512" s="3" t="s">
        <v>7</v>
      </c>
      <c r="F512" s="6" t="s">
        <v>119</v>
      </c>
    </row>
    <row r="513" spans="1:9">
      <c r="A513" s="2">
        <v>23556</v>
      </c>
      <c r="B513" s="1" t="s">
        <v>11</v>
      </c>
      <c r="C513" s="1" t="s">
        <v>25</v>
      </c>
      <c r="D513" s="3" t="s">
        <v>2</v>
      </c>
      <c r="E513" s="3" t="s">
        <v>7</v>
      </c>
      <c r="F513" s="6" t="s">
        <v>119</v>
      </c>
    </row>
    <row r="514" spans="1:9">
      <c r="A514" s="2">
        <v>23556</v>
      </c>
      <c r="B514" s="1" t="s">
        <v>359</v>
      </c>
      <c r="C514" s="1" t="s">
        <v>194</v>
      </c>
      <c r="D514" s="3" t="s">
        <v>2</v>
      </c>
      <c r="E514" s="3" t="s">
        <v>7</v>
      </c>
      <c r="F514" s="6" t="s">
        <v>119</v>
      </c>
    </row>
    <row r="515" spans="1:9" ht="18">
      <c r="A515" s="16">
        <v>23557</v>
      </c>
      <c r="B515" s="13"/>
      <c r="C515" s="13"/>
      <c r="D515" s="14"/>
      <c r="E515" s="14"/>
      <c r="F515" s="15"/>
      <c r="G515" s="15"/>
      <c r="H515" s="13"/>
      <c r="I515" s="13"/>
    </row>
    <row r="516" spans="1:9">
      <c r="A516" s="2">
        <v>23553</v>
      </c>
      <c r="B516" s="1" t="s">
        <v>134</v>
      </c>
      <c r="C516" s="1" t="s">
        <v>135</v>
      </c>
      <c r="D516" s="3" t="s">
        <v>1</v>
      </c>
      <c r="E516" s="3" t="s">
        <v>6</v>
      </c>
      <c r="F516" s="6" t="s">
        <v>110</v>
      </c>
    </row>
    <row r="517" spans="1:9">
      <c r="A517" s="2">
        <v>23557</v>
      </c>
      <c r="B517" s="1" t="s">
        <v>206</v>
      </c>
      <c r="C517" s="1" t="s">
        <v>210</v>
      </c>
      <c r="D517" s="3" t="s">
        <v>1</v>
      </c>
      <c r="E517" s="3" t="s">
        <v>6</v>
      </c>
      <c r="F517" s="6" t="s">
        <v>110</v>
      </c>
    </row>
    <row r="518" spans="1:9">
      <c r="A518" s="2">
        <v>23557</v>
      </c>
      <c r="B518" s="1" t="s">
        <v>343</v>
      </c>
      <c r="C518" s="1" t="s">
        <v>185</v>
      </c>
      <c r="D518" s="3" t="s">
        <v>1</v>
      </c>
      <c r="E518" s="3" t="s">
        <v>6</v>
      </c>
      <c r="F518" s="6" t="s">
        <v>110</v>
      </c>
    </row>
    <row r="519" spans="1:9">
      <c r="A519" s="2">
        <v>23557</v>
      </c>
      <c r="B519" s="1" t="s">
        <v>78</v>
      </c>
      <c r="C519" s="1" t="s">
        <v>349</v>
      </c>
      <c r="D519" s="3" t="s">
        <v>1</v>
      </c>
      <c r="E519" s="3" t="s">
        <v>6</v>
      </c>
      <c r="F519" s="6" t="s">
        <v>110</v>
      </c>
    </row>
    <row r="520" spans="1:9">
      <c r="A520" s="2">
        <v>23557</v>
      </c>
      <c r="B520" s="1" t="s">
        <v>208</v>
      </c>
      <c r="C520" s="1" t="s">
        <v>360</v>
      </c>
      <c r="D520" s="3" t="s">
        <v>1</v>
      </c>
      <c r="E520" s="3" t="s">
        <v>6</v>
      </c>
      <c r="F520" s="6" t="s">
        <v>110</v>
      </c>
    </row>
    <row r="521" spans="1:9">
      <c r="A521" s="2">
        <v>23557</v>
      </c>
      <c r="B521" s="1" t="s">
        <v>284</v>
      </c>
      <c r="C521" s="1" t="s">
        <v>285</v>
      </c>
      <c r="D521" s="3" t="s">
        <v>1</v>
      </c>
      <c r="E521" s="3" t="s">
        <v>6</v>
      </c>
      <c r="F521" s="6" t="s">
        <v>110</v>
      </c>
    </row>
    <row r="522" spans="1:9">
      <c r="A522" s="2">
        <v>23557</v>
      </c>
      <c r="B522" s="1" t="s">
        <v>57</v>
      </c>
      <c r="C522" s="1" t="s">
        <v>64</v>
      </c>
      <c r="D522" s="3" t="s">
        <v>1</v>
      </c>
      <c r="E522" s="3" t="s">
        <v>6</v>
      </c>
      <c r="F522" s="6" t="s">
        <v>110</v>
      </c>
    </row>
    <row r="523" spans="1:9">
      <c r="A523" s="2">
        <v>23557</v>
      </c>
      <c r="B523" s="1" t="s">
        <v>321</v>
      </c>
      <c r="C523" s="1" t="s">
        <v>234</v>
      </c>
      <c r="D523" s="3" t="s">
        <v>2</v>
      </c>
      <c r="E523" s="3" t="s">
        <v>7</v>
      </c>
      <c r="F523" s="6" t="s">
        <v>119</v>
      </c>
    </row>
    <row r="524" spans="1:9">
      <c r="A524" s="2">
        <v>23557</v>
      </c>
      <c r="B524" s="1" t="s">
        <v>238</v>
      </c>
      <c r="C524" s="1" t="s">
        <v>307</v>
      </c>
      <c r="D524" s="3" t="s">
        <v>2</v>
      </c>
      <c r="E524" s="3" t="s">
        <v>7</v>
      </c>
      <c r="F524" s="6" t="s">
        <v>119</v>
      </c>
    </row>
    <row r="525" spans="1:9">
      <c r="A525" s="2">
        <v>23557</v>
      </c>
      <c r="B525" s="1" t="s">
        <v>298</v>
      </c>
      <c r="C525" s="1" t="s">
        <v>299</v>
      </c>
      <c r="D525" s="3" t="s">
        <v>2</v>
      </c>
      <c r="E525" s="3" t="s">
        <v>7</v>
      </c>
      <c r="F525" s="6" t="s">
        <v>119</v>
      </c>
    </row>
    <row r="526" spans="1:9">
      <c r="A526" s="28">
        <v>23558</v>
      </c>
      <c r="B526" s="13"/>
      <c r="C526" s="13"/>
      <c r="D526" s="14"/>
      <c r="E526" s="14"/>
      <c r="F526" s="15"/>
      <c r="G526" s="15"/>
      <c r="H526" s="13"/>
      <c r="I526" s="13"/>
    </row>
    <row r="527" spans="1:9">
      <c r="A527" s="2">
        <v>23553</v>
      </c>
      <c r="B527" s="1" t="s">
        <v>134</v>
      </c>
      <c r="C527" s="1" t="s">
        <v>135</v>
      </c>
      <c r="D527" s="3" t="s">
        <v>1</v>
      </c>
      <c r="E527" s="3" t="s">
        <v>6</v>
      </c>
      <c r="F527" s="6" t="s">
        <v>110</v>
      </c>
    </row>
    <row r="528" spans="1:9">
      <c r="A528" s="2">
        <v>23557</v>
      </c>
      <c r="B528" s="1" t="s">
        <v>256</v>
      </c>
      <c r="C528" s="1" t="s">
        <v>360</v>
      </c>
      <c r="D528" s="3" t="s">
        <v>1</v>
      </c>
      <c r="E528" s="3" t="s">
        <v>6</v>
      </c>
      <c r="F528" s="6" t="s">
        <v>110</v>
      </c>
    </row>
    <row r="529" spans="1:9">
      <c r="A529" s="2">
        <v>23558</v>
      </c>
      <c r="B529" s="1" t="s">
        <v>78</v>
      </c>
      <c r="C529" s="1" t="s">
        <v>349</v>
      </c>
      <c r="D529" s="3" t="s">
        <v>1</v>
      </c>
      <c r="E529" s="3" t="s">
        <v>6</v>
      </c>
      <c r="F529" s="6" t="s">
        <v>110</v>
      </c>
    </row>
    <row r="530" spans="1:9">
      <c r="A530" s="2">
        <v>23558</v>
      </c>
      <c r="B530" s="1" t="s">
        <v>159</v>
      </c>
      <c r="C530" s="1" t="s">
        <v>158</v>
      </c>
      <c r="D530" s="3" t="s">
        <v>1</v>
      </c>
      <c r="E530" s="3" t="s">
        <v>6</v>
      </c>
      <c r="F530" s="6" t="s">
        <v>110</v>
      </c>
    </row>
    <row r="531" spans="1:9">
      <c r="A531" s="2">
        <v>23558</v>
      </c>
      <c r="B531" s="1" t="s">
        <v>57</v>
      </c>
      <c r="C531" s="1" t="s">
        <v>64</v>
      </c>
      <c r="D531" s="3" t="s">
        <v>1</v>
      </c>
      <c r="E531" s="3" t="s">
        <v>6</v>
      </c>
      <c r="F531" s="6" t="s">
        <v>110</v>
      </c>
    </row>
    <row r="532" spans="1:9">
      <c r="A532" s="2">
        <v>23558</v>
      </c>
      <c r="B532" s="1" t="s">
        <v>361</v>
      </c>
      <c r="C532" s="1" t="s">
        <v>34</v>
      </c>
      <c r="D532" s="3" t="s">
        <v>1</v>
      </c>
      <c r="E532" s="3" t="s">
        <v>6</v>
      </c>
      <c r="F532" s="6" t="s">
        <v>110</v>
      </c>
    </row>
    <row r="533" spans="1:9">
      <c r="A533" s="2">
        <v>23558</v>
      </c>
      <c r="B533" s="1" t="s">
        <v>343</v>
      </c>
      <c r="C533" s="1" t="s">
        <v>185</v>
      </c>
      <c r="D533" s="3" t="s">
        <v>1</v>
      </c>
      <c r="E533" s="3" t="s">
        <v>6</v>
      </c>
      <c r="F533" s="6" t="s">
        <v>110</v>
      </c>
    </row>
    <row r="534" spans="1:9">
      <c r="A534" s="2">
        <v>23558</v>
      </c>
      <c r="B534" s="1" t="s">
        <v>281</v>
      </c>
      <c r="C534" s="1" t="s">
        <v>286</v>
      </c>
      <c r="D534" s="3" t="s">
        <v>2</v>
      </c>
      <c r="E534" s="3" t="s">
        <v>7</v>
      </c>
      <c r="F534" s="6" t="s">
        <v>119</v>
      </c>
    </row>
    <row r="535" spans="1:9">
      <c r="A535" s="2">
        <v>23558</v>
      </c>
      <c r="B535" s="1" t="s">
        <v>362</v>
      </c>
      <c r="C535" s="1" t="s">
        <v>363</v>
      </c>
      <c r="D535" s="3" t="s">
        <v>2</v>
      </c>
      <c r="E535" s="3" t="s">
        <v>7</v>
      </c>
      <c r="F535" s="6" t="s">
        <v>119</v>
      </c>
    </row>
    <row r="536" spans="1:9">
      <c r="A536" s="2">
        <v>23558</v>
      </c>
      <c r="B536" s="1" t="s">
        <v>321</v>
      </c>
      <c r="C536" s="1" t="s">
        <v>234</v>
      </c>
      <c r="D536" s="3" t="s">
        <v>2</v>
      </c>
      <c r="E536" s="3" t="s">
        <v>7</v>
      </c>
      <c r="F536" s="6" t="s">
        <v>119</v>
      </c>
    </row>
    <row r="537" spans="1:9" ht="18">
      <c r="A537" s="16">
        <v>23559</v>
      </c>
      <c r="B537" s="13"/>
      <c r="C537" s="13"/>
      <c r="D537" s="14"/>
      <c r="E537" s="14"/>
      <c r="F537" s="15"/>
      <c r="G537" s="15"/>
      <c r="H537" s="13"/>
      <c r="I537" s="13"/>
    </row>
    <row r="538" spans="1:9">
      <c r="A538" s="2">
        <v>23557</v>
      </c>
      <c r="B538" s="1" t="s">
        <v>256</v>
      </c>
      <c r="C538" s="1" t="s">
        <v>342</v>
      </c>
      <c r="D538" s="3" t="s">
        <v>1</v>
      </c>
      <c r="E538" s="3" t="s">
        <v>6</v>
      </c>
      <c r="F538" s="6" t="s">
        <v>110</v>
      </c>
    </row>
    <row r="539" spans="1:9">
      <c r="A539" s="2">
        <v>23559</v>
      </c>
      <c r="B539" s="1" t="s">
        <v>78</v>
      </c>
      <c r="C539" s="1" t="s">
        <v>85</v>
      </c>
      <c r="D539" s="3" t="s">
        <v>1</v>
      </c>
      <c r="E539" s="3" t="s">
        <v>6</v>
      </c>
      <c r="F539" s="6" t="s">
        <v>110</v>
      </c>
    </row>
    <row r="540" spans="1:9">
      <c r="A540" s="2">
        <v>23559</v>
      </c>
      <c r="B540" s="1" t="s">
        <v>159</v>
      </c>
      <c r="C540" s="1" t="s">
        <v>158</v>
      </c>
      <c r="D540" s="3" t="s">
        <v>1</v>
      </c>
      <c r="E540" s="3" t="s">
        <v>6</v>
      </c>
      <c r="F540" s="6" t="s">
        <v>110</v>
      </c>
    </row>
    <row r="541" spans="1:9">
      <c r="A541" s="2">
        <v>23559</v>
      </c>
      <c r="B541" s="1" t="s">
        <v>132</v>
      </c>
      <c r="C541" s="1" t="s">
        <v>367</v>
      </c>
      <c r="D541" s="3" t="s">
        <v>1</v>
      </c>
      <c r="E541" s="3" t="s">
        <v>6</v>
      </c>
      <c r="F541" s="6" t="s">
        <v>110</v>
      </c>
    </row>
    <row r="542" spans="1:9">
      <c r="A542" s="2">
        <v>23559</v>
      </c>
      <c r="B542" s="1" t="s">
        <v>321</v>
      </c>
      <c r="C542" s="1" t="s">
        <v>234</v>
      </c>
      <c r="D542" s="3" t="s">
        <v>2</v>
      </c>
      <c r="E542" s="3" t="s">
        <v>7</v>
      </c>
      <c r="F542" s="6" t="s">
        <v>119</v>
      </c>
    </row>
    <row r="543" spans="1:9">
      <c r="A543" s="2">
        <v>23559</v>
      </c>
      <c r="B543" s="1" t="s">
        <v>364</v>
      </c>
      <c r="C543" s="1" t="s">
        <v>366</v>
      </c>
      <c r="D543" s="3" t="s">
        <v>2</v>
      </c>
      <c r="E543" s="3" t="s">
        <v>7</v>
      </c>
      <c r="F543" s="6" t="s">
        <v>119</v>
      </c>
    </row>
    <row r="544" spans="1:9">
      <c r="A544" s="2">
        <v>23559</v>
      </c>
      <c r="B544" s="1" t="s">
        <v>100</v>
      </c>
      <c r="C544" s="1" t="s">
        <v>101</v>
      </c>
      <c r="D544" s="3" t="s">
        <v>2</v>
      </c>
      <c r="E544" s="3" t="s">
        <v>7</v>
      </c>
      <c r="F544" s="6" t="s">
        <v>119</v>
      </c>
    </row>
    <row r="545" spans="1:9">
      <c r="A545" s="2">
        <v>23559</v>
      </c>
      <c r="B545" s="1" t="s">
        <v>154</v>
      </c>
      <c r="C545" s="1" t="s">
        <v>151</v>
      </c>
      <c r="D545" s="3" t="s">
        <v>2</v>
      </c>
      <c r="E545" s="3" t="s">
        <v>7</v>
      </c>
      <c r="F545" s="6" t="s">
        <v>119</v>
      </c>
    </row>
    <row r="546" spans="1:9">
      <c r="A546" s="2">
        <v>23559</v>
      </c>
      <c r="B546" s="1" t="s">
        <v>196</v>
      </c>
      <c r="C546" s="1" t="s">
        <v>197</v>
      </c>
      <c r="D546" s="3" t="s">
        <v>2</v>
      </c>
      <c r="E546" s="3" t="s">
        <v>7</v>
      </c>
      <c r="F546" s="6" t="s">
        <v>119</v>
      </c>
    </row>
    <row r="547" spans="1:9">
      <c r="A547" s="2">
        <v>23559</v>
      </c>
      <c r="B547" s="1" t="s">
        <v>333</v>
      </c>
      <c r="C547" s="1" t="s">
        <v>339</v>
      </c>
      <c r="D547" s="3" t="s">
        <v>2</v>
      </c>
      <c r="E547" s="3" t="s">
        <v>7</v>
      </c>
      <c r="F547" s="6" t="s">
        <v>119</v>
      </c>
    </row>
    <row r="548" spans="1:9">
      <c r="A548" s="2">
        <v>23559</v>
      </c>
      <c r="B548" s="1" t="s">
        <v>365</v>
      </c>
      <c r="C548" s="1" t="s">
        <v>368</v>
      </c>
      <c r="D548" s="3" t="s">
        <v>2</v>
      </c>
      <c r="E548" s="3" t="s">
        <v>7</v>
      </c>
      <c r="F548" s="6" t="s">
        <v>119</v>
      </c>
    </row>
    <row r="549" spans="1:9">
      <c r="A549" s="2">
        <v>23559</v>
      </c>
      <c r="B549" s="1" t="s">
        <v>362</v>
      </c>
      <c r="C549" s="1" t="s">
        <v>363</v>
      </c>
      <c r="D549" s="3" t="s">
        <v>2</v>
      </c>
      <c r="E549" s="3" t="s">
        <v>7</v>
      </c>
      <c r="F549" s="6" t="s">
        <v>119</v>
      </c>
    </row>
    <row r="550" spans="1:9">
      <c r="A550" s="28">
        <v>23560</v>
      </c>
      <c r="B550" s="13"/>
      <c r="C550" s="13"/>
      <c r="D550" s="14"/>
      <c r="E550" s="14"/>
      <c r="F550" s="15"/>
      <c r="G550" s="15"/>
      <c r="H550" s="13"/>
      <c r="I550" s="13"/>
    </row>
    <row r="551" spans="1:9">
      <c r="A551" s="2">
        <v>23557</v>
      </c>
      <c r="B551" s="1" t="s">
        <v>256</v>
      </c>
      <c r="C551" s="1" t="s">
        <v>342</v>
      </c>
      <c r="D551" s="3" t="s">
        <v>1</v>
      </c>
      <c r="E551" s="3" t="s">
        <v>6</v>
      </c>
      <c r="F551" s="6" t="s">
        <v>110</v>
      </c>
    </row>
    <row r="552" spans="1:9">
      <c r="A552" s="2">
        <v>23560</v>
      </c>
      <c r="B552" s="1" t="s">
        <v>78</v>
      </c>
      <c r="C552" s="1" t="s">
        <v>85</v>
      </c>
      <c r="D552" s="3" t="s">
        <v>1</v>
      </c>
      <c r="E552" s="3" t="s">
        <v>6</v>
      </c>
      <c r="F552" s="6" t="s">
        <v>110</v>
      </c>
    </row>
    <row r="553" spans="1:9">
      <c r="A553" s="2">
        <v>23560</v>
      </c>
      <c r="B553" s="1" t="s">
        <v>57</v>
      </c>
      <c r="C553" s="1" t="s">
        <v>64</v>
      </c>
      <c r="D553" s="3" t="s">
        <v>1</v>
      </c>
      <c r="E553" s="3" t="s">
        <v>6</v>
      </c>
      <c r="F553" s="6" t="s">
        <v>110</v>
      </c>
    </row>
    <row r="554" spans="1:9">
      <c r="A554" s="2">
        <v>23560</v>
      </c>
      <c r="B554" s="1" t="s">
        <v>369</v>
      </c>
      <c r="C554" s="1" t="s">
        <v>373</v>
      </c>
      <c r="D554" s="3" t="s">
        <v>1</v>
      </c>
      <c r="E554" s="3" t="s">
        <v>6</v>
      </c>
      <c r="F554" s="6" t="s">
        <v>110</v>
      </c>
    </row>
    <row r="555" spans="1:9">
      <c r="A555" s="2">
        <v>23560</v>
      </c>
      <c r="B555" s="1" t="s">
        <v>370</v>
      </c>
      <c r="C555" s="1" t="s">
        <v>374</v>
      </c>
      <c r="D555" s="3" t="s">
        <v>1</v>
      </c>
      <c r="E555" s="3" t="s">
        <v>6</v>
      </c>
      <c r="F555" s="6" t="s">
        <v>110</v>
      </c>
    </row>
    <row r="556" spans="1:9">
      <c r="A556" s="2">
        <v>23560</v>
      </c>
      <c r="B556" s="1" t="s">
        <v>132</v>
      </c>
      <c r="C556" s="1" t="s">
        <v>367</v>
      </c>
      <c r="D556" s="3" t="s">
        <v>1</v>
      </c>
      <c r="E556" s="3" t="s">
        <v>6</v>
      </c>
      <c r="F556" s="6" t="s">
        <v>110</v>
      </c>
    </row>
    <row r="557" spans="1:9">
      <c r="A557" s="2">
        <v>23560</v>
      </c>
      <c r="B557" s="1" t="s">
        <v>343</v>
      </c>
      <c r="C557" s="1" t="s">
        <v>375</v>
      </c>
      <c r="D557" s="3" t="s">
        <v>1</v>
      </c>
      <c r="E557" s="3" t="s">
        <v>6</v>
      </c>
      <c r="F557" s="6" t="s">
        <v>110</v>
      </c>
    </row>
    <row r="558" spans="1:9">
      <c r="A558" s="2">
        <v>23560</v>
      </c>
      <c r="B558" s="1" t="s">
        <v>221</v>
      </c>
      <c r="C558" s="1" t="s">
        <v>376</v>
      </c>
      <c r="D558" s="3" t="s">
        <v>1</v>
      </c>
      <c r="E558" s="3" t="s">
        <v>6</v>
      </c>
      <c r="F558" s="6" t="s">
        <v>110</v>
      </c>
    </row>
    <row r="559" spans="1:9">
      <c r="A559" s="2">
        <v>23560</v>
      </c>
      <c r="B559" s="1" t="s">
        <v>58</v>
      </c>
      <c r="C559" s="1" t="s">
        <v>214</v>
      </c>
      <c r="D559" s="3" t="s">
        <v>1</v>
      </c>
      <c r="E559" s="3" t="s">
        <v>6</v>
      </c>
      <c r="F559" s="6" t="s">
        <v>110</v>
      </c>
    </row>
    <row r="560" spans="1:9">
      <c r="A560" s="2">
        <v>23560</v>
      </c>
      <c r="B560" s="1" t="s">
        <v>371</v>
      </c>
      <c r="C560" s="1" t="s">
        <v>377</v>
      </c>
      <c r="D560" s="3" t="s">
        <v>1</v>
      </c>
      <c r="E560" s="3" t="s">
        <v>6</v>
      </c>
      <c r="F560" s="6" t="s">
        <v>110</v>
      </c>
    </row>
    <row r="561" spans="1:9">
      <c r="A561" s="2">
        <v>23560</v>
      </c>
      <c r="B561" s="1" t="s">
        <v>372</v>
      </c>
      <c r="C561" s="1" t="s">
        <v>378</v>
      </c>
      <c r="D561" s="3" t="s">
        <v>1</v>
      </c>
      <c r="E561" s="3" t="s">
        <v>6</v>
      </c>
      <c r="F561" s="6" t="s">
        <v>110</v>
      </c>
    </row>
    <row r="562" spans="1:9">
      <c r="A562" s="2">
        <v>23560</v>
      </c>
      <c r="B562" s="1" t="s">
        <v>284</v>
      </c>
      <c r="C562" s="1" t="s">
        <v>379</v>
      </c>
      <c r="D562" s="3" t="s">
        <v>1</v>
      </c>
      <c r="E562" s="3" t="s">
        <v>6</v>
      </c>
      <c r="F562" s="6" t="s">
        <v>110</v>
      </c>
    </row>
    <row r="563" spans="1:9">
      <c r="A563" s="2">
        <v>23560</v>
      </c>
      <c r="B563" s="1" t="s">
        <v>226</v>
      </c>
      <c r="C563" s="1" t="s">
        <v>227</v>
      </c>
      <c r="D563" s="3" t="s">
        <v>1</v>
      </c>
      <c r="E563" s="3" t="s">
        <v>6</v>
      </c>
      <c r="F563" s="6" t="s">
        <v>110</v>
      </c>
    </row>
    <row r="564" spans="1:9">
      <c r="A564" s="2">
        <v>23560</v>
      </c>
      <c r="B564" s="1" t="s">
        <v>115</v>
      </c>
      <c r="C564" s="1" t="s">
        <v>117</v>
      </c>
      <c r="D564" s="3" t="s">
        <v>1</v>
      </c>
      <c r="E564" s="3" t="s">
        <v>6</v>
      </c>
      <c r="F564" s="6" t="s">
        <v>110</v>
      </c>
    </row>
    <row r="565" spans="1:9">
      <c r="A565" s="2">
        <v>23560</v>
      </c>
      <c r="B565" s="1" t="s">
        <v>11</v>
      </c>
      <c r="C565" s="1" t="s">
        <v>25</v>
      </c>
      <c r="D565" s="3" t="s">
        <v>2</v>
      </c>
      <c r="E565" s="3" t="s">
        <v>7</v>
      </c>
      <c r="F565" s="6" t="s">
        <v>119</v>
      </c>
    </row>
    <row r="566" spans="1:9">
      <c r="A566" s="2">
        <v>23560</v>
      </c>
      <c r="B566" s="1" t="s">
        <v>321</v>
      </c>
      <c r="C566" s="1" t="s">
        <v>234</v>
      </c>
      <c r="D566" s="3" t="s">
        <v>2</v>
      </c>
      <c r="E566" s="3" t="s">
        <v>7</v>
      </c>
      <c r="F566" s="6" t="s">
        <v>119</v>
      </c>
    </row>
    <row r="567" spans="1:9">
      <c r="A567" s="2">
        <v>23560</v>
      </c>
      <c r="B567" s="1" t="s">
        <v>380</v>
      </c>
      <c r="C567" s="1" t="s">
        <v>383</v>
      </c>
      <c r="D567" s="3" t="s">
        <v>2</v>
      </c>
      <c r="E567" s="3" t="s">
        <v>7</v>
      </c>
      <c r="F567" s="6" t="s">
        <v>119</v>
      </c>
    </row>
    <row r="568" spans="1:9">
      <c r="A568" s="2">
        <v>23560</v>
      </c>
      <c r="B568" s="1" t="s">
        <v>238</v>
      </c>
      <c r="C568" s="1" t="s">
        <v>384</v>
      </c>
      <c r="D568" s="3" t="s">
        <v>2</v>
      </c>
      <c r="E568" s="3" t="s">
        <v>7</v>
      </c>
      <c r="F568" s="6" t="s">
        <v>119</v>
      </c>
    </row>
    <row r="569" spans="1:9">
      <c r="A569" s="2">
        <v>23560</v>
      </c>
      <c r="B569" s="1" t="s">
        <v>381</v>
      </c>
      <c r="C569" s="1" t="s">
        <v>385</v>
      </c>
      <c r="D569" s="3" t="s">
        <v>2</v>
      </c>
      <c r="E569" s="3" t="s">
        <v>7</v>
      </c>
      <c r="F569" s="6" t="s">
        <v>119</v>
      </c>
    </row>
    <row r="570" spans="1:9">
      <c r="A570" s="2">
        <v>23560</v>
      </c>
      <c r="B570" s="1" t="s">
        <v>382</v>
      </c>
      <c r="C570" s="1" t="s">
        <v>386</v>
      </c>
      <c r="D570" s="3" t="s">
        <v>2</v>
      </c>
      <c r="E570" s="3" t="s">
        <v>7</v>
      </c>
      <c r="F570" s="6" t="s">
        <v>119</v>
      </c>
    </row>
    <row r="571" spans="1:9">
      <c r="A571" s="2">
        <v>23560</v>
      </c>
      <c r="B571" s="1" t="s">
        <v>333</v>
      </c>
      <c r="C571" s="1" t="s">
        <v>339</v>
      </c>
      <c r="D571" s="3" t="s">
        <v>2</v>
      </c>
      <c r="E571" s="3" t="s">
        <v>7</v>
      </c>
      <c r="F571" s="6" t="s">
        <v>119</v>
      </c>
    </row>
    <row r="572" spans="1:9" ht="18">
      <c r="A572" s="16">
        <v>23561</v>
      </c>
      <c r="B572" s="13"/>
      <c r="C572" s="13"/>
      <c r="D572" s="14"/>
      <c r="E572" s="14"/>
      <c r="F572" s="15"/>
      <c r="G572" s="15"/>
      <c r="H572" s="13"/>
      <c r="I572" s="13"/>
    </row>
    <row r="573" spans="1:9">
      <c r="A573" s="2">
        <v>23560</v>
      </c>
      <c r="B573" s="1" t="s">
        <v>387</v>
      </c>
      <c r="C573" s="1" t="s">
        <v>342</v>
      </c>
      <c r="D573" s="3" t="s">
        <v>1</v>
      </c>
      <c r="E573" s="3" t="s">
        <v>6</v>
      </c>
      <c r="F573" s="6" t="s">
        <v>110</v>
      </c>
    </row>
    <row r="574" spans="1:9">
      <c r="A574" s="2">
        <v>23560</v>
      </c>
      <c r="B574" s="1" t="s">
        <v>132</v>
      </c>
      <c r="C574" s="1" t="s">
        <v>390</v>
      </c>
      <c r="D574" s="3" t="s">
        <v>1</v>
      </c>
      <c r="E574" s="3" t="s">
        <v>6</v>
      </c>
      <c r="F574" s="6" t="s">
        <v>110</v>
      </c>
    </row>
    <row r="575" spans="1:9">
      <c r="A575" s="2">
        <v>23560</v>
      </c>
      <c r="B575" s="1" t="s">
        <v>343</v>
      </c>
      <c r="C575" s="1" t="s">
        <v>375</v>
      </c>
      <c r="D575" s="3" t="s">
        <v>1</v>
      </c>
      <c r="E575" s="3" t="s">
        <v>6</v>
      </c>
      <c r="F575" s="6" t="s">
        <v>110</v>
      </c>
    </row>
    <row r="576" spans="1:9">
      <c r="A576" s="2">
        <v>23560</v>
      </c>
      <c r="B576" s="1" t="s">
        <v>58</v>
      </c>
      <c r="C576" s="1" t="s">
        <v>214</v>
      </c>
      <c r="D576" s="3" t="s">
        <v>1</v>
      </c>
      <c r="E576" s="3" t="s">
        <v>6</v>
      </c>
      <c r="F576" s="6" t="s">
        <v>110</v>
      </c>
    </row>
    <row r="577" spans="1:6">
      <c r="A577" s="2">
        <v>23560</v>
      </c>
      <c r="B577" s="1" t="s">
        <v>371</v>
      </c>
      <c r="C577" s="1" t="s">
        <v>377</v>
      </c>
      <c r="D577" s="3" t="s">
        <v>1</v>
      </c>
      <c r="E577" s="3" t="s">
        <v>6</v>
      </c>
      <c r="F577" s="6" t="s">
        <v>110</v>
      </c>
    </row>
    <row r="578" spans="1:6">
      <c r="A578" s="2">
        <v>23561</v>
      </c>
      <c r="B578" s="1" t="s">
        <v>221</v>
      </c>
      <c r="C578" s="1" t="s">
        <v>341</v>
      </c>
      <c r="D578" s="3" t="s">
        <v>1</v>
      </c>
      <c r="E578" s="3" t="s">
        <v>6</v>
      </c>
      <c r="F578" s="6" t="s">
        <v>110</v>
      </c>
    </row>
    <row r="579" spans="1:6">
      <c r="A579" s="2">
        <v>23561</v>
      </c>
      <c r="B579" s="1" t="s">
        <v>78</v>
      </c>
      <c r="C579" s="1" t="s">
        <v>349</v>
      </c>
      <c r="D579" s="3" t="s">
        <v>1</v>
      </c>
      <c r="E579" s="3" t="s">
        <v>6</v>
      </c>
      <c r="F579" s="6" t="s">
        <v>110</v>
      </c>
    </row>
    <row r="580" spans="1:6">
      <c r="A580" s="2">
        <v>23561</v>
      </c>
      <c r="B580" s="1" t="s">
        <v>57</v>
      </c>
      <c r="C580" s="1" t="s">
        <v>64</v>
      </c>
      <c r="D580" s="3" t="s">
        <v>1</v>
      </c>
      <c r="E580" s="3" t="s">
        <v>6</v>
      </c>
      <c r="F580" s="6" t="s">
        <v>110</v>
      </c>
    </row>
    <row r="581" spans="1:6">
      <c r="A581" s="2">
        <v>23561</v>
      </c>
      <c r="B581" s="1" t="s">
        <v>284</v>
      </c>
      <c r="C581" s="1" t="s">
        <v>379</v>
      </c>
      <c r="D581" s="3" t="s">
        <v>1</v>
      </c>
      <c r="E581" s="3" t="s">
        <v>6</v>
      </c>
      <c r="F581" s="6" t="s">
        <v>110</v>
      </c>
    </row>
    <row r="582" spans="1:6">
      <c r="A582" s="2">
        <v>23561</v>
      </c>
      <c r="B582" s="1" t="s">
        <v>159</v>
      </c>
      <c r="C582" s="1" t="s">
        <v>158</v>
      </c>
      <c r="D582" s="3" t="s">
        <v>1</v>
      </c>
      <c r="E582" s="3" t="s">
        <v>6</v>
      </c>
      <c r="F582" s="6" t="s">
        <v>110</v>
      </c>
    </row>
    <row r="583" spans="1:6">
      <c r="A583" s="2">
        <v>23561</v>
      </c>
      <c r="B583" s="1" t="s">
        <v>266</v>
      </c>
      <c r="C583" s="1" t="s">
        <v>391</v>
      </c>
      <c r="D583" s="3" t="s">
        <v>1</v>
      </c>
      <c r="E583" s="3" t="s">
        <v>6</v>
      </c>
      <c r="F583" s="6" t="s">
        <v>110</v>
      </c>
    </row>
    <row r="584" spans="1:6">
      <c r="A584" s="2">
        <v>23561</v>
      </c>
      <c r="B584" s="1" t="s">
        <v>388</v>
      </c>
      <c r="C584" s="1" t="s">
        <v>391</v>
      </c>
      <c r="D584" s="3" t="s">
        <v>1</v>
      </c>
      <c r="E584" s="3" t="s">
        <v>6</v>
      </c>
      <c r="F584" s="6" t="s">
        <v>110</v>
      </c>
    </row>
    <row r="585" spans="1:6">
      <c r="A585" s="2">
        <v>23561</v>
      </c>
      <c r="B585" s="1" t="s">
        <v>140</v>
      </c>
      <c r="C585" s="1" t="s">
        <v>392</v>
      </c>
      <c r="D585" s="3" t="s">
        <v>1</v>
      </c>
      <c r="E585" s="3" t="s">
        <v>6</v>
      </c>
      <c r="F585" s="6" t="s">
        <v>110</v>
      </c>
    </row>
    <row r="586" spans="1:6">
      <c r="A586" s="2">
        <v>23561</v>
      </c>
      <c r="B586" s="1" t="s">
        <v>138</v>
      </c>
      <c r="C586" s="1" t="s">
        <v>392</v>
      </c>
      <c r="D586" s="3" t="s">
        <v>1</v>
      </c>
      <c r="E586" s="3" t="s">
        <v>6</v>
      </c>
      <c r="F586" s="6" t="s">
        <v>110</v>
      </c>
    </row>
    <row r="587" spans="1:6">
      <c r="A587" s="2">
        <v>23561</v>
      </c>
      <c r="B587" s="1" t="s">
        <v>389</v>
      </c>
      <c r="C587" s="1" t="s">
        <v>258</v>
      </c>
      <c r="D587" s="3" t="s">
        <v>1</v>
      </c>
      <c r="E587" s="3" t="s">
        <v>6</v>
      </c>
      <c r="F587" s="6" t="s">
        <v>110</v>
      </c>
    </row>
    <row r="588" spans="1:6">
      <c r="A588" s="2">
        <v>23561</v>
      </c>
      <c r="B588" s="1" t="s">
        <v>304</v>
      </c>
      <c r="C588" s="1" t="s">
        <v>305</v>
      </c>
      <c r="D588" s="3" t="s">
        <v>2</v>
      </c>
      <c r="E588" s="3" t="s">
        <v>7</v>
      </c>
      <c r="F588" s="6" t="s">
        <v>119</v>
      </c>
    </row>
    <row r="589" spans="1:6">
      <c r="A589" s="2">
        <v>23561</v>
      </c>
      <c r="B589" s="1" t="s">
        <v>393</v>
      </c>
      <c r="C589" s="1" t="s">
        <v>396</v>
      </c>
      <c r="D589" s="3" t="s">
        <v>2</v>
      </c>
      <c r="E589" s="3" t="s">
        <v>7</v>
      </c>
      <c r="F589" s="6" t="s">
        <v>119</v>
      </c>
    </row>
    <row r="590" spans="1:6">
      <c r="A590" s="2">
        <v>23561</v>
      </c>
      <c r="B590" s="1" t="s">
        <v>165</v>
      </c>
      <c r="C590" s="1" t="s">
        <v>127</v>
      </c>
      <c r="D590" s="3" t="s">
        <v>2</v>
      </c>
      <c r="E590" s="3" t="s">
        <v>7</v>
      </c>
      <c r="F590" s="6" t="s">
        <v>119</v>
      </c>
    </row>
    <row r="591" spans="1:6">
      <c r="A591" s="2">
        <v>23561</v>
      </c>
      <c r="B591" s="1" t="s">
        <v>394</v>
      </c>
      <c r="C591" s="1" t="s">
        <v>397</v>
      </c>
      <c r="D591" s="3" t="s">
        <v>2</v>
      </c>
      <c r="E591" s="3" t="s">
        <v>7</v>
      </c>
      <c r="F591" s="6" t="s">
        <v>119</v>
      </c>
    </row>
    <row r="592" spans="1:6">
      <c r="A592" s="2">
        <v>23561</v>
      </c>
      <c r="B592" s="1" t="s">
        <v>395</v>
      </c>
      <c r="C592" s="1" t="s">
        <v>118</v>
      </c>
      <c r="D592" s="3" t="s">
        <v>2</v>
      </c>
      <c r="E592" s="3" t="s">
        <v>7</v>
      </c>
      <c r="F592" s="6" t="s">
        <v>119</v>
      </c>
    </row>
    <row r="593" spans="1:9">
      <c r="A593" s="2">
        <v>23561</v>
      </c>
      <c r="B593" s="1" t="s">
        <v>11</v>
      </c>
      <c r="C593" s="1" t="s">
        <v>232</v>
      </c>
      <c r="D593" s="3" t="s">
        <v>2</v>
      </c>
      <c r="E593" s="3" t="s">
        <v>7</v>
      </c>
      <c r="F593" s="6" t="s">
        <v>119</v>
      </c>
    </row>
    <row r="594" spans="1:9">
      <c r="A594" s="2">
        <v>23561</v>
      </c>
      <c r="B594" s="1" t="s">
        <v>333</v>
      </c>
      <c r="C594" s="1" t="s">
        <v>339</v>
      </c>
      <c r="D594" s="3" t="s">
        <v>2</v>
      </c>
      <c r="E594" s="3" t="s">
        <v>7</v>
      </c>
      <c r="F594" s="6" t="s">
        <v>119</v>
      </c>
    </row>
    <row r="595" spans="1:9">
      <c r="A595" s="29">
        <v>23562</v>
      </c>
      <c r="B595" s="13"/>
      <c r="C595" s="13"/>
      <c r="D595" s="14"/>
      <c r="E595" s="14"/>
      <c r="F595" s="15"/>
      <c r="G595" s="15"/>
      <c r="H595" s="13"/>
      <c r="I595" s="13"/>
    </row>
    <row r="596" spans="1:9">
      <c r="A596" s="2">
        <v>23560</v>
      </c>
      <c r="B596" s="1" t="s">
        <v>343</v>
      </c>
      <c r="C596" s="1" t="s">
        <v>375</v>
      </c>
      <c r="D596" s="3" t="s">
        <v>1</v>
      </c>
      <c r="E596" s="3" t="s">
        <v>6</v>
      </c>
      <c r="F596" s="6" t="s">
        <v>110</v>
      </c>
      <c r="H596" s="1" t="s">
        <v>400</v>
      </c>
    </row>
    <row r="597" spans="1:9">
      <c r="A597" s="2">
        <v>23561</v>
      </c>
      <c r="B597" s="1" t="s">
        <v>78</v>
      </c>
      <c r="C597" s="31" t="s">
        <v>85</v>
      </c>
      <c r="D597" s="3" t="s">
        <v>1</v>
      </c>
      <c r="E597" s="3" t="s">
        <v>6</v>
      </c>
      <c r="F597" s="6" t="s">
        <v>110</v>
      </c>
    </row>
    <row r="598" spans="1:9">
      <c r="A598" s="2">
        <v>23562</v>
      </c>
      <c r="B598" s="1" t="s">
        <v>284</v>
      </c>
      <c r="C598" s="1" t="s">
        <v>379</v>
      </c>
      <c r="D598" s="3" t="s">
        <v>1</v>
      </c>
      <c r="E598" s="3" t="s">
        <v>6</v>
      </c>
      <c r="F598" s="6" t="s">
        <v>110</v>
      </c>
    </row>
    <row r="599" spans="1:9">
      <c r="A599" s="2">
        <v>23562</v>
      </c>
      <c r="B599" s="1" t="s">
        <v>159</v>
      </c>
      <c r="C599" s="1" t="s">
        <v>158</v>
      </c>
      <c r="D599" s="3" t="s">
        <v>1</v>
      </c>
      <c r="E599" s="3" t="s">
        <v>6</v>
      </c>
      <c r="F599" s="6" t="s">
        <v>110</v>
      </c>
    </row>
    <row r="600" spans="1:9">
      <c r="A600" s="2">
        <v>23562</v>
      </c>
      <c r="B600" s="1" t="s">
        <v>369</v>
      </c>
      <c r="C600" s="1" t="s">
        <v>373</v>
      </c>
      <c r="D600" s="3" t="s">
        <v>1</v>
      </c>
      <c r="E600" s="3" t="s">
        <v>6</v>
      </c>
      <c r="F600" s="6" t="s">
        <v>110</v>
      </c>
    </row>
    <row r="601" spans="1:9">
      <c r="A601" s="2">
        <v>23562</v>
      </c>
      <c r="B601" s="1" t="s">
        <v>196</v>
      </c>
      <c r="C601" s="1" t="s">
        <v>197</v>
      </c>
      <c r="D601" s="3" t="s">
        <v>1</v>
      </c>
      <c r="E601" s="3" t="s">
        <v>6</v>
      </c>
      <c r="F601" s="6" t="s">
        <v>110</v>
      </c>
    </row>
    <row r="602" spans="1:9">
      <c r="A602" s="2">
        <v>23562</v>
      </c>
      <c r="B602" s="1" t="s">
        <v>304</v>
      </c>
      <c r="C602" s="1" t="s">
        <v>305</v>
      </c>
      <c r="D602" s="3" t="s">
        <v>2</v>
      </c>
      <c r="E602" s="3" t="s">
        <v>7</v>
      </c>
      <c r="F602" s="6" t="s">
        <v>119</v>
      </c>
    </row>
    <row r="603" spans="1:9">
      <c r="A603" s="2">
        <v>23562</v>
      </c>
      <c r="B603" s="1" t="s">
        <v>11</v>
      </c>
      <c r="C603" s="1" t="s">
        <v>25</v>
      </c>
      <c r="D603" s="3" t="s">
        <v>2</v>
      </c>
      <c r="E603" s="3" t="s">
        <v>7</v>
      </c>
      <c r="F603" s="6" t="s">
        <v>119</v>
      </c>
    </row>
    <row r="604" spans="1:9">
      <c r="A604" s="2">
        <v>23562</v>
      </c>
      <c r="B604" s="1" t="s">
        <v>398</v>
      </c>
      <c r="C604" s="1" t="s">
        <v>340</v>
      </c>
      <c r="D604" s="3" t="s">
        <v>2</v>
      </c>
      <c r="E604" s="3" t="s">
        <v>7</v>
      </c>
      <c r="F604" s="6" t="s">
        <v>119</v>
      </c>
    </row>
    <row r="605" spans="1:9">
      <c r="A605" s="2">
        <v>23562</v>
      </c>
      <c r="B605" s="1" t="s">
        <v>395</v>
      </c>
      <c r="C605" s="1" t="s">
        <v>118</v>
      </c>
      <c r="D605" s="3" t="s">
        <v>2</v>
      </c>
      <c r="E605" s="3" t="s">
        <v>7</v>
      </c>
      <c r="F605" s="6" t="s">
        <v>119</v>
      </c>
    </row>
    <row r="606" spans="1:9">
      <c r="A606" s="2">
        <v>23562</v>
      </c>
      <c r="B606" s="1" t="s">
        <v>11</v>
      </c>
      <c r="C606" s="1" t="s">
        <v>232</v>
      </c>
      <c r="D606" s="3" t="s">
        <v>2</v>
      </c>
      <c r="E606" s="3" t="s">
        <v>7</v>
      </c>
      <c r="F606" s="6" t="s">
        <v>119</v>
      </c>
    </row>
    <row r="607" spans="1:9">
      <c r="A607" s="2">
        <v>23562</v>
      </c>
      <c r="B607" s="1" t="s">
        <v>333</v>
      </c>
      <c r="C607" s="1" t="s">
        <v>399</v>
      </c>
      <c r="D607" s="3" t="s">
        <v>2</v>
      </c>
      <c r="E607" s="3" t="s">
        <v>7</v>
      </c>
      <c r="F607" s="6" t="s">
        <v>119</v>
      </c>
    </row>
    <row r="608" spans="1:9" ht="18">
      <c r="A608" s="16">
        <v>23563</v>
      </c>
      <c r="B608" s="13"/>
      <c r="C608" s="13"/>
      <c r="D608" s="14"/>
      <c r="E608" s="14"/>
      <c r="F608" s="15"/>
      <c r="G608" s="15"/>
      <c r="H608" s="13"/>
      <c r="I608" s="13"/>
    </row>
    <row r="609" spans="1:9">
      <c r="A609" s="2">
        <v>23563</v>
      </c>
      <c r="B609" s="1" t="s">
        <v>78</v>
      </c>
      <c r="C609" s="1" t="s">
        <v>85</v>
      </c>
      <c r="D609" s="3" t="s">
        <v>1</v>
      </c>
      <c r="E609" s="3" t="s">
        <v>6</v>
      </c>
      <c r="F609" s="6" t="s">
        <v>110</v>
      </c>
    </row>
    <row r="610" spans="1:9">
      <c r="A610" s="2">
        <v>23563</v>
      </c>
      <c r="B610" s="1" t="s">
        <v>343</v>
      </c>
      <c r="C610" s="1" t="s">
        <v>375</v>
      </c>
      <c r="D610" s="3" t="s">
        <v>1</v>
      </c>
      <c r="E610" s="3" t="s">
        <v>6</v>
      </c>
      <c r="F610" s="6" t="s">
        <v>110</v>
      </c>
      <c r="H610" s="1" t="s">
        <v>401</v>
      </c>
    </row>
    <row r="611" spans="1:9">
      <c r="A611" s="2">
        <v>23563</v>
      </c>
      <c r="B611" s="1" t="s">
        <v>284</v>
      </c>
      <c r="C611" s="1" t="s">
        <v>285</v>
      </c>
      <c r="D611" s="3" t="s">
        <v>1</v>
      </c>
      <c r="E611" s="3" t="s">
        <v>6</v>
      </c>
      <c r="F611" s="6" t="s">
        <v>110</v>
      </c>
    </row>
    <row r="612" spans="1:9">
      <c r="A612" s="2">
        <v>23563</v>
      </c>
      <c r="B612" s="1" t="s">
        <v>317</v>
      </c>
      <c r="C612" s="1" t="s">
        <v>319</v>
      </c>
      <c r="D612" s="3" t="s">
        <v>1</v>
      </c>
      <c r="E612" s="3" t="s">
        <v>6</v>
      </c>
      <c r="F612" s="6" t="s">
        <v>110</v>
      </c>
    </row>
    <row r="613" spans="1:9">
      <c r="A613" s="2">
        <v>23563</v>
      </c>
      <c r="B613" s="1" t="s">
        <v>304</v>
      </c>
      <c r="C613" s="1" t="s">
        <v>305</v>
      </c>
      <c r="D613" s="3" t="s">
        <v>2</v>
      </c>
      <c r="E613" s="3" t="s">
        <v>7</v>
      </c>
      <c r="F613" s="6" t="s">
        <v>119</v>
      </c>
    </row>
    <row r="614" spans="1:9">
      <c r="A614" s="2">
        <v>23563</v>
      </c>
      <c r="B614" s="1" t="s">
        <v>395</v>
      </c>
      <c r="C614" s="1" t="s">
        <v>118</v>
      </c>
      <c r="D614" s="3" t="s">
        <v>2</v>
      </c>
      <c r="E614" s="3" t="s">
        <v>7</v>
      </c>
      <c r="F614" s="6" t="s">
        <v>119</v>
      </c>
    </row>
    <row r="615" spans="1:9">
      <c r="A615" s="2">
        <v>23563</v>
      </c>
      <c r="B615" s="1" t="s">
        <v>11</v>
      </c>
      <c r="C615" s="1" t="s">
        <v>25</v>
      </c>
      <c r="D615" s="3" t="s">
        <v>2</v>
      </c>
      <c r="E615" s="3" t="s">
        <v>7</v>
      </c>
      <c r="F615" s="6" t="s">
        <v>119</v>
      </c>
    </row>
    <row r="616" spans="1:9">
      <c r="A616" s="2">
        <v>23563</v>
      </c>
      <c r="B616" s="1" t="s">
        <v>398</v>
      </c>
      <c r="C616" s="1" t="s">
        <v>402</v>
      </c>
      <c r="D616" s="3" t="s">
        <v>2</v>
      </c>
      <c r="E616" s="3" t="s">
        <v>7</v>
      </c>
      <c r="F616" s="6" t="s">
        <v>119</v>
      </c>
    </row>
    <row r="617" spans="1:9">
      <c r="A617" s="2">
        <v>23563</v>
      </c>
      <c r="B617" s="1" t="s">
        <v>189</v>
      </c>
      <c r="C617" s="1" t="s">
        <v>191</v>
      </c>
      <c r="D617" s="3" t="s">
        <v>2</v>
      </c>
      <c r="E617" s="3" t="s">
        <v>7</v>
      </c>
      <c r="F617" s="6" t="s">
        <v>119</v>
      </c>
    </row>
    <row r="618" spans="1:9">
      <c r="A618" s="2">
        <v>23563</v>
      </c>
      <c r="B618" s="1" t="s">
        <v>231</v>
      </c>
      <c r="C618" s="1" t="s">
        <v>232</v>
      </c>
      <c r="D618" s="3" t="s">
        <v>2</v>
      </c>
      <c r="E618" s="3" t="s">
        <v>7</v>
      </c>
      <c r="F618" s="6" t="s">
        <v>119</v>
      </c>
    </row>
    <row r="619" spans="1:9">
      <c r="A619" s="2">
        <v>23563</v>
      </c>
      <c r="B619" s="1" t="s">
        <v>321</v>
      </c>
      <c r="C619" s="1" t="s">
        <v>234</v>
      </c>
      <c r="D619" s="3" t="s">
        <v>2</v>
      </c>
      <c r="E619" s="3" t="s">
        <v>7</v>
      </c>
      <c r="F619" s="6" t="s">
        <v>119</v>
      </c>
    </row>
    <row r="620" spans="1:9">
      <c r="A620" s="2">
        <v>23563</v>
      </c>
      <c r="B620" s="1" t="s">
        <v>333</v>
      </c>
      <c r="C620" s="1" t="s">
        <v>339</v>
      </c>
      <c r="D620" s="3" t="s">
        <v>2</v>
      </c>
      <c r="E620" s="3" t="s">
        <v>7</v>
      </c>
      <c r="F620" s="6" t="s">
        <v>119</v>
      </c>
    </row>
    <row r="621" spans="1:9" ht="18">
      <c r="A621" s="16">
        <v>23564</v>
      </c>
      <c r="B621" s="13"/>
      <c r="C621" s="13"/>
      <c r="D621" s="14"/>
      <c r="E621" s="14"/>
      <c r="F621" s="15"/>
      <c r="G621" s="15"/>
      <c r="H621" s="13"/>
      <c r="I621" s="13"/>
    </row>
    <row r="622" spans="1:9">
      <c r="A622" s="2">
        <v>23564</v>
      </c>
      <c r="B622" s="1" t="s">
        <v>78</v>
      </c>
      <c r="C622" s="1" t="s">
        <v>85</v>
      </c>
      <c r="D622" s="3" t="s">
        <v>1</v>
      </c>
      <c r="E622" s="3" t="s">
        <v>6</v>
      </c>
      <c r="F622" s="6" t="s">
        <v>110</v>
      </c>
    </row>
    <row r="623" spans="1:9">
      <c r="A623" s="2">
        <v>23564</v>
      </c>
      <c r="B623" s="1" t="s">
        <v>256</v>
      </c>
      <c r="C623" s="1" t="s">
        <v>403</v>
      </c>
      <c r="D623" s="3" t="s">
        <v>1</v>
      </c>
      <c r="E623" s="3" t="s">
        <v>6</v>
      </c>
      <c r="F623" s="6" t="s">
        <v>110</v>
      </c>
    </row>
    <row r="624" spans="1:9">
      <c r="A624" s="2">
        <v>23564</v>
      </c>
      <c r="B624" s="1" t="s">
        <v>404</v>
      </c>
      <c r="C624" s="1" t="s">
        <v>339</v>
      </c>
      <c r="D624" s="3" t="s">
        <v>2</v>
      </c>
      <c r="E624" s="3" t="s">
        <v>7</v>
      </c>
      <c r="F624" s="6" t="s">
        <v>119</v>
      </c>
    </row>
    <row r="625" spans="1:9">
      <c r="A625" s="2">
        <v>23564</v>
      </c>
      <c r="B625" s="1" t="s">
        <v>321</v>
      </c>
      <c r="C625" s="1" t="s">
        <v>234</v>
      </c>
      <c r="D625" s="3" t="s">
        <v>2</v>
      </c>
      <c r="E625" s="3" t="s">
        <v>7</v>
      </c>
      <c r="F625" s="6" t="s">
        <v>119</v>
      </c>
    </row>
    <row r="626" spans="1:9">
      <c r="A626" s="2">
        <v>23564</v>
      </c>
      <c r="B626" s="1" t="s">
        <v>405</v>
      </c>
      <c r="C626" s="1" t="s">
        <v>406</v>
      </c>
      <c r="D626" s="3" t="s">
        <v>2</v>
      </c>
      <c r="E626" s="3" t="s">
        <v>7</v>
      </c>
      <c r="F626" s="6" t="s">
        <v>119</v>
      </c>
    </row>
    <row r="627" spans="1:9" ht="18">
      <c r="A627" s="16">
        <v>23565</v>
      </c>
      <c r="B627" s="13"/>
      <c r="C627" s="13"/>
      <c r="D627" s="14"/>
      <c r="E627" s="14"/>
      <c r="F627" s="15"/>
      <c r="G627" s="15"/>
      <c r="H627" s="13"/>
      <c r="I627" s="13"/>
    </row>
    <row r="628" spans="1:9">
      <c r="A628" s="2">
        <v>23565</v>
      </c>
      <c r="B628" s="1" t="s">
        <v>333</v>
      </c>
      <c r="C628" s="1" t="s">
        <v>399</v>
      </c>
      <c r="D628" s="3" t="s">
        <v>2</v>
      </c>
      <c r="E628" s="3" t="s">
        <v>7</v>
      </c>
      <c r="F628" s="6" t="s">
        <v>119</v>
      </c>
    </row>
    <row r="629" spans="1:9">
      <c r="A629" s="2">
        <v>23565</v>
      </c>
      <c r="B629" s="1" t="s">
        <v>196</v>
      </c>
      <c r="C629" s="1" t="s">
        <v>312</v>
      </c>
      <c r="D629" s="3" t="s">
        <v>2</v>
      </c>
      <c r="E629" s="3" t="s">
        <v>7</v>
      </c>
      <c r="F629" s="6" t="s">
        <v>119</v>
      </c>
    </row>
    <row r="630" spans="1:9">
      <c r="A630" s="2">
        <v>23565</v>
      </c>
      <c r="B630" s="1" t="s">
        <v>407</v>
      </c>
      <c r="C630" s="1" t="s">
        <v>408</v>
      </c>
      <c r="D630" s="3" t="s">
        <v>2</v>
      </c>
      <c r="E630" s="3" t="s">
        <v>7</v>
      </c>
      <c r="F630" s="6" t="s">
        <v>119</v>
      </c>
    </row>
    <row r="631" spans="1:9" ht="18">
      <c r="A631" s="16">
        <v>23566</v>
      </c>
      <c r="B631" s="13"/>
      <c r="C631" s="13"/>
      <c r="D631" s="14"/>
      <c r="E631" s="14"/>
      <c r="F631" s="15"/>
      <c r="G631" s="15"/>
      <c r="H631" s="13"/>
      <c r="I631" s="13"/>
    </row>
    <row r="632" spans="1:9">
      <c r="A632" s="2">
        <v>23566</v>
      </c>
      <c r="B632" s="1" t="s">
        <v>78</v>
      </c>
      <c r="C632" s="1" t="s">
        <v>85</v>
      </c>
      <c r="D632" s="3" t="s">
        <v>1</v>
      </c>
      <c r="E632" s="3" t="s">
        <v>6</v>
      </c>
      <c r="F632" s="6" t="s">
        <v>110</v>
      </c>
    </row>
    <row r="633" spans="1:9">
      <c r="A633" s="2">
        <v>23566</v>
      </c>
      <c r="B633" s="1" t="s">
        <v>159</v>
      </c>
      <c r="C633" s="1" t="s">
        <v>158</v>
      </c>
      <c r="D633" s="3" t="s">
        <v>1</v>
      </c>
      <c r="E633" s="3" t="s">
        <v>6</v>
      </c>
      <c r="F633" s="6" t="s">
        <v>110</v>
      </c>
    </row>
    <row r="634" spans="1:9">
      <c r="A634" s="2">
        <v>23566</v>
      </c>
      <c r="B634" s="1" t="s">
        <v>404</v>
      </c>
      <c r="C634" s="1" t="s">
        <v>339</v>
      </c>
      <c r="D634" s="3" t="s">
        <v>2</v>
      </c>
      <c r="E634" s="3" t="s">
        <v>7</v>
      </c>
      <c r="F634" s="6" t="s">
        <v>119</v>
      </c>
    </row>
    <row r="635" spans="1:9">
      <c r="A635" s="2">
        <v>23566</v>
      </c>
      <c r="B635" s="1" t="s">
        <v>409</v>
      </c>
      <c r="C635" s="1" t="s">
        <v>410</v>
      </c>
      <c r="D635" s="3" t="s">
        <v>2</v>
      </c>
      <c r="E635" s="3" t="s">
        <v>7</v>
      </c>
      <c r="F635" s="6" t="s">
        <v>119</v>
      </c>
    </row>
    <row r="636" spans="1:9" ht="18">
      <c r="A636" s="16">
        <v>23567</v>
      </c>
      <c r="B636" s="13"/>
      <c r="C636" s="13"/>
      <c r="D636" s="14"/>
      <c r="E636" s="14"/>
      <c r="F636" s="15"/>
      <c r="G636" s="15"/>
      <c r="H636" s="13"/>
      <c r="I636" s="13"/>
    </row>
    <row r="637" spans="1:9">
      <c r="A637" s="2">
        <v>23566</v>
      </c>
      <c r="B637" s="1" t="s">
        <v>78</v>
      </c>
      <c r="C637" s="1" t="s">
        <v>85</v>
      </c>
      <c r="D637" s="3" t="s">
        <v>1</v>
      </c>
      <c r="E637" s="3" t="s">
        <v>6</v>
      </c>
      <c r="F637" s="6" t="s">
        <v>110</v>
      </c>
    </row>
    <row r="638" spans="1:9">
      <c r="A638" s="2">
        <v>23566</v>
      </c>
      <c r="B638" s="1" t="s">
        <v>159</v>
      </c>
      <c r="C638" s="1" t="s">
        <v>158</v>
      </c>
      <c r="D638" s="3" t="s">
        <v>1</v>
      </c>
      <c r="E638" s="3" t="s">
        <v>6</v>
      </c>
      <c r="F638" s="6" t="s">
        <v>110</v>
      </c>
    </row>
    <row r="639" spans="1:9">
      <c r="A639" s="2">
        <v>23567</v>
      </c>
      <c r="B639" s="1" t="s">
        <v>411</v>
      </c>
      <c r="C639" s="1" t="s">
        <v>137</v>
      </c>
      <c r="D639" s="3" t="s">
        <v>2</v>
      </c>
      <c r="E639" s="3" t="s">
        <v>7</v>
      </c>
      <c r="F639" s="6" t="s">
        <v>119</v>
      </c>
    </row>
    <row r="640" spans="1:9">
      <c r="A640" s="2">
        <v>23567</v>
      </c>
      <c r="B640" s="1" t="s">
        <v>413</v>
      </c>
      <c r="C640" s="1" t="s">
        <v>412</v>
      </c>
      <c r="D640" s="3" t="s">
        <v>2</v>
      </c>
      <c r="E640" s="3" t="s">
        <v>7</v>
      </c>
      <c r="F640" s="6" t="s">
        <v>119</v>
      </c>
    </row>
    <row r="641" spans="1:9" ht="18">
      <c r="A641" s="16">
        <v>23568</v>
      </c>
      <c r="B641" s="13"/>
      <c r="C641" s="13"/>
      <c r="D641" s="14"/>
      <c r="E641" s="14"/>
      <c r="F641" s="15"/>
      <c r="G641" s="15"/>
      <c r="H641" s="13"/>
      <c r="I641" s="13"/>
    </row>
    <row r="642" spans="1:9">
      <c r="A642" s="2">
        <v>23567</v>
      </c>
      <c r="B642" s="1" t="s">
        <v>256</v>
      </c>
      <c r="C642" s="1" t="s">
        <v>342</v>
      </c>
      <c r="D642" s="3" t="s">
        <v>1</v>
      </c>
      <c r="E642" s="3" t="s">
        <v>6</v>
      </c>
      <c r="F642" s="6" t="s">
        <v>110</v>
      </c>
    </row>
    <row r="643" spans="1:9">
      <c r="A643" s="2">
        <v>23568</v>
      </c>
      <c r="B643" s="1" t="s">
        <v>58</v>
      </c>
      <c r="C643" s="1" t="s">
        <v>214</v>
      </c>
      <c r="D643" s="3" t="s">
        <v>1</v>
      </c>
      <c r="E643" s="3" t="s">
        <v>6</v>
      </c>
      <c r="F643" s="6" t="s">
        <v>110</v>
      </c>
    </row>
    <row r="644" spans="1:9">
      <c r="A644" s="2">
        <v>23568</v>
      </c>
      <c r="B644" s="1" t="s">
        <v>57</v>
      </c>
      <c r="C644" s="1" t="s">
        <v>414</v>
      </c>
      <c r="D644" s="3" t="s">
        <v>1</v>
      </c>
      <c r="E644" s="3" t="s">
        <v>6</v>
      </c>
      <c r="F644" s="6" t="s">
        <v>110</v>
      </c>
    </row>
    <row r="645" spans="1:9">
      <c r="A645" s="2">
        <v>23568</v>
      </c>
      <c r="B645" s="1" t="s">
        <v>159</v>
      </c>
      <c r="C645" s="1" t="s">
        <v>415</v>
      </c>
      <c r="D645" s="3" t="s">
        <v>1</v>
      </c>
      <c r="E645" s="3" t="s">
        <v>6</v>
      </c>
      <c r="F645" s="6" t="s">
        <v>110</v>
      </c>
    </row>
    <row r="646" spans="1:9">
      <c r="A646" s="2">
        <v>23568</v>
      </c>
      <c r="B646" s="1" t="s">
        <v>78</v>
      </c>
      <c r="C646" s="1" t="s">
        <v>85</v>
      </c>
      <c r="D646" s="3" t="s">
        <v>1</v>
      </c>
      <c r="E646" s="3" t="s">
        <v>6</v>
      </c>
      <c r="F646" s="6" t="s">
        <v>110</v>
      </c>
    </row>
    <row r="647" spans="1:9" ht="18">
      <c r="A647" s="16">
        <v>23569</v>
      </c>
      <c r="B647" s="13"/>
      <c r="C647" s="13"/>
      <c r="D647" s="14"/>
      <c r="E647" s="14"/>
      <c r="F647" s="15"/>
      <c r="G647" s="15"/>
      <c r="H647" s="13"/>
      <c r="I647" s="13"/>
    </row>
    <row r="648" spans="1:9">
      <c r="A648" s="2">
        <v>23569</v>
      </c>
      <c r="B648" s="1" t="s">
        <v>58</v>
      </c>
      <c r="C648" s="1" t="s">
        <v>214</v>
      </c>
      <c r="D648" s="3" t="s">
        <v>1</v>
      </c>
      <c r="E648" s="3" t="s">
        <v>6</v>
      </c>
      <c r="F648" s="6" t="s">
        <v>110</v>
      </c>
    </row>
    <row r="649" spans="1:9">
      <c r="A649" s="2">
        <v>23569</v>
      </c>
      <c r="B649" s="1" t="s">
        <v>159</v>
      </c>
      <c r="C649" s="1" t="s">
        <v>158</v>
      </c>
      <c r="D649" s="3" t="s">
        <v>1</v>
      </c>
      <c r="E649" s="3" t="s">
        <v>6</v>
      </c>
      <c r="F649" s="6" t="s">
        <v>110</v>
      </c>
    </row>
    <row r="650" spans="1:9">
      <c r="A650" s="2">
        <v>23569</v>
      </c>
      <c r="B650" s="1" t="s">
        <v>369</v>
      </c>
      <c r="C650" s="1" t="s">
        <v>421</v>
      </c>
      <c r="D650" s="3" t="s">
        <v>1</v>
      </c>
      <c r="E650" s="3" t="s">
        <v>6</v>
      </c>
      <c r="F650" s="6" t="s">
        <v>110</v>
      </c>
    </row>
    <row r="651" spans="1:9">
      <c r="A651" s="2">
        <v>23569</v>
      </c>
      <c r="B651" s="1" t="s">
        <v>54</v>
      </c>
      <c r="C651" s="1" t="s">
        <v>422</v>
      </c>
      <c r="D651" s="3" t="s">
        <v>1</v>
      </c>
      <c r="E651" s="3" t="s">
        <v>6</v>
      </c>
      <c r="F651" s="6" t="s">
        <v>110</v>
      </c>
    </row>
    <row r="652" spans="1:9">
      <c r="A652" s="2">
        <v>23569</v>
      </c>
      <c r="B652" s="1" t="s">
        <v>416</v>
      </c>
      <c r="C652" s="1" t="s">
        <v>423</v>
      </c>
      <c r="D652" s="3" t="s">
        <v>1</v>
      </c>
      <c r="E652" s="3" t="s">
        <v>6</v>
      </c>
      <c r="F652" s="6" t="s">
        <v>110</v>
      </c>
    </row>
    <row r="653" spans="1:9">
      <c r="A653" s="2">
        <v>23569</v>
      </c>
      <c r="B653" s="1" t="s">
        <v>268</v>
      </c>
      <c r="C653" s="1" t="s">
        <v>269</v>
      </c>
      <c r="D653" s="3" t="s">
        <v>1</v>
      </c>
      <c r="E653" s="3" t="s">
        <v>6</v>
      </c>
      <c r="F653" s="6" t="s">
        <v>110</v>
      </c>
    </row>
    <row r="654" spans="1:9">
      <c r="A654" s="2">
        <v>23569</v>
      </c>
      <c r="B654" s="1" t="s">
        <v>417</v>
      </c>
      <c r="C654" s="1" t="s">
        <v>424</v>
      </c>
      <c r="D654" s="3" t="s">
        <v>1</v>
      </c>
      <c r="E654" s="3" t="s">
        <v>6</v>
      </c>
      <c r="F654" s="6" t="s">
        <v>110</v>
      </c>
    </row>
    <row r="655" spans="1:9">
      <c r="A655" s="2">
        <v>23569</v>
      </c>
      <c r="B655" s="1" t="s">
        <v>208</v>
      </c>
      <c r="C655" s="1" t="s">
        <v>342</v>
      </c>
      <c r="D655" s="3" t="s">
        <v>1</v>
      </c>
      <c r="E655" s="3" t="s">
        <v>6</v>
      </c>
      <c r="F655" s="6" t="s">
        <v>110</v>
      </c>
    </row>
    <row r="656" spans="1:9">
      <c r="A656" s="2">
        <v>23569</v>
      </c>
      <c r="B656" s="1" t="s">
        <v>418</v>
      </c>
      <c r="C656" s="1" t="s">
        <v>425</v>
      </c>
      <c r="D656" s="3" t="s">
        <v>1</v>
      </c>
      <c r="E656" s="3" t="s">
        <v>6</v>
      </c>
      <c r="F656" s="6" t="s">
        <v>110</v>
      </c>
    </row>
    <row r="657" spans="1:9">
      <c r="A657" s="2">
        <v>23569</v>
      </c>
      <c r="B657" s="1" t="s">
        <v>78</v>
      </c>
      <c r="C657" s="1" t="s">
        <v>85</v>
      </c>
      <c r="D657" s="3" t="s">
        <v>1</v>
      </c>
      <c r="E657" s="3" t="s">
        <v>6</v>
      </c>
      <c r="F657" s="6" t="s">
        <v>110</v>
      </c>
    </row>
    <row r="658" spans="1:9">
      <c r="A658" s="2">
        <v>23569</v>
      </c>
      <c r="B658" s="1" t="s">
        <v>206</v>
      </c>
      <c r="C658" s="1" t="s">
        <v>331</v>
      </c>
      <c r="D658" s="3" t="s">
        <v>1</v>
      </c>
      <c r="E658" s="3" t="s">
        <v>6</v>
      </c>
      <c r="F658" s="6" t="s">
        <v>110</v>
      </c>
    </row>
    <row r="659" spans="1:9">
      <c r="A659" s="2">
        <v>23569</v>
      </c>
      <c r="B659" s="1" t="s">
        <v>419</v>
      </c>
      <c r="C659" s="1" t="s">
        <v>426</v>
      </c>
      <c r="D659" s="3" t="s">
        <v>1</v>
      </c>
      <c r="E659" s="3" t="s">
        <v>6</v>
      </c>
      <c r="F659" s="6" t="s">
        <v>110</v>
      </c>
    </row>
    <row r="660" spans="1:9">
      <c r="A660" s="2">
        <v>23569</v>
      </c>
      <c r="B660" s="1" t="s">
        <v>257</v>
      </c>
      <c r="C660" s="1" t="s">
        <v>258</v>
      </c>
      <c r="D660" s="3" t="s">
        <v>1</v>
      </c>
      <c r="E660" s="3" t="s">
        <v>6</v>
      </c>
      <c r="F660" s="6" t="s">
        <v>110</v>
      </c>
    </row>
    <row r="661" spans="1:9">
      <c r="A661" s="2">
        <v>23569</v>
      </c>
      <c r="B661" s="1" t="s">
        <v>165</v>
      </c>
      <c r="C661" s="1" t="s">
        <v>127</v>
      </c>
      <c r="D661" s="3" t="s">
        <v>1</v>
      </c>
      <c r="E661" s="3" t="s">
        <v>6</v>
      </c>
      <c r="F661" s="6" t="s">
        <v>110</v>
      </c>
    </row>
    <row r="662" spans="1:9">
      <c r="A662" s="2">
        <v>23569</v>
      </c>
      <c r="B662" s="1" t="s">
        <v>166</v>
      </c>
      <c r="C662" s="1" t="s">
        <v>127</v>
      </c>
      <c r="D662" s="3" t="s">
        <v>1</v>
      </c>
      <c r="E662" s="3" t="s">
        <v>6</v>
      </c>
      <c r="F662" s="6" t="s">
        <v>110</v>
      </c>
    </row>
    <row r="663" spans="1:9">
      <c r="A663" s="2">
        <v>23569</v>
      </c>
      <c r="B663" s="1" t="s">
        <v>51</v>
      </c>
      <c r="C663" s="1" t="s">
        <v>127</v>
      </c>
      <c r="D663" s="3" t="s">
        <v>1</v>
      </c>
      <c r="E663" s="3" t="s">
        <v>6</v>
      </c>
      <c r="F663" s="6" t="s">
        <v>110</v>
      </c>
    </row>
    <row r="664" spans="1:9">
      <c r="A664" s="2">
        <v>23569</v>
      </c>
      <c r="B664" s="1" t="s">
        <v>420</v>
      </c>
      <c r="C664" s="1" t="s">
        <v>224</v>
      </c>
      <c r="D664" s="3" t="s">
        <v>2</v>
      </c>
      <c r="E664" s="3" t="s">
        <v>7</v>
      </c>
      <c r="F664" s="6" t="s">
        <v>119</v>
      </c>
    </row>
    <row r="665" spans="1:9">
      <c r="A665" s="2">
        <v>23569</v>
      </c>
      <c r="B665" s="1" t="s">
        <v>189</v>
      </c>
      <c r="C665" s="1" t="s">
        <v>191</v>
      </c>
      <c r="D665" s="3" t="s">
        <v>2</v>
      </c>
      <c r="E665" s="3" t="s">
        <v>7</v>
      </c>
      <c r="F665" s="6" t="s">
        <v>119</v>
      </c>
    </row>
    <row r="666" spans="1:9">
      <c r="A666" s="2">
        <v>23569</v>
      </c>
      <c r="B666" s="1" t="s">
        <v>215</v>
      </c>
      <c r="C666" s="1" t="s">
        <v>213</v>
      </c>
      <c r="D666" s="3" t="s">
        <v>2</v>
      </c>
      <c r="E666" s="3" t="s">
        <v>7</v>
      </c>
      <c r="F666" s="6" t="s">
        <v>119</v>
      </c>
    </row>
    <row r="667" spans="1:9" ht="18">
      <c r="A667" s="16">
        <v>23570</v>
      </c>
      <c r="B667" s="13"/>
      <c r="C667" s="13"/>
      <c r="D667" s="14"/>
      <c r="E667" s="14"/>
      <c r="F667" s="15"/>
      <c r="G667" s="15"/>
      <c r="H667" s="13"/>
      <c r="I667" s="13"/>
    </row>
    <row r="668" spans="1:9">
      <c r="A668" s="2">
        <v>23569</v>
      </c>
      <c r="B668" s="1" t="s">
        <v>165</v>
      </c>
      <c r="C668" s="1" t="s">
        <v>127</v>
      </c>
      <c r="D668" s="3" t="s">
        <v>1</v>
      </c>
      <c r="E668" s="3" t="s">
        <v>6</v>
      </c>
      <c r="F668" s="6" t="s">
        <v>110</v>
      </c>
    </row>
    <row r="669" spans="1:9">
      <c r="A669" s="2">
        <v>23569</v>
      </c>
      <c r="B669" s="1" t="s">
        <v>166</v>
      </c>
      <c r="C669" s="1" t="s">
        <v>127</v>
      </c>
      <c r="D669" s="3" t="s">
        <v>1</v>
      </c>
      <c r="E669" s="3" t="s">
        <v>6</v>
      </c>
      <c r="F669" s="6" t="s">
        <v>110</v>
      </c>
    </row>
    <row r="670" spans="1:9">
      <c r="A670" s="2">
        <v>23569</v>
      </c>
      <c r="B670" s="1" t="s">
        <v>51</v>
      </c>
      <c r="C670" s="1" t="s">
        <v>127</v>
      </c>
      <c r="D670" s="3" t="s">
        <v>1</v>
      </c>
      <c r="E670" s="3" t="s">
        <v>6</v>
      </c>
      <c r="F670" s="6" t="s">
        <v>110</v>
      </c>
    </row>
    <row r="671" spans="1:9">
      <c r="A671" s="2">
        <v>23569</v>
      </c>
      <c r="B671" s="1" t="s">
        <v>268</v>
      </c>
      <c r="C671" s="1" t="s">
        <v>269</v>
      </c>
      <c r="D671" s="3" t="s">
        <v>1</v>
      </c>
      <c r="E671" s="3" t="s">
        <v>6</v>
      </c>
      <c r="F671" s="6" t="s">
        <v>110</v>
      </c>
    </row>
    <row r="672" spans="1:9">
      <c r="A672" s="2">
        <v>23569</v>
      </c>
      <c r="B672" s="1" t="s">
        <v>416</v>
      </c>
      <c r="C672" s="1" t="s">
        <v>423</v>
      </c>
      <c r="D672" s="3" t="s">
        <v>1</v>
      </c>
      <c r="E672" s="3" t="s">
        <v>6</v>
      </c>
      <c r="F672" s="6" t="s">
        <v>110</v>
      </c>
    </row>
    <row r="673" spans="1:9">
      <c r="A673" s="2">
        <v>23569</v>
      </c>
      <c r="B673" s="1" t="s">
        <v>58</v>
      </c>
      <c r="C673" s="1" t="s">
        <v>214</v>
      </c>
      <c r="D673" s="3" t="s">
        <v>1</v>
      </c>
      <c r="E673" s="3" t="s">
        <v>6</v>
      </c>
      <c r="F673" s="6" t="s">
        <v>110</v>
      </c>
    </row>
    <row r="674" spans="1:9">
      <c r="A674" s="2">
        <v>23569</v>
      </c>
      <c r="B674" s="1" t="s">
        <v>427</v>
      </c>
      <c r="C674" s="1" t="s">
        <v>213</v>
      </c>
      <c r="D674" s="3" t="s">
        <v>1</v>
      </c>
      <c r="E674" s="3" t="s">
        <v>6</v>
      </c>
      <c r="F674" s="6" t="s">
        <v>110</v>
      </c>
    </row>
    <row r="675" spans="1:9">
      <c r="A675" s="2">
        <v>23570</v>
      </c>
      <c r="B675" s="1" t="s">
        <v>78</v>
      </c>
      <c r="C675" s="1" t="s">
        <v>85</v>
      </c>
      <c r="D675" s="3" t="s">
        <v>1</v>
      </c>
      <c r="E675" s="3" t="s">
        <v>6</v>
      </c>
      <c r="F675" s="6" t="s">
        <v>110</v>
      </c>
    </row>
    <row r="676" spans="1:9">
      <c r="A676" s="2">
        <v>23570</v>
      </c>
      <c r="B676" s="1" t="s">
        <v>159</v>
      </c>
      <c r="C676" s="1" t="s">
        <v>158</v>
      </c>
      <c r="D676" s="3" t="s">
        <v>1</v>
      </c>
      <c r="E676" s="3" t="s">
        <v>6</v>
      </c>
      <c r="F676" s="6" t="s">
        <v>110</v>
      </c>
    </row>
    <row r="677" spans="1:9">
      <c r="A677" s="2">
        <v>23570</v>
      </c>
      <c r="B677" s="1" t="s">
        <v>57</v>
      </c>
      <c r="C677" s="1" t="s">
        <v>64</v>
      </c>
      <c r="D677" s="3" t="s">
        <v>1</v>
      </c>
      <c r="E677" s="3" t="s">
        <v>6</v>
      </c>
      <c r="F677" s="6" t="s">
        <v>110</v>
      </c>
    </row>
    <row r="678" spans="1:9">
      <c r="A678" s="2">
        <v>23570</v>
      </c>
      <c r="B678" s="1" t="s">
        <v>236</v>
      </c>
      <c r="C678" s="1" t="s">
        <v>237</v>
      </c>
      <c r="D678" s="3" t="s">
        <v>1</v>
      </c>
      <c r="E678" s="3" t="s">
        <v>6</v>
      </c>
      <c r="F678" s="6" t="s">
        <v>110</v>
      </c>
    </row>
    <row r="679" spans="1:9">
      <c r="A679" s="2">
        <v>23570</v>
      </c>
      <c r="B679" s="1" t="s">
        <v>256</v>
      </c>
      <c r="C679" s="1" t="s">
        <v>342</v>
      </c>
      <c r="D679" s="3" t="s">
        <v>1</v>
      </c>
      <c r="E679" s="3" t="s">
        <v>6</v>
      </c>
      <c r="F679" s="6" t="s">
        <v>110</v>
      </c>
    </row>
    <row r="680" spans="1:9">
      <c r="A680" s="2">
        <v>23570</v>
      </c>
      <c r="B680" s="1" t="s">
        <v>132</v>
      </c>
      <c r="C680" s="1" t="s">
        <v>390</v>
      </c>
      <c r="D680" s="3" t="s">
        <v>2</v>
      </c>
      <c r="E680" s="3" t="s">
        <v>7</v>
      </c>
      <c r="F680" s="6" t="s">
        <v>119</v>
      </c>
    </row>
    <row r="681" spans="1:9" ht="18">
      <c r="A681" s="16">
        <v>23571</v>
      </c>
      <c r="B681" s="13"/>
      <c r="C681" s="13"/>
      <c r="D681" s="14"/>
      <c r="E681" s="14"/>
      <c r="F681" s="15"/>
      <c r="G681" s="15"/>
      <c r="H681" s="13"/>
      <c r="I681" s="13"/>
    </row>
    <row r="682" spans="1:9">
      <c r="A682" s="2">
        <v>23571</v>
      </c>
      <c r="B682" s="1" t="s">
        <v>78</v>
      </c>
      <c r="C682" s="1" t="s">
        <v>85</v>
      </c>
      <c r="D682" s="3" t="s">
        <v>1</v>
      </c>
      <c r="E682" s="3" t="s">
        <v>6</v>
      </c>
      <c r="F682" s="6" t="s">
        <v>110</v>
      </c>
    </row>
    <row r="683" spans="1:9">
      <c r="A683" s="2">
        <v>23571</v>
      </c>
      <c r="B683" s="1" t="s">
        <v>256</v>
      </c>
      <c r="C683" s="1" t="s">
        <v>342</v>
      </c>
      <c r="D683" s="3" t="s">
        <v>1</v>
      </c>
      <c r="E683" s="3" t="s">
        <v>6</v>
      </c>
      <c r="F683" s="6" t="s">
        <v>110</v>
      </c>
    </row>
    <row r="684" spans="1:9">
      <c r="A684" s="2">
        <v>23571</v>
      </c>
      <c r="B684" s="1" t="s">
        <v>159</v>
      </c>
      <c r="C684" s="1" t="s">
        <v>158</v>
      </c>
      <c r="D684" s="3" t="s">
        <v>1</v>
      </c>
      <c r="E684" s="3" t="s">
        <v>6</v>
      </c>
      <c r="F684" s="6" t="s">
        <v>110</v>
      </c>
    </row>
    <row r="685" spans="1:9">
      <c r="A685" s="2">
        <v>23571</v>
      </c>
      <c r="B685" s="1" t="s">
        <v>268</v>
      </c>
      <c r="C685" s="1" t="s">
        <v>269</v>
      </c>
      <c r="D685" s="3" t="s">
        <v>1</v>
      </c>
      <c r="E685" s="3" t="s">
        <v>6</v>
      </c>
      <c r="F685" s="6" t="s">
        <v>110</v>
      </c>
    </row>
    <row r="686" spans="1:9">
      <c r="A686" s="2">
        <v>23571</v>
      </c>
      <c r="B686" s="1" t="s">
        <v>428</v>
      </c>
      <c r="C686" s="1" t="s">
        <v>429</v>
      </c>
      <c r="D686" s="3" t="s">
        <v>2</v>
      </c>
      <c r="E686" s="3" t="s">
        <v>7</v>
      </c>
      <c r="F686" s="6" t="s">
        <v>119</v>
      </c>
    </row>
    <row r="687" spans="1:9">
      <c r="A687" s="2">
        <v>23571</v>
      </c>
      <c r="B687" s="1" t="s">
        <v>372</v>
      </c>
      <c r="C687" s="1" t="s">
        <v>378</v>
      </c>
      <c r="D687" s="3" t="s">
        <v>2</v>
      </c>
      <c r="E687" s="3" t="s">
        <v>7</v>
      </c>
      <c r="F687" s="6" t="s">
        <v>119</v>
      </c>
    </row>
    <row r="688" spans="1:9">
      <c r="A688" s="2">
        <v>23571</v>
      </c>
      <c r="B688" s="1" t="s">
        <v>371</v>
      </c>
      <c r="C688" s="1" t="s">
        <v>430</v>
      </c>
      <c r="D688" s="3" t="s">
        <v>2</v>
      </c>
      <c r="E688" s="3" t="s">
        <v>7</v>
      </c>
      <c r="F688" s="6" t="s">
        <v>119</v>
      </c>
    </row>
    <row r="689" spans="1:9">
      <c r="A689" s="28">
        <v>23572</v>
      </c>
      <c r="B689" s="13"/>
      <c r="C689" s="13"/>
      <c r="D689" s="14"/>
      <c r="E689" s="14"/>
      <c r="F689" s="15"/>
      <c r="G689" s="15"/>
      <c r="H689" s="13"/>
      <c r="I689" s="13"/>
    </row>
    <row r="690" spans="1:9">
      <c r="A690" s="2">
        <v>23572</v>
      </c>
      <c r="B690" s="1" t="s">
        <v>159</v>
      </c>
      <c r="C690" s="1" t="s">
        <v>158</v>
      </c>
      <c r="D690" s="3" t="s">
        <v>1</v>
      </c>
      <c r="E690" s="3" t="s">
        <v>6</v>
      </c>
      <c r="F690" s="6" t="s">
        <v>110</v>
      </c>
    </row>
    <row r="691" spans="1:9">
      <c r="A691" s="2">
        <v>23572</v>
      </c>
      <c r="B691" s="1" t="s">
        <v>256</v>
      </c>
      <c r="C691" s="1" t="s">
        <v>342</v>
      </c>
      <c r="D691" s="3" t="s">
        <v>1</v>
      </c>
      <c r="E691" s="3" t="s">
        <v>6</v>
      </c>
      <c r="F691" s="6" t="s">
        <v>110</v>
      </c>
    </row>
    <row r="692" spans="1:9">
      <c r="A692" s="2">
        <v>23572</v>
      </c>
      <c r="B692" s="1" t="s">
        <v>268</v>
      </c>
      <c r="C692" s="1" t="s">
        <v>269</v>
      </c>
      <c r="D692" s="3" t="s">
        <v>1</v>
      </c>
      <c r="E692" s="3" t="s">
        <v>6</v>
      </c>
      <c r="F692" s="6" t="s">
        <v>110</v>
      </c>
    </row>
    <row r="693" spans="1:9">
      <c r="A693" s="2">
        <v>23572</v>
      </c>
      <c r="B693" s="1" t="s">
        <v>78</v>
      </c>
      <c r="C693" s="1" t="s">
        <v>85</v>
      </c>
      <c r="D693" s="3" t="s">
        <v>1</v>
      </c>
      <c r="E693" s="3" t="s">
        <v>6</v>
      </c>
      <c r="F693" s="6" t="s">
        <v>110</v>
      </c>
    </row>
    <row r="694" spans="1:9">
      <c r="A694" s="2">
        <v>23572</v>
      </c>
      <c r="B694" s="1" t="s">
        <v>266</v>
      </c>
      <c r="C694" s="1" t="s">
        <v>391</v>
      </c>
      <c r="D694" s="3" t="s">
        <v>1</v>
      </c>
      <c r="E694" s="3" t="s">
        <v>6</v>
      </c>
      <c r="F694" s="6" t="s">
        <v>110</v>
      </c>
    </row>
    <row r="695" spans="1:9">
      <c r="A695" s="2">
        <v>23572</v>
      </c>
      <c r="B695" s="1" t="s">
        <v>388</v>
      </c>
      <c r="C695" s="1" t="s">
        <v>391</v>
      </c>
      <c r="D695" s="3" t="s">
        <v>1</v>
      </c>
      <c r="E695" s="3" t="s">
        <v>6</v>
      </c>
      <c r="F695" s="6" t="s">
        <v>110</v>
      </c>
    </row>
    <row r="696" spans="1:9">
      <c r="A696" s="2">
        <v>23572</v>
      </c>
      <c r="B696" s="1" t="s">
        <v>58</v>
      </c>
      <c r="C696" s="1" t="s">
        <v>214</v>
      </c>
      <c r="D696" s="3" t="s">
        <v>1</v>
      </c>
      <c r="E696" s="3" t="s">
        <v>6</v>
      </c>
      <c r="F696" s="6" t="s">
        <v>110</v>
      </c>
    </row>
    <row r="697" spans="1:9">
      <c r="A697" s="2">
        <v>23572</v>
      </c>
      <c r="B697" s="1" t="s">
        <v>284</v>
      </c>
      <c r="C697" s="1" t="s">
        <v>357</v>
      </c>
      <c r="D697" s="3" t="s">
        <v>1</v>
      </c>
      <c r="E697" s="3" t="s">
        <v>6</v>
      </c>
      <c r="F697" s="6" t="s">
        <v>110</v>
      </c>
    </row>
    <row r="698" spans="1:9">
      <c r="A698" s="2">
        <v>23572</v>
      </c>
      <c r="B698" s="1" t="s">
        <v>431</v>
      </c>
      <c r="C698" s="1" t="s">
        <v>433</v>
      </c>
      <c r="D698" s="3" t="s">
        <v>1</v>
      </c>
      <c r="E698" s="3" t="s">
        <v>6</v>
      </c>
      <c r="F698" s="6" t="s">
        <v>110</v>
      </c>
    </row>
    <row r="699" spans="1:9">
      <c r="A699" s="2">
        <v>23572</v>
      </c>
      <c r="B699" s="1" t="s">
        <v>432</v>
      </c>
      <c r="C699" s="1" t="s">
        <v>434</v>
      </c>
      <c r="D699" s="3" t="s">
        <v>1</v>
      </c>
      <c r="E699" s="3" t="s">
        <v>6</v>
      </c>
      <c r="F699" s="6" t="s">
        <v>110</v>
      </c>
    </row>
    <row r="700" spans="1:9">
      <c r="A700" s="2">
        <v>23572</v>
      </c>
      <c r="B700" s="1" t="s">
        <v>352</v>
      </c>
      <c r="C700" s="1" t="s">
        <v>435</v>
      </c>
      <c r="D700" s="3" t="s">
        <v>1</v>
      </c>
      <c r="E700" s="3" t="s">
        <v>6</v>
      </c>
      <c r="F700" s="6" t="s">
        <v>110</v>
      </c>
    </row>
    <row r="701" spans="1:9">
      <c r="A701" s="2">
        <v>23572</v>
      </c>
      <c r="B701" s="1" t="s">
        <v>11</v>
      </c>
      <c r="C701" s="1" t="s">
        <v>25</v>
      </c>
      <c r="D701" s="3" t="s">
        <v>2</v>
      </c>
      <c r="E701" s="3" t="s">
        <v>7</v>
      </c>
      <c r="F701" s="6" t="s">
        <v>119</v>
      </c>
    </row>
    <row r="702" spans="1:9">
      <c r="A702" s="2">
        <v>23572</v>
      </c>
      <c r="B702" s="1" t="s">
        <v>428</v>
      </c>
      <c r="C702" s="1" t="s">
        <v>385</v>
      </c>
      <c r="D702" s="3" t="s">
        <v>2</v>
      </c>
      <c r="E702" s="3" t="s">
        <v>7</v>
      </c>
      <c r="F702" s="6" t="s">
        <v>119</v>
      </c>
    </row>
    <row r="703" spans="1:9">
      <c r="A703" s="2">
        <v>23572</v>
      </c>
      <c r="B703" s="1" t="s">
        <v>371</v>
      </c>
      <c r="C703" s="1" t="s">
        <v>377</v>
      </c>
      <c r="D703" s="3" t="s">
        <v>2</v>
      </c>
      <c r="E703" s="3" t="s">
        <v>7</v>
      </c>
      <c r="F703" s="6" t="s">
        <v>119</v>
      </c>
    </row>
    <row r="704" spans="1:9">
      <c r="A704" s="28">
        <v>23573</v>
      </c>
      <c r="B704" s="13"/>
      <c r="C704" s="13"/>
      <c r="D704" s="14"/>
      <c r="E704" s="14"/>
      <c r="F704" s="15"/>
      <c r="G704" s="15"/>
      <c r="H704" s="13"/>
      <c r="I704" s="13"/>
    </row>
    <row r="705" spans="1:9">
      <c r="A705" s="2">
        <v>23573</v>
      </c>
      <c r="B705" s="1" t="s">
        <v>159</v>
      </c>
      <c r="C705" s="1" t="s">
        <v>158</v>
      </c>
      <c r="D705" s="3" t="s">
        <v>1</v>
      </c>
      <c r="E705" s="3" t="s">
        <v>6</v>
      </c>
      <c r="F705" s="6" t="s">
        <v>110</v>
      </c>
    </row>
    <row r="706" spans="1:9">
      <c r="A706" s="2">
        <v>23573</v>
      </c>
      <c r="B706" s="1" t="s">
        <v>256</v>
      </c>
      <c r="C706" s="1" t="s">
        <v>342</v>
      </c>
      <c r="D706" s="3" t="s">
        <v>1</v>
      </c>
      <c r="E706" s="3" t="s">
        <v>6</v>
      </c>
      <c r="F706" s="6" t="s">
        <v>110</v>
      </c>
    </row>
    <row r="707" spans="1:9">
      <c r="A707" s="2">
        <v>23573</v>
      </c>
      <c r="B707" s="1" t="s">
        <v>268</v>
      </c>
      <c r="C707" s="1" t="s">
        <v>269</v>
      </c>
      <c r="D707" s="3" t="s">
        <v>1</v>
      </c>
      <c r="E707" s="3" t="s">
        <v>6</v>
      </c>
      <c r="F707" s="6" t="s">
        <v>110</v>
      </c>
    </row>
    <row r="708" spans="1:9">
      <c r="A708" s="2">
        <v>23573</v>
      </c>
      <c r="B708" s="1" t="s">
        <v>78</v>
      </c>
      <c r="C708" s="1" t="s">
        <v>85</v>
      </c>
      <c r="D708" s="3" t="s">
        <v>1</v>
      </c>
      <c r="E708" s="3" t="s">
        <v>6</v>
      </c>
      <c r="F708" s="6" t="s">
        <v>110</v>
      </c>
    </row>
    <row r="709" spans="1:9">
      <c r="A709" s="2">
        <v>23573</v>
      </c>
      <c r="B709" s="1" t="s">
        <v>284</v>
      </c>
      <c r="C709" s="1" t="s">
        <v>285</v>
      </c>
      <c r="D709" s="3" t="s">
        <v>1</v>
      </c>
      <c r="E709" s="3" t="s">
        <v>6</v>
      </c>
      <c r="F709" s="6" t="s">
        <v>110</v>
      </c>
    </row>
    <row r="710" spans="1:9">
      <c r="A710" s="2">
        <v>23573</v>
      </c>
      <c r="B710" s="1" t="s">
        <v>206</v>
      </c>
      <c r="C710" s="1" t="s">
        <v>210</v>
      </c>
      <c r="D710" s="3" t="s">
        <v>1</v>
      </c>
      <c r="E710" s="3" t="s">
        <v>6</v>
      </c>
      <c r="F710" s="6" t="s">
        <v>110</v>
      </c>
    </row>
    <row r="711" spans="1:9">
      <c r="A711" s="2">
        <v>23573</v>
      </c>
      <c r="B711" s="1" t="s">
        <v>372</v>
      </c>
      <c r="C711" s="1" t="s">
        <v>378</v>
      </c>
      <c r="D711" s="3" t="s">
        <v>1</v>
      </c>
      <c r="E711" s="3" t="s">
        <v>6</v>
      </c>
      <c r="F711" s="6" t="s">
        <v>110</v>
      </c>
    </row>
    <row r="712" spans="1:9">
      <c r="A712" s="2">
        <v>23573</v>
      </c>
      <c r="B712" s="1" t="s">
        <v>416</v>
      </c>
      <c r="C712" s="1" t="s">
        <v>423</v>
      </c>
      <c r="D712" s="3" t="s">
        <v>1</v>
      </c>
      <c r="E712" s="3" t="s">
        <v>6</v>
      </c>
      <c r="F712" s="6" t="s">
        <v>110</v>
      </c>
    </row>
    <row r="713" spans="1:9">
      <c r="A713" s="2">
        <v>23573</v>
      </c>
      <c r="B713" s="1" t="s">
        <v>361</v>
      </c>
      <c r="C713" s="1" t="s">
        <v>34</v>
      </c>
      <c r="D713" s="3" t="s">
        <v>2</v>
      </c>
      <c r="E713" s="3" t="s">
        <v>7</v>
      </c>
      <c r="F713" s="6" t="s">
        <v>119</v>
      </c>
    </row>
    <row r="714" spans="1:9">
      <c r="A714" s="2">
        <v>23573</v>
      </c>
      <c r="B714" s="1" t="s">
        <v>436</v>
      </c>
      <c r="C714" s="1" t="s">
        <v>25</v>
      </c>
      <c r="D714" s="3" t="s">
        <v>2</v>
      </c>
      <c r="E714" s="3" t="s">
        <v>7</v>
      </c>
      <c r="F714" s="6" t="s">
        <v>119</v>
      </c>
    </row>
    <row r="715" spans="1:9">
      <c r="A715" s="2">
        <v>23573</v>
      </c>
      <c r="B715" s="1" t="s">
        <v>271</v>
      </c>
      <c r="C715" s="1" t="s">
        <v>272</v>
      </c>
      <c r="D715" s="3" t="s">
        <v>2</v>
      </c>
      <c r="E715" s="3" t="s">
        <v>7</v>
      </c>
      <c r="F715" s="6" t="s">
        <v>119</v>
      </c>
    </row>
    <row r="716" spans="1:9">
      <c r="A716" s="28">
        <v>23574</v>
      </c>
      <c r="B716" s="13"/>
      <c r="C716" s="13"/>
      <c r="D716" s="14"/>
      <c r="E716" s="14"/>
      <c r="F716" s="15"/>
      <c r="G716" s="15"/>
      <c r="H716" s="13"/>
      <c r="I716" s="13"/>
    </row>
    <row r="717" spans="1:9">
      <c r="A717" s="2">
        <v>23573</v>
      </c>
      <c r="B717" s="1" t="s">
        <v>268</v>
      </c>
      <c r="C717" s="1" t="s">
        <v>269</v>
      </c>
      <c r="D717" s="3" t="s">
        <v>1</v>
      </c>
      <c r="E717" s="3" t="s">
        <v>6</v>
      </c>
      <c r="F717" s="6" t="s">
        <v>110</v>
      </c>
    </row>
    <row r="718" spans="1:9">
      <c r="A718" s="2">
        <v>23573</v>
      </c>
      <c r="B718" s="1" t="s">
        <v>416</v>
      </c>
      <c r="C718" s="1" t="s">
        <v>423</v>
      </c>
      <c r="D718" s="3" t="s">
        <v>1</v>
      </c>
      <c r="E718" s="3" t="s">
        <v>6</v>
      </c>
      <c r="F718" s="6" t="s">
        <v>110</v>
      </c>
    </row>
    <row r="719" spans="1:9">
      <c r="A719" s="2">
        <v>23574</v>
      </c>
      <c r="B719" s="1" t="s">
        <v>159</v>
      </c>
      <c r="C719" s="1" t="s">
        <v>354</v>
      </c>
      <c r="D719" s="3" t="s">
        <v>1</v>
      </c>
      <c r="E719" s="3" t="s">
        <v>6</v>
      </c>
      <c r="F719" s="6" t="s">
        <v>110</v>
      </c>
    </row>
    <row r="720" spans="1:9">
      <c r="A720" s="2">
        <v>23574</v>
      </c>
      <c r="B720" s="1" t="s">
        <v>57</v>
      </c>
      <c r="C720" s="1" t="s">
        <v>64</v>
      </c>
      <c r="D720" s="3" t="s">
        <v>1</v>
      </c>
      <c r="E720" s="3" t="s">
        <v>6</v>
      </c>
      <c r="F720" s="6" t="s">
        <v>110</v>
      </c>
    </row>
    <row r="721" spans="1:9">
      <c r="A721" s="2">
        <v>23574</v>
      </c>
      <c r="B721" s="1" t="s">
        <v>256</v>
      </c>
      <c r="C721" s="1" t="s">
        <v>342</v>
      </c>
      <c r="D721" s="3" t="s">
        <v>1</v>
      </c>
      <c r="E721" s="3" t="s">
        <v>6</v>
      </c>
      <c r="F721" s="6" t="s">
        <v>110</v>
      </c>
    </row>
    <row r="722" spans="1:9">
      <c r="A722" s="2">
        <v>23574</v>
      </c>
      <c r="B722" s="1" t="s">
        <v>78</v>
      </c>
      <c r="C722" s="1" t="s">
        <v>85</v>
      </c>
      <c r="D722" s="3" t="s">
        <v>1</v>
      </c>
      <c r="E722" s="3" t="s">
        <v>6</v>
      </c>
      <c r="F722" s="6" t="s">
        <v>110</v>
      </c>
    </row>
    <row r="723" spans="1:9">
      <c r="A723" s="2">
        <v>23574</v>
      </c>
      <c r="B723" s="1" t="s">
        <v>284</v>
      </c>
      <c r="C723" s="1" t="s">
        <v>285</v>
      </c>
      <c r="D723" s="3" t="s">
        <v>1</v>
      </c>
      <c r="E723" s="3" t="s">
        <v>6</v>
      </c>
      <c r="F723" s="6" t="s">
        <v>110</v>
      </c>
    </row>
    <row r="724" spans="1:9">
      <c r="A724" s="2">
        <v>23574</v>
      </c>
      <c r="B724" s="1" t="s">
        <v>437</v>
      </c>
      <c r="C724" s="1" t="s">
        <v>216</v>
      </c>
      <c r="D724" s="3" t="s">
        <v>2</v>
      </c>
      <c r="E724" s="3" t="s">
        <v>7</v>
      </c>
      <c r="F724" s="6" t="s">
        <v>119</v>
      </c>
    </row>
    <row r="725" spans="1:9" ht="18">
      <c r="A725" s="16">
        <v>23575</v>
      </c>
      <c r="B725" s="32"/>
      <c r="C725" s="32"/>
      <c r="D725" s="33"/>
      <c r="E725" s="33"/>
      <c r="F725" s="34"/>
      <c r="G725" s="34"/>
      <c r="H725" s="32"/>
      <c r="I725" s="32"/>
    </row>
    <row r="726" spans="1:9">
      <c r="A726" s="2">
        <v>23575</v>
      </c>
      <c r="B726" s="1" t="s">
        <v>159</v>
      </c>
      <c r="C726" s="1" t="s">
        <v>158</v>
      </c>
      <c r="D726" s="3" t="s">
        <v>1</v>
      </c>
      <c r="E726" s="3" t="s">
        <v>6</v>
      </c>
      <c r="F726" s="6" t="s">
        <v>110</v>
      </c>
    </row>
    <row r="727" spans="1:9">
      <c r="A727" s="2">
        <v>23575</v>
      </c>
      <c r="B727" s="1" t="s">
        <v>256</v>
      </c>
      <c r="C727" s="1" t="s">
        <v>360</v>
      </c>
      <c r="D727" s="3" t="s">
        <v>1</v>
      </c>
      <c r="E727" s="3" t="s">
        <v>6</v>
      </c>
      <c r="F727" s="6" t="s">
        <v>110</v>
      </c>
    </row>
    <row r="728" spans="1:9">
      <c r="A728" s="2">
        <v>23575</v>
      </c>
      <c r="B728" s="1" t="s">
        <v>438</v>
      </c>
      <c r="C728" s="1" t="s">
        <v>269</v>
      </c>
      <c r="D728" s="3" t="s">
        <v>1</v>
      </c>
      <c r="E728" s="3" t="s">
        <v>6</v>
      </c>
      <c r="F728" s="6" t="s">
        <v>110</v>
      </c>
    </row>
    <row r="729" spans="1:9">
      <c r="A729" s="2">
        <v>23575</v>
      </c>
      <c r="B729" s="1" t="s">
        <v>78</v>
      </c>
      <c r="C729" s="1" t="s">
        <v>85</v>
      </c>
      <c r="D729" s="3" t="s">
        <v>1</v>
      </c>
      <c r="E729" s="3" t="s">
        <v>6</v>
      </c>
      <c r="F729" s="6" t="s">
        <v>110</v>
      </c>
    </row>
    <row r="730" spans="1:9">
      <c r="A730" s="2">
        <v>23575</v>
      </c>
      <c r="B730" s="1" t="s">
        <v>11</v>
      </c>
      <c r="C730" s="1" t="s">
        <v>25</v>
      </c>
      <c r="D730" s="3" t="s">
        <v>2</v>
      </c>
      <c r="E730" s="3" t="s">
        <v>7</v>
      </c>
      <c r="F730" s="6" t="s">
        <v>119</v>
      </c>
    </row>
    <row r="731" spans="1:9">
      <c r="A731" s="2">
        <v>23575</v>
      </c>
      <c r="B731" s="1" t="s">
        <v>102</v>
      </c>
      <c r="C731" s="1" t="s">
        <v>96</v>
      </c>
      <c r="D731" s="3" t="s">
        <v>2</v>
      </c>
      <c r="E731" s="3" t="s">
        <v>7</v>
      </c>
      <c r="F731" s="6" t="s">
        <v>119</v>
      </c>
    </row>
    <row r="732" spans="1:9">
      <c r="A732" s="29">
        <v>23576</v>
      </c>
      <c r="B732" s="13"/>
      <c r="C732" s="13"/>
      <c r="D732" s="14"/>
      <c r="E732" s="14"/>
      <c r="F732" s="15"/>
      <c r="G732" s="15"/>
      <c r="H732" s="13"/>
      <c r="I732" s="13"/>
    </row>
    <row r="733" spans="1:9">
      <c r="A733" s="2">
        <v>23576</v>
      </c>
      <c r="B733" s="1" t="s">
        <v>159</v>
      </c>
      <c r="C733" s="1" t="s">
        <v>158</v>
      </c>
      <c r="D733" s="3" t="s">
        <v>1</v>
      </c>
      <c r="E733" s="3" t="s">
        <v>6</v>
      </c>
      <c r="F733" s="6" t="s">
        <v>110</v>
      </c>
    </row>
    <row r="734" spans="1:9">
      <c r="A734" s="2">
        <v>23576</v>
      </c>
      <c r="B734" s="1" t="s">
        <v>256</v>
      </c>
      <c r="C734" s="1" t="s">
        <v>360</v>
      </c>
      <c r="D734" s="3" t="s">
        <v>1</v>
      </c>
      <c r="E734" s="3" t="s">
        <v>6</v>
      </c>
      <c r="F734" s="6" t="s">
        <v>110</v>
      </c>
    </row>
    <row r="735" spans="1:9">
      <c r="A735" s="2">
        <v>23576</v>
      </c>
      <c r="B735" s="1" t="s">
        <v>438</v>
      </c>
      <c r="C735" s="1" t="s">
        <v>269</v>
      </c>
      <c r="D735" s="3" t="s">
        <v>1</v>
      </c>
      <c r="E735" s="3" t="s">
        <v>6</v>
      </c>
      <c r="F735" s="6" t="s">
        <v>110</v>
      </c>
    </row>
    <row r="736" spans="1:9">
      <c r="A736" s="2">
        <v>23576</v>
      </c>
      <c r="B736" s="1" t="s">
        <v>78</v>
      </c>
      <c r="C736" s="1" t="s">
        <v>349</v>
      </c>
      <c r="D736" s="3" t="s">
        <v>1</v>
      </c>
      <c r="E736" s="3" t="s">
        <v>6</v>
      </c>
      <c r="F736" s="6" t="s">
        <v>110</v>
      </c>
    </row>
    <row r="737" spans="1:9">
      <c r="A737" s="2">
        <v>23576</v>
      </c>
      <c r="B737" s="1" t="s">
        <v>57</v>
      </c>
      <c r="C737" s="1" t="s">
        <v>64</v>
      </c>
      <c r="D737" s="3" t="s">
        <v>1</v>
      </c>
      <c r="E737" s="3" t="s">
        <v>6</v>
      </c>
      <c r="F737" s="6" t="s">
        <v>110</v>
      </c>
    </row>
    <row r="738" spans="1:9">
      <c r="A738" s="2">
        <v>23576</v>
      </c>
      <c r="B738" s="1" t="s">
        <v>58</v>
      </c>
      <c r="C738" s="1" t="s">
        <v>157</v>
      </c>
      <c r="D738" s="3" t="s">
        <v>1</v>
      </c>
      <c r="E738" s="3" t="s">
        <v>6</v>
      </c>
      <c r="F738" s="6" t="s">
        <v>110</v>
      </c>
    </row>
    <row r="739" spans="1:9">
      <c r="A739" s="28">
        <v>23577</v>
      </c>
      <c r="B739" s="13"/>
      <c r="C739" s="13"/>
      <c r="D739" s="14"/>
      <c r="E739" s="14"/>
      <c r="F739" s="15"/>
      <c r="G739" s="15"/>
      <c r="H739" s="13"/>
      <c r="I739" s="13"/>
    </row>
    <row r="740" spans="1:9">
      <c r="A740" s="2">
        <v>23577</v>
      </c>
      <c r="B740" s="1" t="s">
        <v>159</v>
      </c>
      <c r="C740" s="1" t="s">
        <v>158</v>
      </c>
      <c r="D740" s="3" t="s">
        <v>1</v>
      </c>
      <c r="E740" s="3" t="s">
        <v>6</v>
      </c>
      <c r="F740" s="6" t="s">
        <v>110</v>
      </c>
    </row>
    <row r="741" spans="1:9">
      <c r="A741" s="2">
        <v>23577</v>
      </c>
      <c r="B741" s="1" t="s">
        <v>256</v>
      </c>
      <c r="C741" s="1" t="s">
        <v>342</v>
      </c>
      <c r="D741" s="3" t="s">
        <v>1</v>
      </c>
      <c r="E741" s="3" t="s">
        <v>6</v>
      </c>
      <c r="F741" s="6" t="s">
        <v>110</v>
      </c>
    </row>
    <row r="742" spans="1:9">
      <c r="A742" s="2">
        <v>23577</v>
      </c>
      <c r="B742" s="1" t="s">
        <v>78</v>
      </c>
      <c r="C742" s="1" t="s">
        <v>85</v>
      </c>
      <c r="D742" s="3" t="s">
        <v>1</v>
      </c>
      <c r="E742" s="3" t="s">
        <v>6</v>
      </c>
      <c r="F742" s="6" t="s">
        <v>110</v>
      </c>
    </row>
    <row r="743" spans="1:9">
      <c r="A743" s="2">
        <v>23577</v>
      </c>
      <c r="B743" s="1" t="s">
        <v>57</v>
      </c>
      <c r="C743" s="1" t="s">
        <v>64</v>
      </c>
      <c r="D743" s="3" t="s">
        <v>1</v>
      </c>
      <c r="E743" s="3" t="s">
        <v>6</v>
      </c>
      <c r="F743" s="6" t="s">
        <v>110</v>
      </c>
    </row>
    <row r="744" spans="1:9">
      <c r="A744" s="2">
        <v>23577</v>
      </c>
      <c r="B744" s="1" t="s">
        <v>215</v>
      </c>
      <c r="C744" s="1" t="s">
        <v>216</v>
      </c>
      <c r="D744" s="3" t="s">
        <v>2</v>
      </c>
      <c r="E744" s="3" t="s">
        <v>7</v>
      </c>
      <c r="F744" s="6" t="s">
        <v>439</v>
      </c>
    </row>
    <row r="745" spans="1:9">
      <c r="A745" s="2">
        <v>23577</v>
      </c>
      <c r="B745" s="1" t="s">
        <v>409</v>
      </c>
      <c r="C745" s="1" t="s">
        <v>441</v>
      </c>
      <c r="D745" s="3" t="s">
        <v>2</v>
      </c>
      <c r="E745" s="3" t="s">
        <v>7</v>
      </c>
      <c r="F745" s="6" t="s">
        <v>439</v>
      </c>
    </row>
    <row r="746" spans="1:9">
      <c r="A746" s="2">
        <v>23577</v>
      </c>
      <c r="B746" s="1" t="s">
        <v>90</v>
      </c>
      <c r="C746" s="1" t="s">
        <v>442</v>
      </c>
      <c r="D746" s="3" t="s">
        <v>2</v>
      </c>
      <c r="E746" s="3" t="s">
        <v>7</v>
      </c>
      <c r="F746" s="6" t="s">
        <v>439</v>
      </c>
    </row>
    <row r="747" spans="1:9">
      <c r="A747" s="2">
        <v>23577</v>
      </c>
      <c r="B747" s="1" t="s">
        <v>440</v>
      </c>
      <c r="C747" s="1" t="s">
        <v>443</v>
      </c>
      <c r="D747" s="3" t="s">
        <v>2</v>
      </c>
      <c r="E747" s="3" t="s">
        <v>7</v>
      </c>
      <c r="F747" s="6" t="s">
        <v>439</v>
      </c>
    </row>
    <row r="748" spans="1:9" ht="18">
      <c r="A748" s="16">
        <v>23578</v>
      </c>
      <c r="B748" s="13"/>
      <c r="C748" s="13"/>
      <c r="D748" s="14"/>
      <c r="E748" s="14"/>
      <c r="F748" s="15"/>
      <c r="G748" s="15"/>
      <c r="H748" s="13"/>
      <c r="I748" s="13"/>
    </row>
    <row r="749" spans="1:9">
      <c r="A749" s="2">
        <v>23578</v>
      </c>
      <c r="B749" s="1" t="s">
        <v>256</v>
      </c>
      <c r="C749" s="1" t="s">
        <v>342</v>
      </c>
      <c r="D749" s="3" t="s">
        <v>1</v>
      </c>
      <c r="E749" s="3" t="s">
        <v>6</v>
      </c>
      <c r="F749" s="6" t="s">
        <v>110</v>
      </c>
    </row>
    <row r="750" spans="1:9">
      <c r="A750" s="2">
        <v>23578</v>
      </c>
      <c r="B750" s="1" t="s">
        <v>78</v>
      </c>
      <c r="C750" s="1" t="s">
        <v>85</v>
      </c>
      <c r="D750" s="3" t="s">
        <v>1</v>
      </c>
      <c r="E750" s="3" t="s">
        <v>6</v>
      </c>
      <c r="F750" s="6" t="s">
        <v>110</v>
      </c>
    </row>
    <row r="751" spans="1:9" ht="18">
      <c r="A751" s="16">
        <v>23579</v>
      </c>
      <c r="B751" s="13"/>
      <c r="C751" s="13"/>
      <c r="D751" s="14"/>
      <c r="E751" s="14"/>
      <c r="F751" s="15"/>
      <c r="G751" s="15"/>
      <c r="H751" s="13"/>
      <c r="I751" s="13"/>
    </row>
    <row r="752" spans="1:9">
      <c r="A752" s="2">
        <v>23579</v>
      </c>
      <c r="B752" s="1" t="s">
        <v>208</v>
      </c>
      <c r="C752" s="1" t="s">
        <v>360</v>
      </c>
      <c r="D752" s="3" t="s">
        <v>1</v>
      </c>
      <c r="E752" s="3" t="s">
        <v>6</v>
      </c>
      <c r="F752" s="6" t="s">
        <v>110</v>
      </c>
    </row>
    <row r="753" spans="1:9">
      <c r="A753" s="2">
        <v>23579</v>
      </c>
      <c r="B753" s="1" t="s">
        <v>78</v>
      </c>
      <c r="C753" s="1" t="s">
        <v>85</v>
      </c>
      <c r="D753" s="3" t="s">
        <v>1</v>
      </c>
      <c r="E753" s="3" t="s">
        <v>6</v>
      </c>
      <c r="F753" s="6" t="s">
        <v>110</v>
      </c>
    </row>
    <row r="754" spans="1:9">
      <c r="A754" s="2">
        <v>23579</v>
      </c>
      <c r="B754" s="1" t="s">
        <v>159</v>
      </c>
      <c r="C754" s="1" t="s">
        <v>354</v>
      </c>
      <c r="D754" s="3" t="s">
        <v>1</v>
      </c>
      <c r="E754" s="3" t="s">
        <v>6</v>
      </c>
      <c r="F754" s="6" t="s">
        <v>110</v>
      </c>
    </row>
    <row r="755" spans="1:9">
      <c r="A755" s="2">
        <v>23579</v>
      </c>
      <c r="B755" s="1" t="s">
        <v>333</v>
      </c>
      <c r="C755" s="1" t="s">
        <v>339</v>
      </c>
      <c r="D755" s="3" t="s">
        <v>1</v>
      </c>
      <c r="E755" s="3" t="s">
        <v>6</v>
      </c>
      <c r="F755" s="6" t="s">
        <v>110</v>
      </c>
    </row>
    <row r="756" spans="1:9" ht="18">
      <c r="A756" s="16">
        <v>23580</v>
      </c>
      <c r="B756" s="13"/>
      <c r="C756" s="13"/>
      <c r="D756" s="14"/>
      <c r="E756" s="14"/>
      <c r="F756" s="15"/>
      <c r="G756" s="15"/>
      <c r="H756" s="13"/>
      <c r="I756" s="13"/>
    </row>
    <row r="757" spans="1:9">
      <c r="A757" s="2">
        <v>23579</v>
      </c>
      <c r="B757" s="1" t="s">
        <v>333</v>
      </c>
      <c r="C757" s="1" t="s">
        <v>339</v>
      </c>
      <c r="D757" s="3" t="s">
        <v>1</v>
      </c>
      <c r="E757" s="3" t="s">
        <v>6</v>
      </c>
      <c r="F757" s="6" t="s">
        <v>110</v>
      </c>
    </row>
    <row r="758" spans="1:9">
      <c r="A758" s="2">
        <v>23580</v>
      </c>
      <c r="B758" s="1" t="s">
        <v>208</v>
      </c>
      <c r="C758" s="1" t="s">
        <v>360</v>
      </c>
      <c r="D758" s="3" t="s">
        <v>1</v>
      </c>
      <c r="E758" s="3" t="s">
        <v>6</v>
      </c>
      <c r="F758" s="6" t="s">
        <v>110</v>
      </c>
    </row>
    <row r="759" spans="1:9">
      <c r="A759" s="2">
        <v>23580</v>
      </c>
      <c r="B759" s="1" t="s">
        <v>78</v>
      </c>
      <c r="C759" s="1" t="s">
        <v>85</v>
      </c>
      <c r="D759" s="3" t="s">
        <v>1</v>
      </c>
      <c r="E759" s="3" t="s">
        <v>6</v>
      </c>
      <c r="F759" s="6" t="s">
        <v>110</v>
      </c>
    </row>
    <row r="760" spans="1:9">
      <c r="A760" s="2">
        <v>23580</v>
      </c>
      <c r="B760" s="1" t="s">
        <v>159</v>
      </c>
      <c r="C760" s="1" t="s">
        <v>354</v>
      </c>
      <c r="D760" s="3" t="s">
        <v>1</v>
      </c>
      <c r="E760" s="3" t="s">
        <v>6</v>
      </c>
      <c r="F760" s="6" t="s">
        <v>110</v>
      </c>
    </row>
    <row r="761" spans="1:9">
      <c r="A761" s="2">
        <v>23580</v>
      </c>
      <c r="B761" s="1" t="s">
        <v>369</v>
      </c>
      <c r="C761" s="1" t="s">
        <v>373</v>
      </c>
      <c r="D761" s="3" t="s">
        <v>1</v>
      </c>
      <c r="E761" s="3" t="s">
        <v>6</v>
      </c>
      <c r="F761" s="6" t="s">
        <v>110</v>
      </c>
    </row>
    <row r="762" spans="1:9">
      <c r="A762" s="2">
        <v>23580</v>
      </c>
      <c r="B762" s="1" t="s">
        <v>57</v>
      </c>
      <c r="C762" s="1" t="s">
        <v>64</v>
      </c>
      <c r="D762" s="3" t="s">
        <v>1</v>
      </c>
      <c r="E762" s="3" t="s">
        <v>6</v>
      </c>
      <c r="F762" s="6" t="s">
        <v>110</v>
      </c>
    </row>
    <row r="763" spans="1:9">
      <c r="A763" s="28">
        <v>23581</v>
      </c>
      <c r="B763" s="13"/>
      <c r="C763" s="13"/>
      <c r="D763" s="14"/>
      <c r="E763" s="14"/>
      <c r="F763" s="15"/>
      <c r="G763" s="15"/>
      <c r="H763" s="13"/>
      <c r="I763" s="13"/>
    </row>
    <row r="764" spans="1:9">
      <c r="A764" s="2">
        <v>23579</v>
      </c>
      <c r="B764" s="1" t="s">
        <v>333</v>
      </c>
      <c r="C764" s="1" t="s">
        <v>339</v>
      </c>
      <c r="D764" s="3" t="s">
        <v>1</v>
      </c>
      <c r="E764" s="3" t="s">
        <v>6</v>
      </c>
      <c r="F764" s="6" t="s">
        <v>110</v>
      </c>
    </row>
    <row r="765" spans="1:9">
      <c r="A765" s="2">
        <v>23581</v>
      </c>
      <c r="B765" s="1" t="s">
        <v>159</v>
      </c>
      <c r="C765" s="1" t="s">
        <v>158</v>
      </c>
      <c r="D765" s="3" t="s">
        <v>1</v>
      </c>
      <c r="E765" s="3" t="s">
        <v>6</v>
      </c>
      <c r="F765" s="6" t="s">
        <v>110</v>
      </c>
    </row>
    <row r="766" spans="1:9">
      <c r="A766" s="2">
        <v>23581</v>
      </c>
      <c r="B766" s="1" t="s">
        <v>57</v>
      </c>
      <c r="C766" s="1" t="s">
        <v>64</v>
      </c>
      <c r="D766" s="3" t="s">
        <v>1</v>
      </c>
      <c r="E766" s="3" t="s">
        <v>6</v>
      </c>
      <c r="F766" s="6" t="s">
        <v>110</v>
      </c>
    </row>
    <row r="767" spans="1:9">
      <c r="A767" s="2">
        <v>23581</v>
      </c>
      <c r="B767" s="1" t="s">
        <v>78</v>
      </c>
      <c r="C767" s="1" t="s">
        <v>85</v>
      </c>
      <c r="D767" s="3" t="s">
        <v>1</v>
      </c>
      <c r="E767" s="3" t="s">
        <v>6</v>
      </c>
      <c r="F767" s="6" t="s">
        <v>110</v>
      </c>
    </row>
    <row r="768" spans="1:9">
      <c r="A768" s="2">
        <v>23581</v>
      </c>
      <c r="B768" s="1" t="s">
        <v>444</v>
      </c>
      <c r="C768" s="1" t="s">
        <v>445</v>
      </c>
      <c r="D768" s="3" t="s">
        <v>2</v>
      </c>
      <c r="E768" s="3" t="s">
        <v>7</v>
      </c>
      <c r="F768" s="6" t="s">
        <v>119</v>
      </c>
    </row>
    <row r="769" spans="1:9" ht="18">
      <c r="A769" s="16">
        <v>23582</v>
      </c>
      <c r="B769" s="13"/>
      <c r="C769" s="13"/>
      <c r="D769" s="14"/>
      <c r="E769" s="14"/>
      <c r="F769" s="15"/>
      <c r="G769" s="15"/>
      <c r="H769" s="13"/>
      <c r="I769" s="13"/>
    </row>
    <row r="770" spans="1:9">
      <c r="A770" s="2">
        <v>23581</v>
      </c>
      <c r="B770" s="1" t="s">
        <v>261</v>
      </c>
      <c r="C770" s="1" t="s">
        <v>263</v>
      </c>
      <c r="D770" s="3" t="s">
        <v>1</v>
      </c>
      <c r="E770" s="3" t="s">
        <v>6</v>
      </c>
      <c r="F770" s="6" t="s">
        <v>110</v>
      </c>
    </row>
    <row r="771" spans="1:9">
      <c r="A771" s="2">
        <v>23581</v>
      </c>
      <c r="B771" s="1" t="s">
        <v>159</v>
      </c>
      <c r="C771" s="1" t="s">
        <v>158</v>
      </c>
      <c r="D771" s="3" t="s">
        <v>1</v>
      </c>
      <c r="E771" s="3" t="s">
        <v>6</v>
      </c>
      <c r="F771" s="6" t="s">
        <v>110</v>
      </c>
    </row>
    <row r="772" spans="1:9">
      <c r="A772" s="2">
        <v>23581</v>
      </c>
      <c r="B772" s="1" t="s">
        <v>333</v>
      </c>
      <c r="C772" s="1" t="s">
        <v>399</v>
      </c>
      <c r="D772" s="3" t="s">
        <v>1</v>
      </c>
      <c r="E772" s="3" t="s">
        <v>6</v>
      </c>
      <c r="F772" s="6" t="s">
        <v>110</v>
      </c>
    </row>
    <row r="773" spans="1:9">
      <c r="A773" s="2">
        <v>23582</v>
      </c>
      <c r="B773" s="1" t="s">
        <v>256</v>
      </c>
      <c r="C773" s="1" t="s">
        <v>360</v>
      </c>
      <c r="D773" s="3" t="s">
        <v>1</v>
      </c>
      <c r="E773" s="3" t="s">
        <v>6</v>
      </c>
      <c r="F773" s="6" t="s">
        <v>110</v>
      </c>
    </row>
    <row r="774" spans="1:9">
      <c r="A774" s="2">
        <v>23582</v>
      </c>
      <c r="B774" s="1" t="s">
        <v>78</v>
      </c>
      <c r="C774" s="1" t="s">
        <v>349</v>
      </c>
      <c r="D774" s="3" t="s">
        <v>1</v>
      </c>
      <c r="E774" s="3" t="s">
        <v>6</v>
      </c>
      <c r="F774" s="6" t="s">
        <v>110</v>
      </c>
    </row>
    <row r="775" spans="1:9">
      <c r="A775" s="2">
        <v>23582</v>
      </c>
      <c r="B775" s="1" t="s">
        <v>446</v>
      </c>
      <c r="C775" s="1" t="s">
        <v>448</v>
      </c>
      <c r="D775" s="3" t="s">
        <v>1</v>
      </c>
      <c r="E775" s="3" t="s">
        <v>6</v>
      </c>
      <c r="F775" s="6" t="s">
        <v>110</v>
      </c>
    </row>
    <row r="776" spans="1:9">
      <c r="A776" s="2">
        <v>23582</v>
      </c>
      <c r="B776" s="1" t="s">
        <v>447</v>
      </c>
      <c r="C776" s="1" t="s">
        <v>448</v>
      </c>
      <c r="D776" s="3" t="s">
        <v>1</v>
      </c>
      <c r="E776" s="3" t="s">
        <v>6</v>
      </c>
      <c r="F776" s="6" t="s">
        <v>110</v>
      </c>
    </row>
    <row r="777" spans="1:9">
      <c r="A777" s="2">
        <v>23582</v>
      </c>
      <c r="B777" s="1" t="s">
        <v>449</v>
      </c>
      <c r="C777" s="1" t="s">
        <v>307</v>
      </c>
      <c r="D777" s="3" t="s">
        <v>2</v>
      </c>
      <c r="E777" s="3" t="s">
        <v>7</v>
      </c>
      <c r="F777" s="6" t="s">
        <v>119</v>
      </c>
    </row>
    <row r="778" spans="1:9" ht="18">
      <c r="A778" s="16">
        <v>23583</v>
      </c>
      <c r="B778" s="13"/>
      <c r="C778" s="13"/>
      <c r="D778" s="14"/>
      <c r="E778" s="14"/>
      <c r="F778" s="15"/>
      <c r="G778" s="15"/>
      <c r="H778" s="13"/>
      <c r="I778" s="13"/>
    </row>
    <row r="779" spans="1:9">
      <c r="A779" s="2">
        <v>23582</v>
      </c>
      <c r="B779" s="1" t="s">
        <v>159</v>
      </c>
      <c r="C779" s="1" t="s">
        <v>354</v>
      </c>
      <c r="D779" s="3" t="s">
        <v>1</v>
      </c>
      <c r="E779" s="3" t="s">
        <v>6</v>
      </c>
      <c r="F779" s="6" t="s">
        <v>110</v>
      </c>
    </row>
    <row r="780" spans="1:9">
      <c r="A780" s="2">
        <v>23582</v>
      </c>
      <c r="B780" s="1" t="s">
        <v>333</v>
      </c>
      <c r="C780" s="1" t="s">
        <v>399</v>
      </c>
      <c r="D780" s="3" t="s">
        <v>1</v>
      </c>
      <c r="E780" s="3" t="s">
        <v>6</v>
      </c>
      <c r="F780" s="6" t="s">
        <v>110</v>
      </c>
    </row>
    <row r="781" spans="1:9">
      <c r="A781" s="2">
        <v>23582</v>
      </c>
      <c r="B781" s="1" t="s">
        <v>256</v>
      </c>
      <c r="C781" s="1" t="s">
        <v>360</v>
      </c>
      <c r="D781" s="3" t="s">
        <v>1</v>
      </c>
      <c r="E781" s="3" t="s">
        <v>6</v>
      </c>
      <c r="F781" s="6" t="s">
        <v>110</v>
      </c>
    </row>
    <row r="782" spans="1:9">
      <c r="A782" s="2">
        <v>23582</v>
      </c>
      <c r="B782" s="1" t="s">
        <v>78</v>
      </c>
      <c r="C782" s="1" t="s">
        <v>85</v>
      </c>
      <c r="D782" s="3" t="s">
        <v>1</v>
      </c>
      <c r="E782" s="3" t="s">
        <v>6</v>
      </c>
      <c r="F782" s="6" t="s">
        <v>110</v>
      </c>
    </row>
    <row r="783" spans="1:9">
      <c r="A783" s="2">
        <v>23582</v>
      </c>
      <c r="B783" s="1" t="s">
        <v>446</v>
      </c>
      <c r="C783" s="1" t="s">
        <v>448</v>
      </c>
      <c r="D783" s="3" t="s">
        <v>1</v>
      </c>
      <c r="E783" s="3" t="s">
        <v>6</v>
      </c>
      <c r="F783" s="6" t="s">
        <v>110</v>
      </c>
    </row>
    <row r="784" spans="1:9">
      <c r="A784" s="2">
        <v>23582</v>
      </c>
      <c r="B784" s="1" t="s">
        <v>447</v>
      </c>
      <c r="C784" s="1" t="s">
        <v>448</v>
      </c>
      <c r="D784" s="3" t="s">
        <v>1</v>
      </c>
      <c r="E784" s="3" t="s">
        <v>6</v>
      </c>
      <c r="F784" s="6" t="s">
        <v>110</v>
      </c>
    </row>
    <row r="785" spans="1:9">
      <c r="A785" s="2">
        <v>23583</v>
      </c>
      <c r="B785" s="1" t="s">
        <v>132</v>
      </c>
      <c r="C785" s="1" t="s">
        <v>367</v>
      </c>
      <c r="D785" s="3" t="s">
        <v>1</v>
      </c>
      <c r="E785" s="3" t="s">
        <v>6</v>
      </c>
      <c r="F785" s="6" t="s">
        <v>110</v>
      </c>
    </row>
    <row r="786" spans="1:9">
      <c r="A786" s="28">
        <v>23584</v>
      </c>
      <c r="B786" s="13"/>
      <c r="C786" s="13"/>
      <c r="D786" s="14"/>
      <c r="E786" s="14"/>
      <c r="F786" s="15"/>
      <c r="G786" s="15"/>
      <c r="H786" s="13"/>
      <c r="I786" s="13"/>
    </row>
    <row r="787" spans="1:9">
      <c r="A787" s="2">
        <v>23582</v>
      </c>
      <c r="B787" s="1" t="s">
        <v>159</v>
      </c>
      <c r="C787" s="1" t="s">
        <v>158</v>
      </c>
      <c r="D787" s="3" t="s">
        <v>1</v>
      </c>
      <c r="E787" s="3" t="s">
        <v>6</v>
      </c>
      <c r="F787" s="6" t="s">
        <v>110</v>
      </c>
    </row>
    <row r="788" spans="1:9">
      <c r="A788" s="2">
        <v>23582</v>
      </c>
      <c r="B788" s="1" t="s">
        <v>256</v>
      </c>
      <c r="C788" s="1" t="s">
        <v>342</v>
      </c>
      <c r="D788" s="3" t="s">
        <v>1</v>
      </c>
      <c r="E788" s="3" t="s">
        <v>6</v>
      </c>
      <c r="F788" s="6" t="s">
        <v>110</v>
      </c>
    </row>
    <row r="789" spans="1:9">
      <c r="A789" s="2">
        <v>23582</v>
      </c>
      <c r="B789" s="1" t="s">
        <v>78</v>
      </c>
      <c r="C789" s="1" t="s">
        <v>85</v>
      </c>
      <c r="D789" s="3" t="s">
        <v>1</v>
      </c>
      <c r="E789" s="3" t="s">
        <v>6</v>
      </c>
      <c r="F789" s="6" t="s">
        <v>110</v>
      </c>
    </row>
    <row r="790" spans="1:9">
      <c r="A790" s="2">
        <v>23582</v>
      </c>
      <c r="B790" s="1" t="s">
        <v>446</v>
      </c>
      <c r="C790" s="1" t="s">
        <v>448</v>
      </c>
      <c r="D790" s="3" t="s">
        <v>1</v>
      </c>
      <c r="E790" s="3" t="s">
        <v>6</v>
      </c>
      <c r="F790" s="6" t="s">
        <v>110</v>
      </c>
    </row>
    <row r="791" spans="1:9">
      <c r="A791" s="2">
        <v>23582</v>
      </c>
      <c r="B791" s="1" t="s">
        <v>447</v>
      </c>
      <c r="C791" s="1" t="s">
        <v>448</v>
      </c>
      <c r="D791" s="3" t="s">
        <v>1</v>
      </c>
      <c r="E791" s="3" t="s">
        <v>6</v>
      </c>
      <c r="F791" s="6" t="s">
        <v>110</v>
      </c>
    </row>
    <row r="792" spans="1:9">
      <c r="A792" s="2">
        <v>23584</v>
      </c>
      <c r="B792" s="1" t="s">
        <v>132</v>
      </c>
      <c r="C792" s="1" t="s">
        <v>367</v>
      </c>
      <c r="D792" s="3" t="s">
        <v>1</v>
      </c>
      <c r="E792" s="3" t="s">
        <v>6</v>
      </c>
      <c r="F792" s="6" t="s">
        <v>110</v>
      </c>
    </row>
    <row r="793" spans="1:9">
      <c r="A793" s="2">
        <v>23584</v>
      </c>
      <c r="B793" s="1" t="s">
        <v>450</v>
      </c>
      <c r="C793" s="1" t="s">
        <v>324</v>
      </c>
      <c r="D793" s="3" t="s">
        <v>1</v>
      </c>
      <c r="E793" s="3" t="s">
        <v>6</v>
      </c>
      <c r="F793" s="6" t="s">
        <v>110</v>
      </c>
    </row>
    <row r="794" spans="1:9">
      <c r="A794" s="2">
        <v>23584</v>
      </c>
      <c r="B794" s="1" t="s">
        <v>322</v>
      </c>
      <c r="C794" s="1" t="s">
        <v>324</v>
      </c>
      <c r="D794" s="3" t="s">
        <v>1</v>
      </c>
      <c r="E794" s="3" t="s">
        <v>6</v>
      </c>
      <c r="F794" s="6" t="s">
        <v>110</v>
      </c>
    </row>
    <row r="795" spans="1:9">
      <c r="A795" s="2">
        <v>23584</v>
      </c>
      <c r="B795" s="1" t="s">
        <v>451</v>
      </c>
      <c r="C795" s="1" t="s">
        <v>454</v>
      </c>
      <c r="D795" s="3" t="s">
        <v>1</v>
      </c>
      <c r="E795" s="3" t="s">
        <v>6</v>
      </c>
      <c r="F795" s="6" t="s">
        <v>110</v>
      </c>
    </row>
    <row r="796" spans="1:9">
      <c r="A796" s="2">
        <v>23584</v>
      </c>
      <c r="B796" s="1" t="s">
        <v>103</v>
      </c>
      <c r="C796" s="1" t="s">
        <v>454</v>
      </c>
      <c r="D796" s="3" t="s">
        <v>1</v>
      </c>
      <c r="E796" s="3" t="s">
        <v>6</v>
      </c>
      <c r="F796" s="6" t="s">
        <v>110</v>
      </c>
    </row>
    <row r="797" spans="1:9">
      <c r="A797" s="2">
        <v>23584</v>
      </c>
      <c r="B797" s="1" t="s">
        <v>452</v>
      </c>
      <c r="C797" s="1" t="s">
        <v>454</v>
      </c>
      <c r="D797" s="3" t="s">
        <v>1</v>
      </c>
      <c r="E797" s="3" t="s">
        <v>6</v>
      </c>
      <c r="F797" s="6" t="s">
        <v>110</v>
      </c>
    </row>
    <row r="798" spans="1:9">
      <c r="A798" s="2">
        <v>23584</v>
      </c>
      <c r="B798" s="1" t="s">
        <v>196</v>
      </c>
      <c r="C798" s="1" t="s">
        <v>197</v>
      </c>
      <c r="D798" s="3" t="s">
        <v>1</v>
      </c>
      <c r="E798" s="3" t="s">
        <v>6</v>
      </c>
      <c r="F798" s="6" t="s">
        <v>110</v>
      </c>
    </row>
    <row r="799" spans="1:9">
      <c r="A799" s="2">
        <v>23584</v>
      </c>
      <c r="B799" s="1" t="s">
        <v>453</v>
      </c>
      <c r="C799" s="1" t="s">
        <v>197</v>
      </c>
      <c r="D799" s="3" t="s">
        <v>1</v>
      </c>
      <c r="E799" s="3" t="s">
        <v>6</v>
      </c>
      <c r="F799" s="6" t="s">
        <v>110</v>
      </c>
    </row>
    <row r="800" spans="1:9" ht="18">
      <c r="A800" s="16">
        <v>23585</v>
      </c>
      <c r="B800" s="13"/>
      <c r="C800" s="13"/>
      <c r="D800" s="14"/>
      <c r="E800" s="14"/>
      <c r="F800" s="15"/>
      <c r="G800" s="15"/>
      <c r="H800" s="13"/>
      <c r="I800" s="13"/>
    </row>
    <row r="801" spans="1:9">
      <c r="A801" s="2">
        <v>23582</v>
      </c>
      <c r="B801" s="1" t="s">
        <v>446</v>
      </c>
      <c r="C801" s="1" t="s">
        <v>448</v>
      </c>
      <c r="D801" s="3" t="s">
        <v>1</v>
      </c>
      <c r="E801" s="3" t="s">
        <v>6</v>
      </c>
      <c r="F801" s="6" t="s">
        <v>110</v>
      </c>
    </row>
    <row r="802" spans="1:9">
      <c r="A802" s="2">
        <v>23582</v>
      </c>
      <c r="B802" s="1" t="s">
        <v>447</v>
      </c>
      <c r="C802" s="1" t="s">
        <v>448</v>
      </c>
      <c r="D802" s="3" t="s">
        <v>1</v>
      </c>
      <c r="E802" s="3" t="s">
        <v>6</v>
      </c>
      <c r="F802" s="6" t="s">
        <v>110</v>
      </c>
    </row>
    <row r="803" spans="1:9">
      <c r="A803" s="2">
        <v>23582</v>
      </c>
      <c r="B803" s="1" t="s">
        <v>256</v>
      </c>
      <c r="C803" s="1" t="s">
        <v>342</v>
      </c>
      <c r="D803" s="3" t="s">
        <v>1</v>
      </c>
      <c r="E803" s="3" t="s">
        <v>6</v>
      </c>
      <c r="F803" s="6" t="s">
        <v>110</v>
      </c>
    </row>
    <row r="804" spans="1:9">
      <c r="A804" s="2">
        <v>23582</v>
      </c>
      <c r="B804" s="1" t="s">
        <v>78</v>
      </c>
      <c r="C804" s="1" t="s">
        <v>349</v>
      </c>
      <c r="D804" s="3" t="s">
        <v>1</v>
      </c>
      <c r="E804" s="3" t="s">
        <v>6</v>
      </c>
      <c r="F804" s="6" t="s">
        <v>110</v>
      </c>
    </row>
    <row r="805" spans="1:9">
      <c r="A805" s="2">
        <v>23585</v>
      </c>
      <c r="B805" s="1" t="s">
        <v>159</v>
      </c>
      <c r="C805" s="1" t="s">
        <v>354</v>
      </c>
      <c r="D805" s="3" t="s">
        <v>1</v>
      </c>
      <c r="E805" s="3" t="s">
        <v>6</v>
      </c>
      <c r="F805" s="6" t="s">
        <v>110</v>
      </c>
    </row>
    <row r="806" spans="1:9">
      <c r="A806" s="2">
        <v>23585</v>
      </c>
      <c r="B806" s="1" t="s">
        <v>359</v>
      </c>
      <c r="C806" s="1" t="s">
        <v>455</v>
      </c>
      <c r="D806" s="3" t="s">
        <v>2</v>
      </c>
      <c r="E806" s="3" t="s">
        <v>7</v>
      </c>
      <c r="F806" s="6" t="s">
        <v>119</v>
      </c>
    </row>
    <row r="807" spans="1:9" ht="18">
      <c r="A807" s="16">
        <v>23586</v>
      </c>
      <c r="B807" s="13"/>
      <c r="C807" s="13"/>
      <c r="D807" s="14"/>
      <c r="E807" s="14"/>
      <c r="F807" s="15"/>
      <c r="G807" s="15"/>
      <c r="H807" s="13"/>
      <c r="I807" s="13"/>
    </row>
    <row r="808" spans="1:9">
      <c r="A808" s="2">
        <v>23582</v>
      </c>
      <c r="B808" s="1" t="s">
        <v>446</v>
      </c>
      <c r="C808" s="1" t="s">
        <v>448</v>
      </c>
      <c r="D808" s="3" t="s">
        <v>1</v>
      </c>
      <c r="E808" s="3" t="s">
        <v>6</v>
      </c>
      <c r="F808" s="6" t="s">
        <v>110</v>
      </c>
    </row>
    <row r="809" spans="1:9">
      <c r="A809" s="2">
        <v>23582</v>
      </c>
      <c r="B809" s="1" t="s">
        <v>447</v>
      </c>
      <c r="C809" s="1" t="s">
        <v>448</v>
      </c>
      <c r="D809" s="3" t="s">
        <v>1</v>
      </c>
      <c r="E809" s="3" t="s">
        <v>6</v>
      </c>
      <c r="F809" s="6" t="s">
        <v>110</v>
      </c>
    </row>
    <row r="810" spans="1:9">
      <c r="A810" s="2">
        <v>23582</v>
      </c>
      <c r="B810" s="1" t="s">
        <v>256</v>
      </c>
      <c r="C810" s="1" t="s">
        <v>342</v>
      </c>
      <c r="D810" s="3" t="s">
        <v>1</v>
      </c>
      <c r="E810" s="3" t="s">
        <v>6</v>
      </c>
      <c r="F810" s="6" t="s">
        <v>110</v>
      </c>
    </row>
    <row r="811" spans="1:9">
      <c r="A811" s="2">
        <v>23582</v>
      </c>
      <c r="B811" s="1" t="s">
        <v>78</v>
      </c>
      <c r="C811" s="1" t="s">
        <v>349</v>
      </c>
      <c r="D811" s="3" t="s">
        <v>1</v>
      </c>
      <c r="E811" s="3" t="s">
        <v>6</v>
      </c>
      <c r="F811" s="6" t="s">
        <v>110</v>
      </c>
    </row>
    <row r="812" spans="1:9">
      <c r="A812" s="2">
        <v>23586</v>
      </c>
      <c r="B812" s="1" t="s">
        <v>159</v>
      </c>
      <c r="C812" s="1" t="s">
        <v>354</v>
      </c>
      <c r="D812" s="3" t="s">
        <v>1</v>
      </c>
      <c r="E812" s="3" t="s">
        <v>6</v>
      </c>
      <c r="F812" s="6" t="s">
        <v>110</v>
      </c>
    </row>
    <row r="813" spans="1:9">
      <c r="A813" s="2">
        <v>23586</v>
      </c>
      <c r="B813" s="1" t="s">
        <v>417</v>
      </c>
      <c r="C813" s="1" t="s">
        <v>424</v>
      </c>
      <c r="D813" s="3" t="s">
        <v>1</v>
      </c>
      <c r="E813" s="3" t="s">
        <v>6</v>
      </c>
      <c r="F813" s="6" t="s">
        <v>110</v>
      </c>
    </row>
    <row r="814" spans="1:9">
      <c r="A814" s="28">
        <v>23587</v>
      </c>
      <c r="B814" s="13"/>
      <c r="C814" s="13"/>
      <c r="D814" s="14"/>
      <c r="E814" s="14"/>
      <c r="F814" s="15"/>
      <c r="G814" s="15"/>
      <c r="H814" s="13"/>
      <c r="I814" s="13"/>
    </row>
    <row r="815" spans="1:9">
      <c r="A815" s="2">
        <v>23582</v>
      </c>
      <c r="B815" s="1" t="s">
        <v>446</v>
      </c>
      <c r="C815" s="1" t="s">
        <v>448</v>
      </c>
      <c r="D815" s="3" t="s">
        <v>1</v>
      </c>
      <c r="E815" s="3" t="s">
        <v>6</v>
      </c>
      <c r="F815" s="6" t="s">
        <v>110</v>
      </c>
    </row>
    <row r="816" spans="1:9">
      <c r="A816" s="2">
        <v>23582</v>
      </c>
      <c r="B816" s="1" t="s">
        <v>447</v>
      </c>
      <c r="C816" s="1" t="s">
        <v>448</v>
      </c>
      <c r="D816" s="3" t="s">
        <v>1</v>
      </c>
      <c r="E816" s="3" t="s">
        <v>6</v>
      </c>
      <c r="F816" s="6" t="s">
        <v>110</v>
      </c>
    </row>
    <row r="817" spans="1:9">
      <c r="A817" s="2">
        <v>23586</v>
      </c>
      <c r="B817" s="1" t="s">
        <v>159</v>
      </c>
      <c r="C817" s="1" t="s">
        <v>354</v>
      </c>
      <c r="D817" s="3" t="s">
        <v>1</v>
      </c>
      <c r="E817" s="3" t="s">
        <v>6</v>
      </c>
      <c r="F817" s="6" t="s">
        <v>110</v>
      </c>
    </row>
    <row r="818" spans="1:9">
      <c r="A818" s="2">
        <v>23587</v>
      </c>
      <c r="B818" s="1" t="s">
        <v>78</v>
      </c>
      <c r="C818" s="1" t="s">
        <v>349</v>
      </c>
      <c r="D818" s="3" t="s">
        <v>1</v>
      </c>
      <c r="E818" s="3" t="s">
        <v>6</v>
      </c>
      <c r="F818" s="6" t="s">
        <v>110</v>
      </c>
    </row>
    <row r="819" spans="1:9">
      <c r="A819" s="2">
        <v>23587</v>
      </c>
      <c r="B819" s="1" t="s">
        <v>372</v>
      </c>
      <c r="C819" s="1" t="s">
        <v>378</v>
      </c>
      <c r="D819" s="3" t="s">
        <v>1</v>
      </c>
      <c r="E819" s="3" t="s">
        <v>6</v>
      </c>
      <c r="F819" s="6" t="s">
        <v>110</v>
      </c>
    </row>
    <row r="820" spans="1:9">
      <c r="A820" s="2">
        <v>23587</v>
      </c>
      <c r="B820" s="1" t="s">
        <v>456</v>
      </c>
      <c r="C820" s="1" t="s">
        <v>458</v>
      </c>
      <c r="D820" s="3" t="s">
        <v>1</v>
      </c>
      <c r="E820" s="3" t="s">
        <v>6</v>
      </c>
      <c r="F820" s="6" t="s">
        <v>110</v>
      </c>
    </row>
    <row r="821" spans="1:9">
      <c r="A821" s="2">
        <v>23587</v>
      </c>
      <c r="B821" s="1" t="s">
        <v>209</v>
      </c>
      <c r="C821" s="1" t="s">
        <v>213</v>
      </c>
      <c r="D821" s="3" t="s">
        <v>1</v>
      </c>
      <c r="E821" s="3" t="s">
        <v>6</v>
      </c>
      <c r="F821" s="6" t="s">
        <v>110</v>
      </c>
    </row>
    <row r="822" spans="1:9">
      <c r="A822" s="2">
        <v>23587</v>
      </c>
      <c r="B822" s="1" t="s">
        <v>58</v>
      </c>
      <c r="C822" s="1" t="s">
        <v>214</v>
      </c>
      <c r="D822" s="3" t="s">
        <v>1</v>
      </c>
      <c r="E822" s="3" t="s">
        <v>6</v>
      </c>
      <c r="F822" s="6" t="s">
        <v>110</v>
      </c>
    </row>
    <row r="823" spans="1:9">
      <c r="A823" s="2">
        <v>23587</v>
      </c>
      <c r="B823" s="1" t="s">
        <v>11</v>
      </c>
      <c r="C823" s="1" t="s">
        <v>25</v>
      </c>
      <c r="D823" s="3" t="s">
        <v>2</v>
      </c>
      <c r="E823" s="3" t="s">
        <v>7</v>
      </c>
      <c r="F823" s="6" t="s">
        <v>119</v>
      </c>
    </row>
    <row r="824" spans="1:9">
      <c r="A824" s="2">
        <v>23587</v>
      </c>
      <c r="B824" s="1" t="s">
        <v>457</v>
      </c>
      <c r="C824" s="1" t="s">
        <v>459</v>
      </c>
      <c r="D824" s="3" t="s">
        <v>2</v>
      </c>
      <c r="E824" s="3" t="s">
        <v>7</v>
      </c>
      <c r="F824" s="6" t="s">
        <v>119</v>
      </c>
    </row>
    <row r="825" spans="1:9">
      <c r="A825" s="35">
        <v>23588</v>
      </c>
      <c r="B825" s="36"/>
      <c r="C825" s="36"/>
      <c r="D825" s="37"/>
      <c r="E825" s="37"/>
      <c r="F825" s="38"/>
      <c r="G825" s="38"/>
      <c r="H825" s="36"/>
      <c r="I825" s="36"/>
    </row>
    <row r="826" spans="1:9">
      <c r="A826" s="2">
        <v>23582</v>
      </c>
      <c r="B826" s="1" t="s">
        <v>446</v>
      </c>
      <c r="C826" s="1" t="s">
        <v>448</v>
      </c>
      <c r="D826" s="3" t="s">
        <v>1</v>
      </c>
      <c r="E826" s="3" t="s">
        <v>6</v>
      </c>
      <c r="F826" s="6" t="s">
        <v>110</v>
      </c>
    </row>
    <row r="827" spans="1:9">
      <c r="A827" s="2">
        <v>23582</v>
      </c>
      <c r="B827" s="1" t="s">
        <v>447</v>
      </c>
      <c r="C827" s="1" t="s">
        <v>448</v>
      </c>
      <c r="D827" s="3" t="s">
        <v>1</v>
      </c>
      <c r="E827" s="3" t="s">
        <v>6</v>
      </c>
      <c r="F827" s="6" t="s">
        <v>110</v>
      </c>
    </row>
    <row r="828" spans="1:9">
      <c r="A828" s="2">
        <v>23588</v>
      </c>
      <c r="B828" s="1" t="s">
        <v>78</v>
      </c>
      <c r="C828" s="1" t="s">
        <v>85</v>
      </c>
      <c r="D828" s="3" t="s">
        <v>1</v>
      </c>
      <c r="E828" s="3" t="s">
        <v>6</v>
      </c>
      <c r="F828" s="6" t="s">
        <v>110</v>
      </c>
    </row>
    <row r="829" spans="1:9">
      <c r="A829" s="2">
        <v>23588</v>
      </c>
      <c r="B829" s="1" t="s">
        <v>159</v>
      </c>
      <c r="C829" s="1" t="s">
        <v>158</v>
      </c>
      <c r="D829" s="3" t="s">
        <v>1</v>
      </c>
      <c r="E829" s="3" t="s">
        <v>6</v>
      </c>
      <c r="F829" s="6" t="s">
        <v>110</v>
      </c>
    </row>
    <row r="830" spans="1:9">
      <c r="A830" s="35">
        <v>23589</v>
      </c>
      <c r="B830" s="36"/>
      <c r="C830" s="36"/>
      <c r="D830" s="37"/>
      <c r="E830" s="37"/>
      <c r="F830" s="38"/>
      <c r="G830" s="38"/>
      <c r="H830" s="36"/>
      <c r="I830" s="36"/>
    </row>
    <row r="831" spans="1:9">
      <c r="A831" s="2">
        <v>23582</v>
      </c>
      <c r="B831" s="1" t="s">
        <v>446</v>
      </c>
      <c r="C831" s="1" t="s">
        <v>448</v>
      </c>
      <c r="D831" s="3" t="s">
        <v>1</v>
      </c>
      <c r="E831" s="3" t="s">
        <v>6</v>
      </c>
      <c r="F831" s="6" t="s">
        <v>110</v>
      </c>
    </row>
    <row r="832" spans="1:9">
      <c r="A832" s="2">
        <v>23582</v>
      </c>
      <c r="B832" s="1" t="s">
        <v>447</v>
      </c>
      <c r="C832" s="1" t="s">
        <v>448</v>
      </c>
      <c r="D832" s="3" t="s">
        <v>1</v>
      </c>
      <c r="E832" s="3" t="s">
        <v>6</v>
      </c>
      <c r="F832" s="6" t="s">
        <v>110</v>
      </c>
    </row>
    <row r="833" spans="1:9">
      <c r="A833" s="2">
        <v>23588</v>
      </c>
      <c r="B833" s="1" t="s">
        <v>78</v>
      </c>
      <c r="C833" s="1" t="s">
        <v>85</v>
      </c>
      <c r="D833" s="3" t="s">
        <v>1</v>
      </c>
      <c r="E833" s="3" t="s">
        <v>6</v>
      </c>
      <c r="F833" s="6" t="s">
        <v>110</v>
      </c>
    </row>
    <row r="834" spans="1:9">
      <c r="A834" s="2">
        <v>23588</v>
      </c>
      <c r="B834" s="1" t="s">
        <v>159</v>
      </c>
      <c r="C834" s="1" t="s">
        <v>158</v>
      </c>
      <c r="D834" s="3" t="s">
        <v>1</v>
      </c>
      <c r="E834" s="3" t="s">
        <v>6</v>
      </c>
      <c r="F834" s="6" t="s">
        <v>110</v>
      </c>
    </row>
    <row r="835" spans="1:9">
      <c r="A835" s="2">
        <v>23589</v>
      </c>
      <c r="B835" s="1" t="s">
        <v>206</v>
      </c>
      <c r="C835" s="1" t="s">
        <v>210</v>
      </c>
      <c r="D835" s="3" t="s">
        <v>1</v>
      </c>
      <c r="E835" s="3" t="s">
        <v>6</v>
      </c>
      <c r="F835" s="6" t="s">
        <v>110</v>
      </c>
    </row>
    <row r="836" spans="1:9">
      <c r="A836" s="2">
        <v>23589</v>
      </c>
      <c r="B836" s="1" t="s">
        <v>369</v>
      </c>
      <c r="C836" s="1" t="s">
        <v>421</v>
      </c>
      <c r="D836" s="3" t="s">
        <v>1</v>
      </c>
      <c r="E836" s="3" t="s">
        <v>6</v>
      </c>
      <c r="F836" s="6" t="s">
        <v>110</v>
      </c>
    </row>
    <row r="837" spans="1:9">
      <c r="A837" s="2">
        <v>23589</v>
      </c>
      <c r="B837" s="1" t="s">
        <v>256</v>
      </c>
      <c r="C837" s="1" t="s">
        <v>342</v>
      </c>
      <c r="D837" s="3" t="s">
        <v>1</v>
      </c>
      <c r="E837" s="3" t="s">
        <v>6</v>
      </c>
      <c r="F837" s="6" t="s">
        <v>110</v>
      </c>
    </row>
    <row r="838" spans="1:9">
      <c r="A838" s="2">
        <v>23589</v>
      </c>
      <c r="B838" s="1" t="s">
        <v>250</v>
      </c>
      <c r="C838" s="1" t="s">
        <v>251</v>
      </c>
      <c r="D838" s="3" t="s">
        <v>1</v>
      </c>
      <c r="E838" s="3" t="s">
        <v>6</v>
      </c>
      <c r="F838" s="6" t="s">
        <v>110</v>
      </c>
    </row>
    <row r="839" spans="1:9">
      <c r="A839" s="42">
        <v>23590</v>
      </c>
      <c r="B839" s="39"/>
      <c r="C839" s="39"/>
      <c r="D839" s="40"/>
      <c r="E839" s="40"/>
      <c r="F839" s="41"/>
      <c r="G839" s="41"/>
      <c r="H839" s="39"/>
      <c r="I839" s="39"/>
    </row>
    <row r="840" spans="1:9">
      <c r="A840" s="2">
        <v>23582</v>
      </c>
      <c r="B840" s="1" t="s">
        <v>446</v>
      </c>
      <c r="C840" s="1" t="s">
        <v>448</v>
      </c>
      <c r="D840" s="3" t="s">
        <v>1</v>
      </c>
      <c r="E840" s="3" t="s">
        <v>6</v>
      </c>
      <c r="F840" s="6" t="s">
        <v>110</v>
      </c>
    </row>
    <row r="841" spans="1:9">
      <c r="A841" s="2">
        <v>23582</v>
      </c>
      <c r="B841" s="1" t="s">
        <v>447</v>
      </c>
      <c r="C841" s="1" t="s">
        <v>448</v>
      </c>
      <c r="D841" s="3" t="s">
        <v>1</v>
      </c>
      <c r="E841" s="3" t="s">
        <v>6</v>
      </c>
      <c r="F841" s="6" t="s">
        <v>110</v>
      </c>
    </row>
    <row r="842" spans="1:9">
      <c r="A842" s="2">
        <v>23589</v>
      </c>
      <c r="B842" s="1" t="s">
        <v>256</v>
      </c>
      <c r="C842" s="1" t="s">
        <v>342</v>
      </c>
      <c r="D842" s="3" t="s">
        <v>1</v>
      </c>
      <c r="E842" s="3" t="s">
        <v>6</v>
      </c>
      <c r="F842" s="6" t="s">
        <v>110</v>
      </c>
    </row>
    <row r="843" spans="1:9">
      <c r="A843" s="2">
        <v>23589</v>
      </c>
      <c r="B843" s="1" t="s">
        <v>78</v>
      </c>
      <c r="C843" s="1" t="s">
        <v>85</v>
      </c>
      <c r="D843" s="3" t="s">
        <v>1</v>
      </c>
      <c r="E843" s="3" t="s">
        <v>6</v>
      </c>
      <c r="F843" s="6" t="s">
        <v>110</v>
      </c>
    </row>
    <row r="844" spans="1:9">
      <c r="A844" s="2">
        <v>23589</v>
      </c>
      <c r="B844" s="1" t="s">
        <v>159</v>
      </c>
      <c r="C844" s="1" t="s">
        <v>158</v>
      </c>
      <c r="D844" s="3" t="s">
        <v>1</v>
      </c>
      <c r="E844" s="3" t="s">
        <v>6</v>
      </c>
      <c r="F844" s="6" t="s">
        <v>110</v>
      </c>
    </row>
    <row r="845" spans="1:9">
      <c r="A845" s="2">
        <v>23590</v>
      </c>
      <c r="B845" s="1" t="s">
        <v>52</v>
      </c>
      <c r="C845" s="1" t="s">
        <v>61</v>
      </c>
      <c r="D845" s="3" t="s">
        <v>1</v>
      </c>
      <c r="E845" s="3" t="s">
        <v>6</v>
      </c>
      <c r="F845" s="6" t="s">
        <v>110</v>
      </c>
    </row>
    <row r="846" spans="1:9">
      <c r="A846" s="2">
        <v>23590</v>
      </c>
      <c r="B846" s="1" t="s">
        <v>53</v>
      </c>
      <c r="C846" s="1" t="s">
        <v>61</v>
      </c>
      <c r="D846" s="3" t="s">
        <v>1</v>
      </c>
      <c r="E846" s="3" t="s">
        <v>6</v>
      </c>
      <c r="F846" s="6" t="s">
        <v>110</v>
      </c>
    </row>
    <row r="847" spans="1:9">
      <c r="A847" s="42">
        <v>23591</v>
      </c>
      <c r="B847" s="39"/>
      <c r="C847" s="39"/>
      <c r="D847" s="40"/>
      <c r="E847" s="40"/>
      <c r="F847" s="41"/>
      <c r="G847" s="41"/>
      <c r="H847" s="39"/>
      <c r="I847" s="39"/>
    </row>
    <row r="848" spans="1:9">
      <c r="A848" s="2">
        <v>23582</v>
      </c>
      <c r="B848" s="1" t="s">
        <v>446</v>
      </c>
      <c r="C848" s="1" t="s">
        <v>448</v>
      </c>
      <c r="D848" s="3" t="s">
        <v>1</v>
      </c>
      <c r="E848" s="3" t="s">
        <v>6</v>
      </c>
      <c r="F848" s="6" t="s">
        <v>110</v>
      </c>
    </row>
    <row r="849" spans="1:9">
      <c r="A849" s="2">
        <v>23582</v>
      </c>
      <c r="B849" s="1" t="s">
        <v>447</v>
      </c>
      <c r="C849" s="1" t="s">
        <v>448</v>
      </c>
      <c r="D849" s="3" t="s">
        <v>1</v>
      </c>
      <c r="E849" s="3" t="s">
        <v>6</v>
      </c>
      <c r="F849" s="6" t="s">
        <v>110</v>
      </c>
    </row>
    <row r="850" spans="1:9">
      <c r="A850" s="2">
        <v>23590</v>
      </c>
      <c r="B850" s="1" t="s">
        <v>53</v>
      </c>
      <c r="C850" s="1" t="s">
        <v>61</v>
      </c>
      <c r="D850" s="3" t="s">
        <v>1</v>
      </c>
      <c r="E850" s="3" t="s">
        <v>6</v>
      </c>
      <c r="F850" s="6" t="s">
        <v>110</v>
      </c>
    </row>
    <row r="851" spans="1:9">
      <c r="A851" s="2">
        <v>23591</v>
      </c>
      <c r="B851" s="1" t="s">
        <v>159</v>
      </c>
      <c r="C851" s="1" t="s">
        <v>158</v>
      </c>
      <c r="D851" s="3" t="s">
        <v>1</v>
      </c>
      <c r="E851" s="3" t="s">
        <v>6</v>
      </c>
      <c r="F851" s="6" t="s">
        <v>110</v>
      </c>
    </row>
    <row r="852" spans="1:9">
      <c r="A852" s="2">
        <v>23591</v>
      </c>
      <c r="B852" s="1" t="s">
        <v>78</v>
      </c>
      <c r="C852" s="1" t="s">
        <v>85</v>
      </c>
      <c r="D852" s="3" t="s">
        <v>1</v>
      </c>
      <c r="E852" s="3" t="s">
        <v>6</v>
      </c>
      <c r="F852" s="6" t="s">
        <v>110</v>
      </c>
    </row>
    <row r="853" spans="1:9">
      <c r="A853" s="2">
        <v>23591</v>
      </c>
      <c r="B853" s="1" t="s">
        <v>256</v>
      </c>
      <c r="C853" s="1" t="s">
        <v>342</v>
      </c>
      <c r="D853" s="3" t="s">
        <v>1</v>
      </c>
      <c r="E853" s="3" t="s">
        <v>6</v>
      </c>
      <c r="F853" s="6" t="s">
        <v>110</v>
      </c>
    </row>
    <row r="854" spans="1:9">
      <c r="A854" s="2">
        <v>23591</v>
      </c>
      <c r="B854" s="1" t="s">
        <v>11</v>
      </c>
      <c r="C854" s="1" t="s">
        <v>25</v>
      </c>
      <c r="D854" s="3" t="s">
        <v>2</v>
      </c>
      <c r="E854" s="3" t="s">
        <v>7</v>
      </c>
      <c r="F854" s="6" t="s">
        <v>119</v>
      </c>
    </row>
    <row r="855" spans="1:9">
      <c r="A855" s="2">
        <v>23591</v>
      </c>
      <c r="B855" s="1" t="s">
        <v>238</v>
      </c>
      <c r="C855" s="1" t="s">
        <v>307</v>
      </c>
      <c r="D855" s="3" t="s">
        <v>2</v>
      </c>
      <c r="E855" s="3" t="s">
        <v>7</v>
      </c>
      <c r="F855" s="6" t="s">
        <v>119</v>
      </c>
    </row>
    <row r="856" spans="1:9">
      <c r="A856" s="42">
        <v>23592</v>
      </c>
      <c r="B856" s="39"/>
      <c r="C856" s="39"/>
      <c r="D856" s="40"/>
      <c r="E856" s="40"/>
      <c r="F856" s="41"/>
      <c r="G856" s="41"/>
      <c r="H856" s="39"/>
      <c r="I856" s="39"/>
    </row>
    <row r="857" spans="1:9">
      <c r="A857" s="2">
        <v>23582</v>
      </c>
      <c r="B857" s="1" t="s">
        <v>446</v>
      </c>
      <c r="C857" s="1" t="s">
        <v>448</v>
      </c>
      <c r="D857" s="3" t="s">
        <v>1</v>
      </c>
      <c r="E857" s="3" t="s">
        <v>6</v>
      </c>
      <c r="F857" s="6" t="s">
        <v>110</v>
      </c>
    </row>
    <row r="858" spans="1:9">
      <c r="A858" s="2">
        <v>23582</v>
      </c>
      <c r="B858" s="1" t="s">
        <v>447</v>
      </c>
      <c r="C858" s="1" t="s">
        <v>448</v>
      </c>
      <c r="D858" s="3" t="s">
        <v>1</v>
      </c>
      <c r="E858" s="3" t="s">
        <v>6</v>
      </c>
      <c r="F858" s="6" t="s">
        <v>110</v>
      </c>
    </row>
    <row r="859" spans="1:9">
      <c r="A859" s="2">
        <v>23590</v>
      </c>
      <c r="B859" s="1" t="s">
        <v>53</v>
      </c>
      <c r="C859" s="1" t="s">
        <v>61</v>
      </c>
      <c r="D859" s="3" t="s">
        <v>1</v>
      </c>
      <c r="E859" s="3" t="s">
        <v>6</v>
      </c>
      <c r="F859" s="6" t="s">
        <v>110</v>
      </c>
    </row>
    <row r="860" spans="1:9">
      <c r="A860" s="2">
        <v>23592</v>
      </c>
      <c r="B860" s="1" t="s">
        <v>159</v>
      </c>
      <c r="C860" s="1" t="s">
        <v>354</v>
      </c>
      <c r="D860" s="3" t="s">
        <v>1</v>
      </c>
      <c r="E860" s="3" t="s">
        <v>6</v>
      </c>
      <c r="F860" s="6" t="s">
        <v>110</v>
      </c>
    </row>
    <row r="861" spans="1:9">
      <c r="A861" s="2">
        <v>23592</v>
      </c>
      <c r="B861" s="1" t="s">
        <v>369</v>
      </c>
      <c r="C861" s="1" t="s">
        <v>421</v>
      </c>
      <c r="D861" s="3" t="s">
        <v>1</v>
      </c>
      <c r="E861" s="3" t="s">
        <v>6</v>
      </c>
      <c r="F861" s="6" t="s">
        <v>110</v>
      </c>
    </row>
    <row r="862" spans="1:9">
      <c r="A862" s="2">
        <v>23592</v>
      </c>
      <c r="B862" s="1" t="s">
        <v>460</v>
      </c>
      <c r="C862" s="1" t="s">
        <v>463</v>
      </c>
      <c r="D862" s="3" t="s">
        <v>1</v>
      </c>
      <c r="E862" s="3" t="s">
        <v>6</v>
      </c>
      <c r="F862" s="6" t="s">
        <v>110</v>
      </c>
    </row>
    <row r="863" spans="1:9">
      <c r="A863" s="2">
        <v>23592</v>
      </c>
      <c r="B863" s="1" t="s">
        <v>78</v>
      </c>
      <c r="C863" s="1" t="s">
        <v>85</v>
      </c>
      <c r="D863" s="3" t="s">
        <v>1</v>
      </c>
      <c r="E863" s="3" t="s">
        <v>6</v>
      </c>
      <c r="F863" s="6" t="s">
        <v>110</v>
      </c>
    </row>
    <row r="864" spans="1:9">
      <c r="A864" s="2">
        <v>23592</v>
      </c>
      <c r="B864" s="1" t="s">
        <v>256</v>
      </c>
      <c r="C864" s="1" t="s">
        <v>342</v>
      </c>
      <c r="D864" s="3" t="s">
        <v>1</v>
      </c>
      <c r="E864" s="3" t="s">
        <v>6</v>
      </c>
      <c r="F864" s="6" t="s">
        <v>110</v>
      </c>
    </row>
    <row r="865" spans="1:9">
      <c r="A865" s="2">
        <v>23592</v>
      </c>
      <c r="B865" s="1" t="s">
        <v>461</v>
      </c>
      <c r="C865" s="1" t="s">
        <v>464</v>
      </c>
      <c r="D865" s="3" t="s">
        <v>1</v>
      </c>
      <c r="E865" s="3" t="s">
        <v>6</v>
      </c>
      <c r="F865" s="6" t="s">
        <v>110</v>
      </c>
    </row>
    <row r="866" spans="1:9">
      <c r="A866" s="2">
        <v>23592</v>
      </c>
      <c r="B866" s="1" t="s">
        <v>462</v>
      </c>
      <c r="C866" s="1" t="s">
        <v>465</v>
      </c>
      <c r="D866" s="3" t="s">
        <v>1</v>
      </c>
      <c r="E866" s="3" t="s">
        <v>6</v>
      </c>
      <c r="F866" s="6" t="s">
        <v>110</v>
      </c>
    </row>
    <row r="867" spans="1:9">
      <c r="A867" s="42">
        <v>23593</v>
      </c>
      <c r="B867" s="39"/>
      <c r="C867" s="39"/>
      <c r="D867" s="40"/>
      <c r="E867" s="40"/>
      <c r="F867" s="41"/>
      <c r="G867" s="41"/>
      <c r="H867" s="39"/>
      <c r="I867" s="39"/>
    </row>
    <row r="868" spans="1:9">
      <c r="A868" s="2">
        <v>23582</v>
      </c>
      <c r="B868" s="1" t="s">
        <v>446</v>
      </c>
      <c r="C868" s="1" t="s">
        <v>448</v>
      </c>
      <c r="D868" s="3" t="s">
        <v>1</v>
      </c>
      <c r="E868" s="3" t="s">
        <v>6</v>
      </c>
      <c r="F868" s="6" t="s">
        <v>110</v>
      </c>
    </row>
    <row r="869" spans="1:9">
      <c r="A869" s="2">
        <v>23582</v>
      </c>
      <c r="B869" s="1" t="s">
        <v>447</v>
      </c>
      <c r="C869" s="1" t="s">
        <v>448</v>
      </c>
      <c r="D869" s="3" t="s">
        <v>1</v>
      </c>
      <c r="E869" s="3" t="s">
        <v>6</v>
      </c>
      <c r="F869" s="6" t="s">
        <v>110</v>
      </c>
    </row>
    <row r="870" spans="1:9">
      <c r="A870" s="2">
        <v>23590</v>
      </c>
      <c r="B870" s="1" t="s">
        <v>53</v>
      </c>
      <c r="C870" s="1" t="s">
        <v>61</v>
      </c>
      <c r="D870" s="3" t="s">
        <v>1</v>
      </c>
      <c r="E870" s="3" t="s">
        <v>6</v>
      </c>
      <c r="F870" s="6" t="s">
        <v>110</v>
      </c>
    </row>
    <row r="871" spans="1:9">
      <c r="A871" s="2">
        <v>23592</v>
      </c>
      <c r="B871" s="1" t="s">
        <v>462</v>
      </c>
      <c r="C871" s="1" t="s">
        <v>465</v>
      </c>
      <c r="D871" s="3" t="s">
        <v>1</v>
      </c>
      <c r="E871" s="3" t="s">
        <v>6</v>
      </c>
      <c r="F871" s="6" t="s">
        <v>110</v>
      </c>
    </row>
    <row r="872" spans="1:9">
      <c r="A872" s="2">
        <v>23593</v>
      </c>
      <c r="B872" s="1" t="s">
        <v>78</v>
      </c>
      <c r="C872" s="1" t="s">
        <v>85</v>
      </c>
      <c r="D872" s="3" t="s">
        <v>1</v>
      </c>
      <c r="E872" s="3" t="s">
        <v>6</v>
      </c>
      <c r="F872" s="6" t="s">
        <v>110</v>
      </c>
    </row>
    <row r="873" spans="1:9">
      <c r="A873" s="2">
        <v>23593</v>
      </c>
      <c r="B873" s="1" t="s">
        <v>159</v>
      </c>
      <c r="C873" s="1" t="s">
        <v>158</v>
      </c>
      <c r="D873" s="3" t="s">
        <v>1</v>
      </c>
      <c r="E873" s="3" t="s">
        <v>6</v>
      </c>
      <c r="F873" s="6" t="s">
        <v>110</v>
      </c>
    </row>
    <row r="874" spans="1:9">
      <c r="A874" s="2">
        <v>23593</v>
      </c>
      <c r="B874" s="1" t="s">
        <v>51</v>
      </c>
      <c r="C874" s="1" t="s">
        <v>127</v>
      </c>
      <c r="D874" s="3" t="s">
        <v>2</v>
      </c>
      <c r="E874" s="3" t="s">
        <v>7</v>
      </c>
      <c r="F874" s="6" t="s">
        <v>119</v>
      </c>
    </row>
    <row r="875" spans="1:9">
      <c r="A875" s="42">
        <v>23594</v>
      </c>
      <c r="B875" s="39"/>
      <c r="C875" s="39"/>
      <c r="D875" s="40"/>
      <c r="E875" s="40"/>
      <c r="F875" s="41"/>
      <c r="G875" s="41"/>
      <c r="H875" s="39"/>
      <c r="I875" s="39"/>
    </row>
    <row r="876" spans="1:9">
      <c r="A876" s="2">
        <v>23582</v>
      </c>
      <c r="B876" s="1" t="s">
        <v>446</v>
      </c>
      <c r="C876" s="1" t="s">
        <v>448</v>
      </c>
      <c r="D876" s="3" t="s">
        <v>1</v>
      </c>
      <c r="E876" s="3" t="s">
        <v>6</v>
      </c>
      <c r="F876" s="6" t="s">
        <v>110</v>
      </c>
    </row>
    <row r="877" spans="1:9">
      <c r="A877" s="2">
        <v>23582</v>
      </c>
      <c r="B877" s="1" t="s">
        <v>447</v>
      </c>
      <c r="C877" s="1" t="s">
        <v>448</v>
      </c>
      <c r="D877" s="3" t="s">
        <v>1</v>
      </c>
      <c r="E877" s="3" t="s">
        <v>6</v>
      </c>
      <c r="F877" s="6" t="s">
        <v>110</v>
      </c>
    </row>
    <row r="878" spans="1:9">
      <c r="A878" s="2">
        <v>23590</v>
      </c>
      <c r="B878" s="1" t="s">
        <v>53</v>
      </c>
      <c r="C878" s="1" t="s">
        <v>61</v>
      </c>
      <c r="D878" s="3" t="s">
        <v>1</v>
      </c>
      <c r="E878" s="3" t="s">
        <v>6</v>
      </c>
      <c r="F878" s="6" t="s">
        <v>110</v>
      </c>
    </row>
    <row r="879" spans="1:9">
      <c r="A879" s="2">
        <v>23594</v>
      </c>
      <c r="B879" s="1" t="s">
        <v>159</v>
      </c>
      <c r="C879" s="1" t="s">
        <v>158</v>
      </c>
      <c r="D879" s="3" t="s">
        <v>1</v>
      </c>
      <c r="E879" s="3" t="s">
        <v>6</v>
      </c>
      <c r="F879" s="6" t="s">
        <v>110</v>
      </c>
    </row>
    <row r="880" spans="1:9">
      <c r="A880" s="2">
        <v>23594</v>
      </c>
      <c r="B880" s="1" t="s">
        <v>78</v>
      </c>
      <c r="C880" s="1" t="s">
        <v>85</v>
      </c>
      <c r="D880" s="3" t="s">
        <v>1</v>
      </c>
      <c r="E880" s="3" t="s">
        <v>6</v>
      </c>
      <c r="F880" s="6" t="s">
        <v>110</v>
      </c>
    </row>
    <row r="881" spans="1:9">
      <c r="A881" s="42">
        <v>23595</v>
      </c>
      <c r="B881" s="39"/>
      <c r="C881" s="39"/>
      <c r="D881" s="40"/>
      <c r="E881" s="40"/>
      <c r="F881" s="41"/>
      <c r="G881" s="41"/>
      <c r="H881" s="39"/>
      <c r="I881" s="39"/>
    </row>
    <row r="882" spans="1:9">
      <c r="A882" s="2">
        <v>23582</v>
      </c>
      <c r="B882" s="1" t="s">
        <v>446</v>
      </c>
      <c r="C882" s="1" t="s">
        <v>448</v>
      </c>
      <c r="D882" s="3" t="s">
        <v>1</v>
      </c>
      <c r="E882" s="3" t="s">
        <v>6</v>
      </c>
      <c r="F882" s="6" t="s">
        <v>110</v>
      </c>
    </row>
    <row r="883" spans="1:9">
      <c r="A883" s="2">
        <v>23582</v>
      </c>
      <c r="B883" s="1" t="s">
        <v>447</v>
      </c>
      <c r="C883" s="1" t="s">
        <v>448</v>
      </c>
      <c r="D883" s="3" t="s">
        <v>1</v>
      </c>
      <c r="E883" s="3" t="s">
        <v>6</v>
      </c>
      <c r="F883" s="6" t="s">
        <v>110</v>
      </c>
    </row>
    <row r="884" spans="1:9">
      <c r="A884" s="2">
        <v>23590</v>
      </c>
      <c r="B884" s="1" t="s">
        <v>53</v>
      </c>
      <c r="C884" s="1" t="s">
        <v>61</v>
      </c>
      <c r="D884" s="3" t="s">
        <v>1</v>
      </c>
      <c r="E884" s="3" t="s">
        <v>6</v>
      </c>
      <c r="F884" s="6" t="s">
        <v>110</v>
      </c>
    </row>
    <row r="885" spans="1:9">
      <c r="A885" s="2">
        <v>23595</v>
      </c>
      <c r="B885" s="1" t="s">
        <v>159</v>
      </c>
      <c r="C885" s="1" t="s">
        <v>158</v>
      </c>
      <c r="D885" s="3" t="s">
        <v>1</v>
      </c>
      <c r="E885" s="3" t="s">
        <v>6</v>
      </c>
      <c r="F885" s="6" t="s">
        <v>110</v>
      </c>
    </row>
    <row r="886" spans="1:9">
      <c r="A886" s="2">
        <v>23595</v>
      </c>
      <c r="B886" s="1" t="s">
        <v>78</v>
      </c>
      <c r="C886" s="1" t="s">
        <v>85</v>
      </c>
      <c r="D886" s="3" t="s">
        <v>1</v>
      </c>
      <c r="E886" s="3" t="s">
        <v>6</v>
      </c>
      <c r="F886" s="6" t="s">
        <v>110</v>
      </c>
    </row>
    <row r="887" spans="1:9">
      <c r="A887" s="2">
        <v>23595</v>
      </c>
      <c r="B887" s="1" t="s">
        <v>208</v>
      </c>
      <c r="C887" s="1" t="s">
        <v>342</v>
      </c>
      <c r="D887" s="3" t="s">
        <v>1</v>
      </c>
      <c r="E887" s="3" t="s">
        <v>6</v>
      </c>
      <c r="F887" s="6" t="s">
        <v>110</v>
      </c>
    </row>
    <row r="888" spans="1:9">
      <c r="A888" s="2">
        <v>23595</v>
      </c>
      <c r="B888" s="1" t="s">
        <v>170</v>
      </c>
      <c r="C888" s="1" t="s">
        <v>187</v>
      </c>
      <c r="D888" s="3" t="s">
        <v>1</v>
      </c>
      <c r="E888" s="3" t="s">
        <v>6</v>
      </c>
      <c r="F888" s="6" t="s">
        <v>110</v>
      </c>
    </row>
    <row r="889" spans="1:9">
      <c r="A889" s="2">
        <v>23595</v>
      </c>
      <c r="B889" s="1" t="s">
        <v>438</v>
      </c>
      <c r="C889" s="1" t="s">
        <v>269</v>
      </c>
      <c r="D889" s="3" t="s">
        <v>1</v>
      </c>
      <c r="E889" s="3" t="s">
        <v>6</v>
      </c>
      <c r="F889" s="6" t="s">
        <v>110</v>
      </c>
    </row>
    <row r="890" spans="1:9">
      <c r="A890" s="2">
        <v>23595</v>
      </c>
      <c r="B890" s="1" t="s">
        <v>121</v>
      </c>
      <c r="C890" s="1" t="s">
        <v>28</v>
      </c>
      <c r="D890" s="3" t="s">
        <v>2</v>
      </c>
      <c r="E890" s="3" t="s">
        <v>7</v>
      </c>
      <c r="F890" s="6" t="s">
        <v>119</v>
      </c>
    </row>
    <row r="891" spans="1:9">
      <c r="A891" s="42">
        <v>23596</v>
      </c>
      <c r="B891" s="39"/>
      <c r="C891" s="39"/>
      <c r="D891" s="40"/>
      <c r="E891" s="40"/>
      <c r="F891" s="41"/>
      <c r="G891" s="41"/>
      <c r="H891" s="39"/>
      <c r="I891" s="39"/>
    </row>
    <row r="892" spans="1:9">
      <c r="A892" s="2">
        <v>23582</v>
      </c>
      <c r="B892" s="1" t="s">
        <v>446</v>
      </c>
      <c r="C892" s="1" t="s">
        <v>448</v>
      </c>
      <c r="D892" s="3" t="s">
        <v>1</v>
      </c>
      <c r="E892" s="3" t="s">
        <v>6</v>
      </c>
      <c r="F892" s="6" t="s">
        <v>110</v>
      </c>
    </row>
    <row r="893" spans="1:9">
      <c r="A893" s="2">
        <v>23582</v>
      </c>
      <c r="B893" s="1" t="s">
        <v>447</v>
      </c>
      <c r="C893" s="1" t="s">
        <v>448</v>
      </c>
      <c r="D893" s="3" t="s">
        <v>1</v>
      </c>
      <c r="E893" s="3" t="s">
        <v>6</v>
      </c>
      <c r="F893" s="6" t="s">
        <v>110</v>
      </c>
    </row>
    <row r="894" spans="1:9">
      <c r="A894" s="2">
        <v>23590</v>
      </c>
      <c r="B894" s="1" t="s">
        <v>53</v>
      </c>
      <c r="C894" s="1" t="s">
        <v>61</v>
      </c>
      <c r="D894" s="3" t="s">
        <v>1</v>
      </c>
      <c r="E894" s="3" t="s">
        <v>6</v>
      </c>
      <c r="F894" s="6" t="s">
        <v>110</v>
      </c>
    </row>
    <row r="895" spans="1:9">
      <c r="A895" s="2">
        <v>23595</v>
      </c>
      <c r="B895" s="1" t="s">
        <v>159</v>
      </c>
      <c r="C895" s="1" t="s">
        <v>158</v>
      </c>
      <c r="D895" s="3" t="s">
        <v>1</v>
      </c>
      <c r="E895" s="3" t="s">
        <v>6</v>
      </c>
      <c r="F895" s="6" t="s">
        <v>110</v>
      </c>
    </row>
    <row r="896" spans="1:9">
      <c r="A896" s="2">
        <v>23595</v>
      </c>
      <c r="B896" s="1" t="s">
        <v>78</v>
      </c>
      <c r="C896" s="1" t="s">
        <v>85</v>
      </c>
      <c r="D896" s="3" t="s">
        <v>1</v>
      </c>
      <c r="E896" s="3" t="s">
        <v>6</v>
      </c>
      <c r="F896" s="6" t="s">
        <v>110</v>
      </c>
    </row>
    <row r="897" spans="1:9">
      <c r="A897" s="2">
        <v>23595</v>
      </c>
      <c r="B897" s="1" t="s">
        <v>208</v>
      </c>
      <c r="C897" s="1" t="s">
        <v>342</v>
      </c>
      <c r="D897" s="3" t="s">
        <v>1</v>
      </c>
      <c r="E897" s="3" t="s">
        <v>6</v>
      </c>
      <c r="F897" s="6" t="s">
        <v>110</v>
      </c>
    </row>
    <row r="898" spans="1:9">
      <c r="A898" s="2">
        <v>23595</v>
      </c>
      <c r="B898" s="1" t="s">
        <v>170</v>
      </c>
      <c r="C898" s="1" t="s">
        <v>187</v>
      </c>
      <c r="D898" s="3" t="s">
        <v>1</v>
      </c>
      <c r="E898" s="3" t="s">
        <v>6</v>
      </c>
      <c r="F898" s="6" t="s">
        <v>110</v>
      </c>
    </row>
    <row r="899" spans="1:9">
      <c r="A899" s="2">
        <v>23595</v>
      </c>
      <c r="B899" s="1" t="s">
        <v>438</v>
      </c>
      <c r="C899" s="1" t="s">
        <v>269</v>
      </c>
      <c r="D899" s="3" t="s">
        <v>1</v>
      </c>
      <c r="E899" s="3" t="s">
        <v>6</v>
      </c>
      <c r="F899" s="6" t="s">
        <v>110</v>
      </c>
    </row>
    <row r="900" spans="1:9">
      <c r="A900" s="46">
        <v>23597</v>
      </c>
      <c r="B900" s="43"/>
      <c r="C900" s="43"/>
      <c r="D900" s="44"/>
      <c r="E900" s="44"/>
      <c r="F900" s="45"/>
      <c r="G900" s="45"/>
      <c r="H900" s="43"/>
      <c r="I900" s="43"/>
    </row>
    <row r="901" spans="1:9">
      <c r="A901" s="2">
        <v>23595</v>
      </c>
      <c r="B901" s="1" t="s">
        <v>208</v>
      </c>
      <c r="C901" s="1" t="s">
        <v>342</v>
      </c>
      <c r="D901" s="3" t="s">
        <v>1</v>
      </c>
      <c r="E901" s="3" t="s">
        <v>6</v>
      </c>
      <c r="F901" s="6" t="s">
        <v>110</v>
      </c>
    </row>
    <row r="902" spans="1:9">
      <c r="A902" s="2">
        <v>23597</v>
      </c>
      <c r="B902" s="1" t="s">
        <v>52</v>
      </c>
      <c r="C902" s="1" t="s">
        <v>61</v>
      </c>
      <c r="D902" s="3" t="s">
        <v>1</v>
      </c>
      <c r="E902" s="3" t="s">
        <v>6</v>
      </c>
      <c r="F902" s="6" t="s">
        <v>110</v>
      </c>
    </row>
    <row r="903" spans="1:9">
      <c r="A903" s="2">
        <v>23597</v>
      </c>
      <c r="B903" s="1" t="s">
        <v>53</v>
      </c>
      <c r="C903" s="1" t="s">
        <v>61</v>
      </c>
      <c r="D903" s="3" t="s">
        <v>1</v>
      </c>
      <c r="E903" s="3" t="s">
        <v>6</v>
      </c>
      <c r="F903" s="6" t="s">
        <v>110</v>
      </c>
    </row>
    <row r="904" spans="1:9">
      <c r="A904" s="2">
        <v>23597</v>
      </c>
      <c r="B904" s="1" t="s">
        <v>159</v>
      </c>
      <c r="C904" s="1" t="s">
        <v>158</v>
      </c>
      <c r="D904" s="3" t="s">
        <v>1</v>
      </c>
      <c r="E904" s="3" t="s">
        <v>6</v>
      </c>
      <c r="F904" s="6" t="s">
        <v>110</v>
      </c>
    </row>
    <row r="905" spans="1:9">
      <c r="A905" s="2">
        <v>23597</v>
      </c>
      <c r="B905" s="1" t="s">
        <v>369</v>
      </c>
      <c r="C905" s="1" t="s">
        <v>421</v>
      </c>
      <c r="D905" s="3" t="s">
        <v>1</v>
      </c>
      <c r="E905" s="3" t="s">
        <v>6</v>
      </c>
      <c r="F905" s="6" t="s">
        <v>110</v>
      </c>
    </row>
    <row r="906" spans="1:9">
      <c r="A906" s="2">
        <v>23597</v>
      </c>
      <c r="B906" s="1" t="s">
        <v>460</v>
      </c>
      <c r="C906" s="1" t="s">
        <v>463</v>
      </c>
      <c r="D906" s="3" t="s">
        <v>1</v>
      </c>
      <c r="E906" s="3" t="s">
        <v>6</v>
      </c>
      <c r="F906" s="6" t="s">
        <v>110</v>
      </c>
    </row>
    <row r="907" spans="1:9">
      <c r="A907" s="2">
        <v>23597</v>
      </c>
      <c r="B907" s="1" t="s">
        <v>226</v>
      </c>
      <c r="C907" s="1" t="s">
        <v>227</v>
      </c>
      <c r="D907" s="3" t="s">
        <v>1</v>
      </c>
      <c r="E907" s="3" t="s">
        <v>6</v>
      </c>
      <c r="F907" s="6" t="s">
        <v>110</v>
      </c>
    </row>
    <row r="908" spans="1:9">
      <c r="A908" s="46">
        <v>23598</v>
      </c>
      <c r="B908" s="43"/>
      <c r="C908" s="43"/>
      <c r="D908" s="44"/>
      <c r="E908" s="44"/>
      <c r="F908" s="45"/>
      <c r="G908" s="45"/>
      <c r="H908" s="43"/>
      <c r="I908" s="43"/>
    </row>
    <row r="909" spans="1:9">
      <c r="A909" s="2">
        <v>23595</v>
      </c>
      <c r="B909" s="1" t="s">
        <v>208</v>
      </c>
      <c r="C909" s="1" t="s">
        <v>342</v>
      </c>
      <c r="D909" s="3" t="s">
        <v>1</v>
      </c>
      <c r="E909" s="3" t="s">
        <v>6</v>
      </c>
      <c r="F909" s="6" t="s">
        <v>110</v>
      </c>
    </row>
    <row r="910" spans="1:9">
      <c r="A910" s="2">
        <v>23597</v>
      </c>
      <c r="B910" s="1" t="s">
        <v>159</v>
      </c>
      <c r="C910" s="1" t="s">
        <v>158</v>
      </c>
      <c r="D910" s="3" t="s">
        <v>1</v>
      </c>
      <c r="E910" s="3" t="s">
        <v>6</v>
      </c>
      <c r="F910" s="6" t="s">
        <v>110</v>
      </c>
    </row>
    <row r="911" spans="1:9">
      <c r="A911" s="2">
        <v>23597</v>
      </c>
      <c r="B911" s="1" t="s">
        <v>460</v>
      </c>
      <c r="C911" s="1" t="s">
        <v>463</v>
      </c>
      <c r="D911" s="3" t="s">
        <v>1</v>
      </c>
      <c r="E911" s="3" t="s">
        <v>6</v>
      </c>
      <c r="F911" s="6" t="s">
        <v>110</v>
      </c>
    </row>
    <row r="912" spans="1:9">
      <c r="A912" s="2">
        <v>23597</v>
      </c>
      <c r="B912" s="1" t="s">
        <v>302</v>
      </c>
      <c r="C912" s="1" t="s">
        <v>127</v>
      </c>
      <c r="D912" s="3" t="s">
        <v>1</v>
      </c>
      <c r="E912" s="3" t="s">
        <v>6</v>
      </c>
      <c r="F912" s="6" t="s">
        <v>110</v>
      </c>
    </row>
    <row r="913" spans="1:9">
      <c r="A913" s="2">
        <v>23598</v>
      </c>
      <c r="B913" s="1" t="s">
        <v>121</v>
      </c>
      <c r="C913" s="1" t="s">
        <v>28</v>
      </c>
      <c r="D913" s="3" t="s">
        <v>2</v>
      </c>
      <c r="E913" s="3" t="s">
        <v>7</v>
      </c>
      <c r="F913" s="6" t="s">
        <v>119</v>
      </c>
    </row>
    <row r="914" spans="1:9">
      <c r="A914" s="50">
        <v>23599</v>
      </c>
      <c r="B914" s="47"/>
      <c r="C914" s="47"/>
      <c r="D914" s="48"/>
      <c r="E914" s="48"/>
      <c r="F914" s="49"/>
      <c r="G914" s="49"/>
      <c r="H914" s="47"/>
      <c r="I914" s="47"/>
    </row>
    <row r="915" spans="1:9">
      <c r="A915" s="2">
        <v>23595</v>
      </c>
      <c r="B915" s="1" t="s">
        <v>208</v>
      </c>
      <c r="C915" s="1" t="s">
        <v>342</v>
      </c>
      <c r="D915" s="3" t="s">
        <v>1</v>
      </c>
      <c r="E915" s="3" t="s">
        <v>6</v>
      </c>
      <c r="F915" s="6" t="s">
        <v>110</v>
      </c>
    </row>
    <row r="916" spans="1:9">
      <c r="A916" s="2">
        <v>23599</v>
      </c>
      <c r="B916" s="1" t="s">
        <v>121</v>
      </c>
      <c r="C916" s="1" t="s">
        <v>28</v>
      </c>
      <c r="D916" s="3" t="s">
        <v>2</v>
      </c>
      <c r="E916" s="3" t="s">
        <v>7</v>
      </c>
      <c r="F916" s="6" t="s">
        <v>119</v>
      </c>
    </row>
    <row r="917" spans="1:9">
      <c r="A917" s="2">
        <v>23599</v>
      </c>
      <c r="B917" s="1" t="s">
        <v>302</v>
      </c>
      <c r="C917" s="1" t="s">
        <v>127</v>
      </c>
      <c r="D917" s="3" t="s">
        <v>2</v>
      </c>
      <c r="E917" s="3" t="s">
        <v>7</v>
      </c>
      <c r="F917" s="6" t="s">
        <v>119</v>
      </c>
    </row>
    <row r="918" spans="1:9">
      <c r="A918" s="2">
        <v>23599</v>
      </c>
      <c r="B918" s="1" t="s">
        <v>244</v>
      </c>
      <c r="C918" s="1" t="s">
        <v>243</v>
      </c>
      <c r="D918" s="3" t="s">
        <v>2</v>
      </c>
      <c r="E918" s="3" t="s">
        <v>7</v>
      </c>
      <c r="F918" s="6" t="s">
        <v>119</v>
      </c>
    </row>
    <row r="919" spans="1:9">
      <c r="A919" s="2">
        <v>23599</v>
      </c>
      <c r="B919" s="1" t="s">
        <v>466</v>
      </c>
      <c r="C919" s="1" t="s">
        <v>467</v>
      </c>
      <c r="D919" s="3" t="s">
        <v>2</v>
      </c>
      <c r="E919" s="3" t="s">
        <v>7</v>
      </c>
      <c r="F919" s="6" t="s">
        <v>119</v>
      </c>
    </row>
    <row r="920" spans="1:9">
      <c r="A920" s="50">
        <v>23600</v>
      </c>
      <c r="B920" s="47"/>
      <c r="C920" s="47"/>
      <c r="D920" s="48"/>
      <c r="E920" s="48"/>
      <c r="F920" s="49"/>
      <c r="G920" s="49"/>
      <c r="H920" s="47"/>
      <c r="I920" s="47"/>
    </row>
    <row r="921" spans="1:9">
      <c r="A921" s="2">
        <v>23595</v>
      </c>
      <c r="B921" s="1" t="s">
        <v>208</v>
      </c>
      <c r="C921" s="1" t="s">
        <v>342</v>
      </c>
      <c r="D921" s="3" t="s">
        <v>1</v>
      </c>
      <c r="E921" s="3" t="s">
        <v>6</v>
      </c>
      <c r="F921" s="6" t="s">
        <v>110</v>
      </c>
    </row>
    <row r="922" spans="1:9">
      <c r="A922" s="2">
        <v>23600</v>
      </c>
      <c r="B922" s="1" t="s">
        <v>261</v>
      </c>
      <c r="C922" s="1" t="s">
        <v>263</v>
      </c>
      <c r="D922" s="3" t="s">
        <v>1</v>
      </c>
      <c r="E922" s="3" t="s">
        <v>6</v>
      </c>
      <c r="F922" s="6" t="s">
        <v>110</v>
      </c>
    </row>
    <row r="923" spans="1:9">
      <c r="A923" s="2">
        <v>23600</v>
      </c>
      <c r="B923" s="1" t="s">
        <v>468</v>
      </c>
      <c r="C923" s="1" t="s">
        <v>469</v>
      </c>
      <c r="D923" s="3" t="s">
        <v>2</v>
      </c>
      <c r="E923" s="3" t="s">
        <v>7</v>
      </c>
      <c r="F923" s="6" t="s">
        <v>119</v>
      </c>
    </row>
    <row r="924" spans="1:9">
      <c r="A924" s="50">
        <v>23601</v>
      </c>
      <c r="B924" s="47"/>
      <c r="C924" s="47"/>
      <c r="D924" s="48"/>
      <c r="E924" s="48"/>
      <c r="F924" s="49"/>
      <c r="G924" s="49"/>
      <c r="H924" s="47"/>
      <c r="I924" s="47"/>
    </row>
    <row r="925" spans="1:9">
      <c r="A925" s="2">
        <v>23595</v>
      </c>
      <c r="B925" s="1" t="s">
        <v>208</v>
      </c>
      <c r="C925" s="1" t="s">
        <v>342</v>
      </c>
      <c r="D925" s="3" t="s">
        <v>1</v>
      </c>
      <c r="E925" s="3" t="s">
        <v>6</v>
      </c>
      <c r="F925" s="6" t="s">
        <v>110</v>
      </c>
    </row>
    <row r="926" spans="1:9">
      <c r="A926" s="2">
        <v>23601</v>
      </c>
      <c r="B926" s="1" t="s">
        <v>460</v>
      </c>
      <c r="C926" s="1" t="s">
        <v>463</v>
      </c>
      <c r="D926" s="3" t="s">
        <v>1</v>
      </c>
      <c r="E926" s="3" t="s">
        <v>6</v>
      </c>
      <c r="F926" s="6" t="s">
        <v>110</v>
      </c>
    </row>
    <row r="927" spans="1:9">
      <c r="A927" s="2">
        <v>23601</v>
      </c>
      <c r="B927" s="1" t="s">
        <v>369</v>
      </c>
      <c r="C927" s="1" t="s">
        <v>421</v>
      </c>
      <c r="D927" s="3" t="s">
        <v>1</v>
      </c>
      <c r="E927" s="3" t="s">
        <v>6</v>
      </c>
      <c r="F927" s="6" t="s">
        <v>110</v>
      </c>
    </row>
    <row r="928" spans="1:9">
      <c r="A928" s="2">
        <v>23601</v>
      </c>
      <c r="B928" s="1" t="s">
        <v>57</v>
      </c>
      <c r="C928" s="1" t="s">
        <v>64</v>
      </c>
      <c r="D928" s="3" t="s">
        <v>1</v>
      </c>
      <c r="E928" s="3" t="s">
        <v>6</v>
      </c>
      <c r="F928" s="6" t="s">
        <v>110</v>
      </c>
    </row>
    <row r="929" spans="1:9">
      <c r="A929" s="2">
        <v>23601</v>
      </c>
      <c r="B929" s="1" t="s">
        <v>427</v>
      </c>
      <c r="C929" s="1" t="s">
        <v>213</v>
      </c>
      <c r="D929" s="3" t="s">
        <v>1</v>
      </c>
      <c r="E929" s="3" t="s">
        <v>6</v>
      </c>
      <c r="F929" s="6" t="s">
        <v>110</v>
      </c>
    </row>
    <row r="930" spans="1:9">
      <c r="A930" s="2">
        <v>23601</v>
      </c>
      <c r="B930" s="1" t="s">
        <v>209</v>
      </c>
      <c r="C930" s="1" t="s">
        <v>213</v>
      </c>
      <c r="D930" s="3" t="s">
        <v>1</v>
      </c>
      <c r="E930" s="3" t="s">
        <v>6</v>
      </c>
      <c r="F930" s="6" t="s">
        <v>110</v>
      </c>
    </row>
    <row r="931" spans="1:9">
      <c r="A931" s="2">
        <v>23601</v>
      </c>
      <c r="B931" s="1" t="s">
        <v>171</v>
      </c>
      <c r="C931" s="1" t="s">
        <v>187</v>
      </c>
      <c r="D931" s="3" t="s">
        <v>1</v>
      </c>
      <c r="E931" s="3" t="s">
        <v>6</v>
      </c>
      <c r="F931" s="6" t="s">
        <v>110</v>
      </c>
    </row>
    <row r="932" spans="1:9">
      <c r="A932" s="2">
        <v>23601</v>
      </c>
      <c r="B932" s="1" t="s">
        <v>364</v>
      </c>
      <c r="C932" s="1" t="s">
        <v>366</v>
      </c>
      <c r="D932" s="3" t="s">
        <v>1</v>
      </c>
      <c r="E932" s="3" t="s">
        <v>6</v>
      </c>
      <c r="F932" s="6" t="s">
        <v>110</v>
      </c>
    </row>
    <row r="933" spans="1:9">
      <c r="A933" s="2">
        <v>23601</v>
      </c>
      <c r="B933" s="1" t="s">
        <v>58</v>
      </c>
      <c r="C933" s="1" t="s">
        <v>214</v>
      </c>
      <c r="D933" s="3" t="s">
        <v>1</v>
      </c>
      <c r="E933" s="3" t="s">
        <v>6</v>
      </c>
      <c r="F933" s="6" t="s">
        <v>110</v>
      </c>
    </row>
    <row r="934" spans="1:9">
      <c r="A934" s="50">
        <v>23602</v>
      </c>
      <c r="B934" s="47"/>
      <c r="C934" s="47"/>
      <c r="D934" s="48"/>
      <c r="E934" s="48"/>
      <c r="F934" s="49"/>
      <c r="G934" s="49"/>
      <c r="H934" s="47"/>
      <c r="I934" s="47"/>
    </row>
    <row r="935" spans="1:9">
      <c r="A935" s="2">
        <v>23601</v>
      </c>
      <c r="B935" s="1" t="s">
        <v>58</v>
      </c>
      <c r="C935" s="1" t="s">
        <v>214</v>
      </c>
      <c r="D935" s="3" t="s">
        <v>1</v>
      </c>
      <c r="E935" s="3" t="s">
        <v>6</v>
      </c>
      <c r="F935" s="6" t="s">
        <v>110</v>
      </c>
    </row>
    <row r="936" spans="1:9">
      <c r="A936" s="2">
        <v>23601</v>
      </c>
      <c r="B936" s="1" t="s">
        <v>208</v>
      </c>
      <c r="C936" s="1" t="s">
        <v>342</v>
      </c>
      <c r="D936" s="3" t="s">
        <v>1</v>
      </c>
      <c r="E936" s="3" t="s">
        <v>6</v>
      </c>
      <c r="F936" s="6" t="s">
        <v>110</v>
      </c>
    </row>
    <row r="937" spans="1:9">
      <c r="A937" s="2">
        <v>23602</v>
      </c>
      <c r="B937" s="1" t="s">
        <v>438</v>
      </c>
      <c r="C937" s="1" t="s">
        <v>269</v>
      </c>
      <c r="D937" s="3" t="s">
        <v>1</v>
      </c>
      <c r="E937" s="3" t="s">
        <v>6</v>
      </c>
      <c r="F937" s="6" t="s">
        <v>110</v>
      </c>
    </row>
    <row r="938" spans="1:9">
      <c r="A938" s="2">
        <v>23602</v>
      </c>
      <c r="B938" s="1" t="s">
        <v>460</v>
      </c>
      <c r="C938" s="1" t="s">
        <v>463</v>
      </c>
      <c r="D938" s="3" t="s">
        <v>1</v>
      </c>
      <c r="E938" s="3" t="s">
        <v>6</v>
      </c>
      <c r="F938" s="6" t="s">
        <v>110</v>
      </c>
    </row>
    <row r="939" spans="1:9">
      <c r="A939" s="2">
        <v>23602</v>
      </c>
      <c r="B939" s="1" t="s">
        <v>462</v>
      </c>
      <c r="C939" s="1" t="s">
        <v>251</v>
      </c>
      <c r="D939" s="3" t="s">
        <v>1</v>
      </c>
      <c r="E939" s="3" t="s">
        <v>6</v>
      </c>
      <c r="F939" s="6" t="s">
        <v>110</v>
      </c>
    </row>
    <row r="940" spans="1:9">
      <c r="A940" s="2">
        <v>23602</v>
      </c>
      <c r="B940" s="1" t="s">
        <v>470</v>
      </c>
      <c r="C940" s="1" t="s">
        <v>471</v>
      </c>
      <c r="D940" s="3" t="s">
        <v>1</v>
      </c>
      <c r="E940" s="3" t="s">
        <v>6</v>
      </c>
      <c r="F940" s="6" t="s">
        <v>110</v>
      </c>
    </row>
    <row r="941" spans="1:9">
      <c r="A941" s="2">
        <v>23602</v>
      </c>
      <c r="B941" s="1" t="s">
        <v>468</v>
      </c>
      <c r="C941" s="1" t="s">
        <v>469</v>
      </c>
      <c r="D941" s="3" t="s">
        <v>2</v>
      </c>
      <c r="E941" s="3" t="s">
        <v>7</v>
      </c>
      <c r="F941" s="6" t="s">
        <v>119</v>
      </c>
    </row>
    <row r="942" spans="1:9">
      <c r="A942" s="51">
        <v>23603</v>
      </c>
      <c r="B942" s="47"/>
      <c r="C942" s="47"/>
      <c r="D942" s="48"/>
      <c r="E942" s="48"/>
      <c r="F942" s="49"/>
      <c r="G942" s="49"/>
      <c r="H942" s="47"/>
      <c r="I942" s="47"/>
    </row>
    <row r="943" spans="1:9">
      <c r="A943" s="2">
        <v>23601</v>
      </c>
      <c r="B943" s="1" t="s">
        <v>58</v>
      </c>
      <c r="C943" s="1" t="s">
        <v>214</v>
      </c>
      <c r="D943" s="3" t="s">
        <v>1</v>
      </c>
      <c r="E943" s="3" t="s">
        <v>6</v>
      </c>
      <c r="F943" s="6" t="s">
        <v>110</v>
      </c>
    </row>
    <row r="944" spans="1:9">
      <c r="A944" s="2">
        <v>23601</v>
      </c>
      <c r="B944" s="1" t="s">
        <v>208</v>
      </c>
      <c r="C944" s="1" t="s">
        <v>342</v>
      </c>
      <c r="D944" s="3" t="s">
        <v>1</v>
      </c>
      <c r="E944" s="3" t="s">
        <v>6</v>
      </c>
      <c r="F944" s="6" t="s">
        <v>110</v>
      </c>
    </row>
    <row r="945" spans="1:9">
      <c r="A945" s="2">
        <v>23603</v>
      </c>
      <c r="B945" s="1" t="s">
        <v>100</v>
      </c>
      <c r="C945" s="1" t="s">
        <v>101</v>
      </c>
      <c r="D945" s="3" t="s">
        <v>1</v>
      </c>
      <c r="E945" s="3" t="s">
        <v>6</v>
      </c>
      <c r="F945" s="6" t="s">
        <v>110</v>
      </c>
    </row>
    <row r="946" spans="1:9">
      <c r="A946" s="2">
        <v>23603</v>
      </c>
      <c r="B946" s="1" t="s">
        <v>11</v>
      </c>
      <c r="C946" s="1" t="s">
        <v>475</v>
      </c>
      <c r="D946" s="3" t="s">
        <v>1</v>
      </c>
      <c r="E946" s="3" t="s">
        <v>6</v>
      </c>
      <c r="F946" s="6" t="s">
        <v>110</v>
      </c>
    </row>
    <row r="947" spans="1:9">
      <c r="A947" s="2">
        <v>23603</v>
      </c>
      <c r="B947" s="1" t="s">
        <v>472</v>
      </c>
      <c r="C947" s="1" t="s">
        <v>475</v>
      </c>
      <c r="D947" s="3" t="s">
        <v>1</v>
      </c>
      <c r="E947" s="3" t="s">
        <v>6</v>
      </c>
      <c r="F947" s="6" t="s">
        <v>110</v>
      </c>
    </row>
    <row r="948" spans="1:9">
      <c r="A948" s="2">
        <v>23603</v>
      </c>
      <c r="B948" s="1" t="s">
        <v>436</v>
      </c>
      <c r="C948" s="1" t="s">
        <v>475</v>
      </c>
      <c r="D948" s="3" t="s">
        <v>1</v>
      </c>
      <c r="E948" s="3" t="s">
        <v>6</v>
      </c>
      <c r="F948" s="6" t="s">
        <v>110</v>
      </c>
    </row>
    <row r="949" spans="1:9">
      <c r="A949" s="2">
        <v>23603</v>
      </c>
      <c r="B949" s="1" t="s">
        <v>206</v>
      </c>
      <c r="C949" s="1" t="s">
        <v>210</v>
      </c>
      <c r="D949" s="3" t="s">
        <v>1</v>
      </c>
      <c r="E949" s="3" t="s">
        <v>6</v>
      </c>
      <c r="F949" s="6" t="s">
        <v>110</v>
      </c>
    </row>
    <row r="950" spans="1:9">
      <c r="A950" s="2">
        <v>23603</v>
      </c>
      <c r="B950" s="1" t="s">
        <v>473</v>
      </c>
      <c r="C950" s="1" t="s">
        <v>243</v>
      </c>
      <c r="D950" s="3" t="s">
        <v>1</v>
      </c>
      <c r="E950" s="3" t="s">
        <v>6</v>
      </c>
      <c r="F950" s="6" t="s">
        <v>110</v>
      </c>
    </row>
    <row r="951" spans="1:9">
      <c r="A951" s="2">
        <v>23603</v>
      </c>
      <c r="B951" s="1" t="s">
        <v>460</v>
      </c>
      <c r="C951" s="1" t="s">
        <v>463</v>
      </c>
      <c r="D951" s="3" t="s">
        <v>1</v>
      </c>
      <c r="E951" s="3" t="s">
        <v>6</v>
      </c>
      <c r="F951" s="6" t="s">
        <v>110</v>
      </c>
    </row>
    <row r="952" spans="1:9">
      <c r="A952" s="2">
        <v>23603</v>
      </c>
      <c r="B952" s="1" t="s">
        <v>369</v>
      </c>
      <c r="C952" s="1" t="s">
        <v>421</v>
      </c>
      <c r="D952" s="3" t="s">
        <v>1</v>
      </c>
      <c r="E952" s="3" t="s">
        <v>6</v>
      </c>
      <c r="F952" s="6" t="s">
        <v>110</v>
      </c>
    </row>
    <row r="953" spans="1:9">
      <c r="A953" s="2">
        <v>23603</v>
      </c>
      <c r="B953" s="1" t="s">
        <v>470</v>
      </c>
      <c r="C953" s="1" t="s">
        <v>476</v>
      </c>
      <c r="D953" s="3" t="s">
        <v>2</v>
      </c>
      <c r="E953" s="3" t="s">
        <v>7</v>
      </c>
      <c r="F953" s="6" t="s">
        <v>119</v>
      </c>
    </row>
    <row r="954" spans="1:9">
      <c r="A954" s="2">
        <v>23603</v>
      </c>
      <c r="B954" s="1" t="s">
        <v>474</v>
      </c>
      <c r="C954" s="1" t="s">
        <v>477</v>
      </c>
      <c r="D954" s="3" t="s">
        <v>2</v>
      </c>
      <c r="E954" s="3" t="s">
        <v>7</v>
      </c>
      <c r="F954" s="6" t="s">
        <v>119</v>
      </c>
    </row>
    <row r="955" spans="1:9">
      <c r="A955" s="2">
        <v>23603</v>
      </c>
      <c r="B955" s="1" t="s">
        <v>238</v>
      </c>
      <c r="C955" s="1" t="s">
        <v>307</v>
      </c>
      <c r="D955" s="3" t="s">
        <v>2</v>
      </c>
      <c r="E955" s="3" t="s">
        <v>7</v>
      </c>
      <c r="F955" s="6" t="s">
        <v>119</v>
      </c>
    </row>
    <row r="956" spans="1:9">
      <c r="A956" s="51">
        <v>23604</v>
      </c>
      <c r="B956" s="47"/>
      <c r="C956" s="47"/>
      <c r="D956" s="48"/>
      <c r="E956" s="48"/>
      <c r="F956" s="49"/>
      <c r="G956" s="49"/>
      <c r="H956" s="47"/>
      <c r="I956" s="47"/>
    </row>
    <row r="957" spans="1:9">
      <c r="A957" s="2">
        <v>23601</v>
      </c>
      <c r="B957" s="1" t="s">
        <v>208</v>
      </c>
      <c r="C957" s="1" t="s">
        <v>342</v>
      </c>
      <c r="D957" s="3" t="s">
        <v>1</v>
      </c>
      <c r="E957" s="3" t="s">
        <v>6</v>
      </c>
      <c r="F957" s="6" t="s">
        <v>110</v>
      </c>
    </row>
    <row r="958" spans="1:9">
      <c r="A958" s="2">
        <v>23604</v>
      </c>
      <c r="B958" s="1" t="s">
        <v>352</v>
      </c>
      <c r="C958" s="1" t="s">
        <v>353</v>
      </c>
      <c r="D958" s="3" t="s">
        <v>1</v>
      </c>
      <c r="E958" s="3" t="s">
        <v>6</v>
      </c>
      <c r="F958" s="6" t="s">
        <v>110</v>
      </c>
    </row>
    <row r="959" spans="1:9">
      <c r="A959" s="2">
        <v>23604</v>
      </c>
      <c r="B959" s="1" t="s">
        <v>57</v>
      </c>
      <c r="C959" s="1" t="s">
        <v>64</v>
      </c>
      <c r="D959" s="3" t="s">
        <v>1</v>
      </c>
      <c r="E959" s="3" t="s">
        <v>6</v>
      </c>
      <c r="F959" s="6" t="s">
        <v>110</v>
      </c>
    </row>
    <row r="960" spans="1:9">
      <c r="A960" s="50">
        <v>23605</v>
      </c>
      <c r="B960" s="47"/>
      <c r="C960" s="47"/>
      <c r="D960" s="48"/>
      <c r="E960" s="48"/>
      <c r="F960" s="49"/>
      <c r="G960" s="49"/>
      <c r="H960" s="47"/>
      <c r="I960" s="47"/>
    </row>
    <row r="961" spans="1:9">
      <c r="A961" s="2">
        <v>23604</v>
      </c>
      <c r="B961" s="1" t="s">
        <v>208</v>
      </c>
      <c r="C961" s="1" t="s">
        <v>342</v>
      </c>
      <c r="D961" s="3" t="s">
        <v>1</v>
      </c>
      <c r="E961" s="3" t="s">
        <v>6</v>
      </c>
      <c r="F961" s="6" t="s">
        <v>110</v>
      </c>
    </row>
    <row r="962" spans="1:9">
      <c r="A962" s="2">
        <v>23605</v>
      </c>
      <c r="B962" s="1" t="s">
        <v>57</v>
      </c>
      <c r="C962" s="1" t="s">
        <v>64</v>
      </c>
      <c r="D962" s="3" t="s">
        <v>1</v>
      </c>
      <c r="E962" s="3" t="s">
        <v>6</v>
      </c>
      <c r="F962" s="6" t="s">
        <v>110</v>
      </c>
    </row>
    <row r="963" spans="1:9">
      <c r="A963" s="50">
        <v>23606</v>
      </c>
      <c r="B963" s="47"/>
      <c r="C963" s="47"/>
      <c r="D963" s="48"/>
      <c r="E963" s="48"/>
      <c r="F963" s="49"/>
      <c r="G963" s="49"/>
      <c r="H963" s="47"/>
      <c r="I963" s="47"/>
    </row>
    <row r="964" spans="1:9">
      <c r="A964" s="2">
        <v>23604</v>
      </c>
      <c r="B964" s="1" t="s">
        <v>208</v>
      </c>
      <c r="C964" s="1" t="s">
        <v>342</v>
      </c>
      <c r="D964" s="3" t="s">
        <v>1</v>
      </c>
      <c r="E964" s="3" t="s">
        <v>6</v>
      </c>
      <c r="F964" s="6" t="s">
        <v>110</v>
      </c>
    </row>
    <row r="965" spans="1:9">
      <c r="A965" s="2">
        <v>23605</v>
      </c>
      <c r="B965" s="1" t="s">
        <v>57</v>
      </c>
      <c r="C965" s="1" t="s">
        <v>64</v>
      </c>
      <c r="D965" s="3" t="s">
        <v>1</v>
      </c>
      <c r="E965" s="3" t="s">
        <v>6</v>
      </c>
      <c r="F965" s="6" t="s">
        <v>110</v>
      </c>
    </row>
    <row r="966" spans="1:9">
      <c r="A966" s="50">
        <v>23607</v>
      </c>
      <c r="B966" s="47"/>
      <c r="C966" s="47"/>
      <c r="D966" s="48"/>
      <c r="E966" s="48"/>
      <c r="F966" s="49"/>
      <c r="G966" s="49"/>
      <c r="H966" s="47"/>
      <c r="I966" s="47"/>
    </row>
    <row r="967" spans="1:9">
      <c r="A967" s="2">
        <v>23604</v>
      </c>
      <c r="B967" s="1" t="s">
        <v>208</v>
      </c>
      <c r="C967" s="1" t="s">
        <v>342</v>
      </c>
      <c r="D967" s="3" t="s">
        <v>1</v>
      </c>
      <c r="E967" s="3" t="s">
        <v>6</v>
      </c>
      <c r="F967" s="6" t="s">
        <v>110</v>
      </c>
    </row>
    <row r="968" spans="1:9">
      <c r="A968" s="2">
        <v>23607</v>
      </c>
      <c r="B968" s="1" t="s">
        <v>57</v>
      </c>
      <c r="C968" s="1" t="s">
        <v>64</v>
      </c>
      <c r="D968" s="3" t="s">
        <v>1</v>
      </c>
      <c r="E968" s="3" t="s">
        <v>6</v>
      </c>
      <c r="F968" s="6" t="s">
        <v>110</v>
      </c>
    </row>
    <row r="969" spans="1:9">
      <c r="A969" s="2">
        <v>23607</v>
      </c>
      <c r="B969" s="1" t="s">
        <v>58</v>
      </c>
      <c r="C969" s="1" t="s">
        <v>214</v>
      </c>
      <c r="D969" s="3" t="s">
        <v>1</v>
      </c>
      <c r="E969" s="3" t="s">
        <v>6</v>
      </c>
      <c r="F969" s="6" t="s">
        <v>110</v>
      </c>
    </row>
    <row r="970" spans="1:9">
      <c r="A970" s="2">
        <v>23607</v>
      </c>
      <c r="B970" s="1" t="s">
        <v>369</v>
      </c>
      <c r="C970" s="1" t="s">
        <v>373</v>
      </c>
      <c r="D970" s="3" t="s">
        <v>1</v>
      </c>
      <c r="E970" s="3" t="s">
        <v>6</v>
      </c>
      <c r="F970" s="6" t="s">
        <v>110</v>
      </c>
    </row>
    <row r="971" spans="1:9">
      <c r="A971" s="50">
        <v>23608</v>
      </c>
      <c r="B971" s="47"/>
      <c r="C971" s="47"/>
      <c r="D971" s="48"/>
      <c r="E971" s="48"/>
      <c r="F971" s="49"/>
      <c r="G971" s="49"/>
      <c r="H971" s="47"/>
      <c r="I971" s="47"/>
    </row>
    <row r="972" spans="1:9">
      <c r="A972" s="2">
        <v>23607</v>
      </c>
      <c r="B972" s="1" t="s">
        <v>57</v>
      </c>
      <c r="C972" s="1" t="s">
        <v>64</v>
      </c>
      <c r="D972" s="3" t="s">
        <v>1</v>
      </c>
      <c r="E972" s="3" t="s">
        <v>6</v>
      </c>
      <c r="F972" s="6" t="s">
        <v>110</v>
      </c>
    </row>
    <row r="973" spans="1:9">
      <c r="A973" s="2">
        <v>23607</v>
      </c>
      <c r="B973" s="1" t="s">
        <v>208</v>
      </c>
      <c r="C973" s="1" t="s">
        <v>342</v>
      </c>
      <c r="D973" s="3" t="s">
        <v>1</v>
      </c>
      <c r="E973" s="3" t="s">
        <v>6</v>
      </c>
      <c r="F973" s="6" t="s">
        <v>110</v>
      </c>
    </row>
    <row r="974" spans="1:9">
      <c r="A974" s="50">
        <v>23609</v>
      </c>
      <c r="B974" s="47"/>
      <c r="C974" s="47"/>
      <c r="D974" s="48"/>
      <c r="E974" s="48"/>
      <c r="F974" s="49"/>
      <c r="G974" s="49"/>
      <c r="H974" s="47"/>
      <c r="I974" s="47"/>
    </row>
    <row r="975" spans="1:9">
      <c r="A975" s="2">
        <v>23607</v>
      </c>
      <c r="B975" s="1" t="s">
        <v>208</v>
      </c>
      <c r="C975" s="1" t="s">
        <v>342</v>
      </c>
      <c r="D975" s="3" t="s">
        <v>1</v>
      </c>
      <c r="E975" s="3" t="s">
        <v>6</v>
      </c>
      <c r="F975" s="6" t="s">
        <v>487</v>
      </c>
    </row>
    <row r="976" spans="1:9">
      <c r="A976" s="2">
        <v>23609</v>
      </c>
      <c r="B976" s="1" t="s">
        <v>270</v>
      </c>
      <c r="C976" s="1" t="s">
        <v>272</v>
      </c>
      <c r="D976" s="3" t="s">
        <v>2</v>
      </c>
      <c r="E976" s="3" t="s">
        <v>7</v>
      </c>
      <c r="F976" s="6" t="s">
        <v>119</v>
      </c>
    </row>
    <row r="977" spans="1:9">
      <c r="A977" s="2">
        <v>23609</v>
      </c>
      <c r="B977" s="1" t="s">
        <v>478</v>
      </c>
      <c r="C977" s="1" t="s">
        <v>479</v>
      </c>
      <c r="D977" s="3" t="s">
        <v>2</v>
      </c>
      <c r="E977" s="3" t="s">
        <v>7</v>
      </c>
      <c r="F977" s="6" t="s">
        <v>119</v>
      </c>
    </row>
    <row r="978" spans="1:9">
      <c r="A978" s="50">
        <v>23610</v>
      </c>
      <c r="B978" s="47"/>
      <c r="C978" s="47"/>
      <c r="D978" s="48"/>
      <c r="E978" s="48"/>
      <c r="F978" s="49"/>
      <c r="G978" s="49"/>
      <c r="H978" s="47"/>
      <c r="I978" s="47"/>
    </row>
    <row r="979" spans="1:9">
      <c r="A979" s="2">
        <v>23607</v>
      </c>
      <c r="B979" s="1" t="s">
        <v>208</v>
      </c>
      <c r="C979" s="1" t="s">
        <v>342</v>
      </c>
      <c r="D979" s="3" t="s">
        <v>1</v>
      </c>
      <c r="E979" s="3" t="s">
        <v>6</v>
      </c>
      <c r="F979" s="6" t="s">
        <v>487</v>
      </c>
    </row>
    <row r="980" spans="1:9">
      <c r="A980" s="2">
        <v>23609</v>
      </c>
      <c r="B980" s="1" t="s">
        <v>480</v>
      </c>
      <c r="C980" s="1" t="s">
        <v>481</v>
      </c>
      <c r="D980" s="3" t="s">
        <v>1</v>
      </c>
      <c r="E980" s="3" t="s">
        <v>6</v>
      </c>
      <c r="F980" s="6" t="s">
        <v>110</v>
      </c>
    </row>
    <row r="981" spans="1:9">
      <c r="A981" s="2">
        <v>23610</v>
      </c>
      <c r="B981" s="1" t="s">
        <v>460</v>
      </c>
      <c r="C981" s="1" t="s">
        <v>463</v>
      </c>
      <c r="D981" s="3" t="s">
        <v>1</v>
      </c>
      <c r="E981" s="3" t="s">
        <v>6</v>
      </c>
      <c r="F981" s="6" t="s">
        <v>110</v>
      </c>
    </row>
    <row r="982" spans="1:9">
      <c r="A982" s="2">
        <v>23610</v>
      </c>
      <c r="B982" s="1" t="s">
        <v>369</v>
      </c>
      <c r="C982" s="1" t="s">
        <v>421</v>
      </c>
      <c r="D982" s="3" t="s">
        <v>1</v>
      </c>
      <c r="E982" s="3" t="s">
        <v>6</v>
      </c>
      <c r="F982" s="6" t="s">
        <v>110</v>
      </c>
    </row>
    <row r="983" spans="1:9">
      <c r="A983" s="50">
        <v>23611</v>
      </c>
      <c r="B983" s="47"/>
      <c r="C983" s="47"/>
      <c r="D983" s="48"/>
      <c r="E983" s="48"/>
      <c r="F983" s="49"/>
      <c r="G983" s="49"/>
      <c r="H983" s="47"/>
      <c r="I983" s="47"/>
    </row>
    <row r="984" spans="1:9">
      <c r="A984" s="2">
        <v>23607</v>
      </c>
      <c r="B984" s="1" t="s">
        <v>208</v>
      </c>
      <c r="C984" s="1" t="s">
        <v>342</v>
      </c>
      <c r="D984" s="3" t="s">
        <v>1</v>
      </c>
      <c r="E984" s="3" t="s">
        <v>6</v>
      </c>
      <c r="F984" s="6" t="s">
        <v>487</v>
      </c>
    </row>
    <row r="985" spans="1:9">
      <c r="A985" s="2">
        <v>23611</v>
      </c>
      <c r="B985" s="1" t="s">
        <v>482</v>
      </c>
      <c r="C985" s="1" t="s">
        <v>485</v>
      </c>
      <c r="D985" s="3" t="s">
        <v>1</v>
      </c>
      <c r="E985" s="3" t="s">
        <v>6</v>
      </c>
      <c r="F985" s="6" t="s">
        <v>110</v>
      </c>
    </row>
    <row r="986" spans="1:9">
      <c r="A986" s="2">
        <v>23611</v>
      </c>
      <c r="B986" s="1" t="s">
        <v>483</v>
      </c>
      <c r="C986" s="1" t="s">
        <v>486</v>
      </c>
      <c r="D986" s="3" t="s">
        <v>1</v>
      </c>
      <c r="E986" s="3" t="s">
        <v>6</v>
      </c>
      <c r="F986" s="6" t="s">
        <v>110</v>
      </c>
    </row>
    <row r="987" spans="1:9">
      <c r="A987" s="2">
        <v>23611</v>
      </c>
      <c r="B987" s="1" t="s">
        <v>484</v>
      </c>
      <c r="C987" s="1" t="s">
        <v>486</v>
      </c>
      <c r="D987" s="3" t="s">
        <v>1</v>
      </c>
      <c r="E987" s="3" t="s">
        <v>6</v>
      </c>
      <c r="F987" s="6" t="s">
        <v>110</v>
      </c>
    </row>
    <row r="988" spans="1:9">
      <c r="A988" s="50">
        <v>23612</v>
      </c>
      <c r="B988" s="47"/>
      <c r="C988" s="47"/>
      <c r="D988" s="48"/>
      <c r="E988" s="48"/>
      <c r="F988" s="49"/>
      <c r="G988" s="49"/>
      <c r="H988" s="47"/>
      <c r="I988" s="47"/>
    </row>
    <row r="989" spans="1:9">
      <c r="A989" s="2">
        <v>23607</v>
      </c>
      <c r="B989" s="1" t="s">
        <v>208</v>
      </c>
      <c r="C989" s="1" t="s">
        <v>342</v>
      </c>
      <c r="D989" s="3" t="s">
        <v>1</v>
      </c>
      <c r="E989" s="3" t="s">
        <v>6</v>
      </c>
      <c r="F989" s="6" t="s">
        <v>487</v>
      </c>
    </row>
    <row r="990" spans="1:9">
      <c r="A990" s="2">
        <v>23611</v>
      </c>
      <c r="B990" s="1" t="s">
        <v>482</v>
      </c>
      <c r="C990" s="1" t="s">
        <v>485</v>
      </c>
      <c r="D990" s="3" t="s">
        <v>1</v>
      </c>
      <c r="E990" s="3" t="s">
        <v>6</v>
      </c>
      <c r="F990" s="6" t="s">
        <v>110</v>
      </c>
    </row>
    <row r="991" spans="1:9">
      <c r="A991" s="2">
        <v>23612</v>
      </c>
      <c r="B991" s="1" t="s">
        <v>57</v>
      </c>
      <c r="C991" s="1" t="s">
        <v>64</v>
      </c>
      <c r="D991" s="3" t="s">
        <v>1</v>
      </c>
      <c r="E991" s="3" t="s">
        <v>6</v>
      </c>
      <c r="F991" s="6" t="s">
        <v>110</v>
      </c>
    </row>
    <row r="992" spans="1:9">
      <c r="A992" s="2">
        <v>23612</v>
      </c>
      <c r="B992" s="1" t="s">
        <v>11</v>
      </c>
      <c r="C992" s="1" t="s">
        <v>25</v>
      </c>
      <c r="D992" s="3" t="s">
        <v>2</v>
      </c>
      <c r="E992" s="3" t="s">
        <v>7</v>
      </c>
      <c r="F992" s="6" t="s">
        <v>119</v>
      </c>
    </row>
    <row r="993" spans="1:9">
      <c r="A993" s="2">
        <v>23612</v>
      </c>
      <c r="B993" s="1" t="s">
        <v>270</v>
      </c>
      <c r="C993" s="1" t="s">
        <v>272</v>
      </c>
      <c r="D993" s="3" t="s">
        <v>2</v>
      </c>
      <c r="E993" s="3" t="s">
        <v>7</v>
      </c>
      <c r="F993" s="6" t="s">
        <v>119</v>
      </c>
    </row>
    <row r="994" spans="1:9">
      <c r="A994" s="2">
        <v>23612</v>
      </c>
      <c r="B994" s="1" t="s">
        <v>484</v>
      </c>
      <c r="C994" s="1" t="s">
        <v>486</v>
      </c>
      <c r="D994" s="3" t="s">
        <v>2</v>
      </c>
      <c r="E994" s="3" t="s">
        <v>7</v>
      </c>
      <c r="F994" s="6" t="s">
        <v>119</v>
      </c>
    </row>
    <row r="995" spans="1:9">
      <c r="A995" s="2">
        <v>23612</v>
      </c>
      <c r="B995" s="1" t="s">
        <v>488</v>
      </c>
      <c r="C995" s="1" t="s">
        <v>330</v>
      </c>
      <c r="D995" s="3" t="s">
        <v>2</v>
      </c>
      <c r="E995" s="3" t="s">
        <v>7</v>
      </c>
      <c r="F995" s="6" t="s">
        <v>119</v>
      </c>
    </row>
    <row r="996" spans="1:9">
      <c r="A996" s="2">
        <v>23612</v>
      </c>
      <c r="B996" s="1" t="s">
        <v>208</v>
      </c>
      <c r="C996" s="1" t="s">
        <v>212</v>
      </c>
      <c r="D996" s="3" t="s">
        <v>2</v>
      </c>
      <c r="E996" s="3" t="s">
        <v>7</v>
      </c>
      <c r="F996" s="6" t="s">
        <v>119</v>
      </c>
    </row>
    <row r="997" spans="1:9">
      <c r="A997" s="50">
        <v>23613</v>
      </c>
      <c r="B997" s="47"/>
      <c r="C997" s="47"/>
      <c r="D997" s="48"/>
      <c r="E997" s="48"/>
      <c r="F997" s="49"/>
      <c r="G997" s="49"/>
      <c r="H997" s="47"/>
      <c r="I997" s="47"/>
    </row>
    <row r="998" spans="1:9">
      <c r="A998" s="2">
        <v>23607</v>
      </c>
      <c r="B998" s="1" t="s">
        <v>208</v>
      </c>
      <c r="C998" s="1" t="s">
        <v>342</v>
      </c>
      <c r="D998" s="3" t="s">
        <v>1</v>
      </c>
      <c r="E998" s="3" t="s">
        <v>6</v>
      </c>
      <c r="F998" s="6" t="s">
        <v>489</v>
      </c>
    </row>
    <row r="999" spans="1:9">
      <c r="A999" s="2">
        <v>23613</v>
      </c>
      <c r="B999" s="1" t="s">
        <v>480</v>
      </c>
      <c r="C999" s="1" t="s">
        <v>481</v>
      </c>
      <c r="D999" s="3" t="s">
        <v>1</v>
      </c>
      <c r="E999" s="3" t="s">
        <v>6</v>
      </c>
      <c r="F999" s="6" t="s">
        <v>110</v>
      </c>
    </row>
    <row r="1000" spans="1:9">
      <c r="A1000" s="2">
        <v>23613</v>
      </c>
      <c r="B1000" s="1" t="s">
        <v>484</v>
      </c>
      <c r="C1000" s="1" t="s">
        <v>486</v>
      </c>
      <c r="D1000" s="3" t="s">
        <v>2</v>
      </c>
      <c r="E1000" s="3" t="s">
        <v>7</v>
      </c>
      <c r="F1000" s="6" t="s">
        <v>119</v>
      </c>
    </row>
    <row r="1001" spans="1:9">
      <c r="A1001" s="2">
        <v>23613</v>
      </c>
      <c r="B1001" s="1" t="s">
        <v>270</v>
      </c>
      <c r="C1001" s="1" t="s">
        <v>272</v>
      </c>
      <c r="D1001" s="3" t="s">
        <v>2</v>
      </c>
      <c r="E1001" s="3" t="s">
        <v>7</v>
      </c>
      <c r="F1001" s="6" t="s">
        <v>490</v>
      </c>
    </row>
    <row r="1002" spans="1:9">
      <c r="A1002" s="50">
        <v>23614</v>
      </c>
      <c r="B1002" s="47"/>
      <c r="C1002" s="47"/>
      <c r="D1002" s="48"/>
      <c r="E1002" s="48"/>
      <c r="F1002" s="49"/>
      <c r="G1002" s="49"/>
      <c r="H1002" s="47"/>
      <c r="I1002" s="47"/>
    </row>
    <row r="1003" spans="1:9">
      <c r="A1003" s="2">
        <v>23607</v>
      </c>
      <c r="B1003" s="1" t="s">
        <v>208</v>
      </c>
      <c r="C1003" s="1" t="s">
        <v>342</v>
      </c>
      <c r="D1003" s="3" t="s">
        <v>1</v>
      </c>
      <c r="E1003" s="3" t="s">
        <v>6</v>
      </c>
      <c r="F1003" s="6" t="s">
        <v>491</v>
      </c>
    </row>
    <row r="1004" spans="1:9">
      <c r="A1004" s="50">
        <v>23615</v>
      </c>
      <c r="B1004" s="47"/>
      <c r="C1004" s="47"/>
      <c r="D1004" s="48"/>
      <c r="E1004" s="48"/>
      <c r="F1004" s="49"/>
      <c r="G1004" s="49"/>
      <c r="H1004" s="47"/>
      <c r="I1004" s="47"/>
    </row>
    <row r="1005" spans="1:9">
      <c r="A1005" s="2">
        <v>23607</v>
      </c>
      <c r="B1005" s="1" t="s">
        <v>208</v>
      </c>
      <c r="C1005" s="1" t="s">
        <v>342</v>
      </c>
      <c r="D1005" s="3" t="s">
        <v>1</v>
      </c>
      <c r="E1005" s="3" t="s">
        <v>6</v>
      </c>
      <c r="F1005" s="6" t="s">
        <v>491</v>
      </c>
    </row>
    <row r="1006" spans="1:9">
      <c r="A1006" s="2">
        <v>23615</v>
      </c>
      <c r="B1006" s="1" t="s">
        <v>57</v>
      </c>
      <c r="C1006" s="1" t="s">
        <v>64</v>
      </c>
      <c r="D1006" s="3" t="s">
        <v>1</v>
      </c>
      <c r="E1006" s="3" t="s">
        <v>6</v>
      </c>
      <c r="F1006" s="6" t="s">
        <v>110</v>
      </c>
    </row>
    <row r="1007" spans="1:9">
      <c r="A1007" s="2">
        <v>23615</v>
      </c>
      <c r="B1007" s="1" t="s">
        <v>369</v>
      </c>
      <c r="C1007" s="1" t="s">
        <v>421</v>
      </c>
      <c r="D1007" s="3" t="s">
        <v>1</v>
      </c>
      <c r="E1007" s="3" t="s">
        <v>6</v>
      </c>
      <c r="F1007" s="6" t="s">
        <v>110</v>
      </c>
    </row>
    <row r="1008" spans="1:9">
      <c r="A1008" s="2">
        <v>23615</v>
      </c>
      <c r="B1008" s="1" t="s">
        <v>492</v>
      </c>
      <c r="C1008" s="1" t="s">
        <v>493</v>
      </c>
      <c r="D1008" s="3" t="s">
        <v>1</v>
      </c>
      <c r="E1008" s="3" t="s">
        <v>6</v>
      </c>
      <c r="F1008" s="6" t="s">
        <v>110</v>
      </c>
    </row>
    <row r="1009" spans="1:9">
      <c r="A1009" s="2">
        <v>23615</v>
      </c>
      <c r="B1009" s="1" t="s">
        <v>329</v>
      </c>
      <c r="C1009" s="1" t="s">
        <v>331</v>
      </c>
      <c r="D1009" s="3" t="s">
        <v>2</v>
      </c>
      <c r="E1009" s="3" t="s">
        <v>7</v>
      </c>
      <c r="F1009" s="6" t="s">
        <v>490</v>
      </c>
    </row>
    <row r="1010" spans="1:9">
      <c r="A1010" s="2">
        <v>23615</v>
      </c>
      <c r="B1010" s="1" t="s">
        <v>484</v>
      </c>
      <c r="C1010" s="1" t="s">
        <v>486</v>
      </c>
      <c r="D1010" s="3" t="s">
        <v>2</v>
      </c>
      <c r="E1010" s="3" t="s">
        <v>7</v>
      </c>
      <c r="F1010" s="6" t="s">
        <v>490</v>
      </c>
    </row>
    <row r="1011" spans="1:9">
      <c r="A1011" s="51">
        <v>23616</v>
      </c>
      <c r="B1011" s="47"/>
      <c r="C1011" s="47"/>
      <c r="D1011" s="48"/>
      <c r="E1011" s="48"/>
      <c r="F1011" s="49"/>
      <c r="G1011" s="49"/>
      <c r="H1011" s="47"/>
      <c r="I1011" s="47"/>
    </row>
    <row r="1012" spans="1:9">
      <c r="A1012" s="2">
        <v>23607</v>
      </c>
      <c r="B1012" s="1" t="s">
        <v>208</v>
      </c>
      <c r="C1012" s="1" t="s">
        <v>342</v>
      </c>
      <c r="D1012" s="3" t="s">
        <v>1</v>
      </c>
      <c r="E1012" s="3" t="s">
        <v>6</v>
      </c>
      <c r="F1012" s="6" t="s">
        <v>494</v>
      </c>
    </row>
    <row r="1013" spans="1:9">
      <c r="A1013" s="2">
        <v>23616</v>
      </c>
      <c r="B1013" s="1" t="s">
        <v>369</v>
      </c>
      <c r="C1013" s="1" t="s">
        <v>421</v>
      </c>
      <c r="D1013" s="3" t="s">
        <v>1</v>
      </c>
      <c r="E1013" s="3" t="s">
        <v>6</v>
      </c>
      <c r="F1013" s="6" t="s">
        <v>110</v>
      </c>
    </row>
    <row r="1014" spans="1:9">
      <c r="A1014" s="2">
        <v>23616</v>
      </c>
      <c r="B1014" s="1" t="s">
        <v>57</v>
      </c>
      <c r="C1014" s="1" t="s">
        <v>64</v>
      </c>
      <c r="D1014" s="3" t="s">
        <v>1</v>
      </c>
      <c r="E1014" s="3" t="s">
        <v>6</v>
      </c>
      <c r="F1014" s="6" t="s">
        <v>110</v>
      </c>
    </row>
    <row r="1015" spans="1:9">
      <c r="A1015" s="2">
        <v>23616</v>
      </c>
      <c r="B1015" s="1" t="s">
        <v>78</v>
      </c>
      <c r="C1015" s="1" t="s">
        <v>85</v>
      </c>
      <c r="D1015" s="3" t="s">
        <v>1</v>
      </c>
      <c r="E1015" s="3" t="s">
        <v>6</v>
      </c>
      <c r="F1015" s="6" t="s">
        <v>110</v>
      </c>
    </row>
    <row r="1016" spans="1:9">
      <c r="A1016" s="2">
        <v>23616</v>
      </c>
      <c r="B1016" s="1" t="s">
        <v>206</v>
      </c>
      <c r="C1016" s="1" t="s">
        <v>210</v>
      </c>
      <c r="D1016" s="3" t="s">
        <v>1</v>
      </c>
      <c r="E1016" s="3" t="s">
        <v>6</v>
      </c>
      <c r="F1016" s="6" t="s">
        <v>110</v>
      </c>
    </row>
    <row r="1017" spans="1:9">
      <c r="A1017" s="2">
        <v>23616</v>
      </c>
      <c r="B1017" s="1" t="s">
        <v>199</v>
      </c>
      <c r="C1017" s="1" t="s">
        <v>200</v>
      </c>
      <c r="D1017" s="3" t="s">
        <v>2</v>
      </c>
      <c r="E1017" s="3" t="s">
        <v>7</v>
      </c>
      <c r="F1017" s="6" t="s">
        <v>490</v>
      </c>
    </row>
    <row r="1018" spans="1:9">
      <c r="A1018" s="2">
        <v>23616</v>
      </c>
      <c r="B1018" s="1" t="s">
        <v>238</v>
      </c>
      <c r="C1018" s="1" t="s">
        <v>307</v>
      </c>
      <c r="D1018" s="3" t="s">
        <v>2</v>
      </c>
      <c r="E1018" s="3" t="s">
        <v>7</v>
      </c>
      <c r="F1018" s="6" t="s">
        <v>490</v>
      </c>
    </row>
    <row r="1019" spans="1:9">
      <c r="A1019" s="50">
        <v>23617</v>
      </c>
      <c r="B1019" s="47"/>
      <c r="C1019" s="47"/>
      <c r="D1019" s="48"/>
      <c r="E1019" s="48"/>
      <c r="F1019" s="49"/>
      <c r="G1019" s="49"/>
      <c r="H1019" s="47"/>
      <c r="I1019" s="47"/>
    </row>
    <row r="1020" spans="1:9">
      <c r="A1020" s="2">
        <v>23607</v>
      </c>
      <c r="B1020" s="1" t="s">
        <v>208</v>
      </c>
      <c r="C1020" s="1" t="s">
        <v>342</v>
      </c>
      <c r="D1020" s="3" t="s">
        <v>1</v>
      </c>
      <c r="E1020" s="3" t="s">
        <v>6</v>
      </c>
      <c r="F1020" s="6" t="s">
        <v>494</v>
      </c>
      <c r="G1020" s="6" t="s">
        <v>499</v>
      </c>
    </row>
    <row r="1021" spans="1:9">
      <c r="A1021" s="2">
        <v>23617</v>
      </c>
      <c r="B1021" s="1" t="s">
        <v>495</v>
      </c>
      <c r="C1021" s="1" t="s">
        <v>496</v>
      </c>
      <c r="D1021" s="3" t="s">
        <v>1</v>
      </c>
      <c r="E1021" s="3" t="s">
        <v>6</v>
      </c>
      <c r="F1021" s="6" t="s">
        <v>110</v>
      </c>
    </row>
    <row r="1022" spans="1:9">
      <c r="A1022" s="50">
        <v>23618</v>
      </c>
      <c r="B1022" s="47"/>
      <c r="C1022" s="47"/>
      <c r="D1022" s="48"/>
      <c r="E1022" s="48"/>
      <c r="F1022" s="49"/>
      <c r="G1022" s="49"/>
      <c r="H1022" s="47"/>
      <c r="I1022" s="47"/>
    </row>
    <row r="1023" spans="1:9">
      <c r="A1023" s="2">
        <v>23617</v>
      </c>
      <c r="B1023" s="1" t="s">
        <v>497</v>
      </c>
      <c r="C1023" s="1" t="s">
        <v>498</v>
      </c>
      <c r="D1023" s="3" t="s">
        <v>1</v>
      </c>
      <c r="E1023" s="3" t="s">
        <v>6</v>
      </c>
      <c r="F1023" s="6" t="s">
        <v>110</v>
      </c>
    </row>
    <row r="1024" spans="1:9">
      <c r="A1024" s="2">
        <v>23618</v>
      </c>
      <c r="B1024" s="1" t="s">
        <v>165</v>
      </c>
      <c r="C1024" s="1" t="s">
        <v>127</v>
      </c>
      <c r="D1024" s="3" t="s">
        <v>1</v>
      </c>
      <c r="E1024" s="3" t="s">
        <v>6</v>
      </c>
      <c r="F1024" s="6" t="s">
        <v>110</v>
      </c>
    </row>
    <row r="1025" spans="1:9">
      <c r="A1025" s="2">
        <v>23618</v>
      </c>
      <c r="B1025" s="1" t="s">
        <v>166</v>
      </c>
      <c r="C1025" s="1" t="s">
        <v>127</v>
      </c>
      <c r="D1025" s="3" t="s">
        <v>1</v>
      </c>
      <c r="E1025" s="3" t="s">
        <v>6</v>
      </c>
      <c r="F1025" s="6" t="s">
        <v>110</v>
      </c>
    </row>
    <row r="1026" spans="1:9">
      <c r="A1026" s="2">
        <v>23618</v>
      </c>
      <c r="B1026" s="1" t="s">
        <v>51</v>
      </c>
      <c r="C1026" s="1" t="s">
        <v>127</v>
      </c>
      <c r="D1026" s="3" t="s">
        <v>1</v>
      </c>
      <c r="E1026" s="3" t="s">
        <v>6</v>
      </c>
      <c r="F1026" s="6" t="s">
        <v>110</v>
      </c>
    </row>
    <row r="1027" spans="1:9">
      <c r="A1027" s="2">
        <v>23618</v>
      </c>
      <c r="B1027" s="1" t="s">
        <v>149</v>
      </c>
      <c r="C1027" s="1" t="s">
        <v>147</v>
      </c>
      <c r="D1027" s="3" t="s">
        <v>1</v>
      </c>
      <c r="E1027" s="3" t="s">
        <v>6</v>
      </c>
      <c r="F1027" s="6" t="s">
        <v>110</v>
      </c>
    </row>
    <row r="1028" spans="1:9">
      <c r="A1028" s="2">
        <v>23618</v>
      </c>
      <c r="B1028" s="1" t="s">
        <v>148</v>
      </c>
      <c r="C1028" s="1" t="s">
        <v>147</v>
      </c>
      <c r="D1028" s="3" t="s">
        <v>1</v>
      </c>
      <c r="E1028" s="3" t="s">
        <v>6</v>
      </c>
      <c r="F1028" s="6" t="s">
        <v>110</v>
      </c>
    </row>
    <row r="1029" spans="1:9">
      <c r="A1029" s="2">
        <v>23618</v>
      </c>
      <c r="B1029" s="1" t="s">
        <v>419</v>
      </c>
      <c r="C1029" s="1" t="s">
        <v>426</v>
      </c>
      <c r="D1029" s="3" t="s">
        <v>1</v>
      </c>
      <c r="E1029" s="3" t="s">
        <v>6</v>
      </c>
      <c r="F1029" s="6" t="s">
        <v>110</v>
      </c>
    </row>
    <row r="1030" spans="1:9">
      <c r="A1030" s="2">
        <v>23618</v>
      </c>
      <c r="B1030" s="1" t="s">
        <v>460</v>
      </c>
      <c r="C1030" s="1" t="s">
        <v>463</v>
      </c>
      <c r="D1030" s="3" t="s">
        <v>1</v>
      </c>
      <c r="E1030" s="3" t="s">
        <v>6</v>
      </c>
      <c r="F1030" s="6" t="s">
        <v>110</v>
      </c>
    </row>
    <row r="1031" spans="1:9">
      <c r="A1031" s="50">
        <v>23619</v>
      </c>
      <c r="B1031" s="47"/>
      <c r="C1031" s="47"/>
      <c r="D1031" s="48"/>
      <c r="E1031" s="48"/>
      <c r="F1031" s="49"/>
      <c r="G1031" s="49"/>
      <c r="H1031" s="47"/>
      <c r="I1031" s="47"/>
    </row>
    <row r="1032" spans="1:9">
      <c r="A1032" s="2">
        <v>23618</v>
      </c>
      <c r="B1032" s="1" t="s">
        <v>54</v>
      </c>
      <c r="C1032" s="1" t="s">
        <v>422</v>
      </c>
      <c r="D1032" s="3" t="s">
        <v>1</v>
      </c>
      <c r="E1032" s="3" t="s">
        <v>6</v>
      </c>
      <c r="F1032" s="6" t="s">
        <v>110</v>
      </c>
    </row>
    <row r="1033" spans="1:9">
      <c r="A1033" s="2">
        <v>23619</v>
      </c>
      <c r="B1033" s="1" t="s">
        <v>482</v>
      </c>
      <c r="C1033" s="1" t="s">
        <v>485</v>
      </c>
      <c r="D1033" s="3" t="s">
        <v>1</v>
      </c>
      <c r="E1033" s="3" t="s">
        <v>6</v>
      </c>
      <c r="F1033" s="6" t="s">
        <v>110</v>
      </c>
    </row>
    <row r="1034" spans="1:9">
      <c r="A1034" s="2">
        <v>23619</v>
      </c>
      <c r="B1034" s="1" t="s">
        <v>500</v>
      </c>
      <c r="C1034" s="1" t="s">
        <v>501</v>
      </c>
      <c r="D1034" s="3" t="s">
        <v>1</v>
      </c>
      <c r="E1034" s="3" t="s">
        <v>6</v>
      </c>
      <c r="F1034" s="6" t="s">
        <v>110</v>
      </c>
    </row>
    <row r="1035" spans="1:9">
      <c r="A1035" s="2">
        <v>23619</v>
      </c>
      <c r="B1035" s="1" t="s">
        <v>462</v>
      </c>
      <c r="C1035" s="1" t="s">
        <v>251</v>
      </c>
      <c r="D1035" s="3" t="s">
        <v>2</v>
      </c>
      <c r="E1035" s="3" t="s">
        <v>7</v>
      </c>
      <c r="F1035" s="6" t="s">
        <v>490</v>
      </c>
    </row>
    <row r="1036" spans="1:9">
      <c r="A1036" s="2">
        <v>23619</v>
      </c>
      <c r="B1036" s="1" t="s">
        <v>502</v>
      </c>
      <c r="C1036" s="1" t="s">
        <v>504</v>
      </c>
      <c r="D1036" s="3" t="s">
        <v>2</v>
      </c>
      <c r="E1036" s="3" t="s">
        <v>7</v>
      </c>
      <c r="F1036" s="6" t="s">
        <v>490</v>
      </c>
    </row>
    <row r="1037" spans="1:9">
      <c r="A1037" s="2">
        <v>23619</v>
      </c>
      <c r="B1037" s="1" t="s">
        <v>503</v>
      </c>
      <c r="C1037" s="1" t="s">
        <v>505</v>
      </c>
      <c r="D1037" s="3" t="s">
        <v>2</v>
      </c>
      <c r="E1037" s="3" t="s">
        <v>7</v>
      </c>
      <c r="F1037" s="6" t="s">
        <v>490</v>
      </c>
    </row>
    <row r="1038" spans="1:9">
      <c r="A1038" s="2">
        <v>23619</v>
      </c>
      <c r="B1038" s="1" t="s">
        <v>419</v>
      </c>
      <c r="C1038" s="1" t="s">
        <v>426</v>
      </c>
      <c r="D1038" s="3" t="s">
        <v>2</v>
      </c>
      <c r="E1038" s="3" t="s">
        <v>7</v>
      </c>
      <c r="F1038" s="6" t="s">
        <v>490</v>
      </c>
    </row>
    <row r="1039" spans="1:9">
      <c r="A1039" s="2">
        <v>23619</v>
      </c>
      <c r="B1039" s="1" t="s">
        <v>144</v>
      </c>
      <c r="C1039" s="1" t="s">
        <v>506</v>
      </c>
      <c r="D1039" s="3" t="s">
        <v>2</v>
      </c>
      <c r="E1039" s="3" t="s">
        <v>7</v>
      </c>
      <c r="F1039" s="6" t="s">
        <v>490</v>
      </c>
    </row>
    <row r="1040" spans="1:9">
      <c r="A1040" s="2">
        <v>23619</v>
      </c>
      <c r="B1040" s="1" t="s">
        <v>261</v>
      </c>
      <c r="C1040" s="1" t="s">
        <v>507</v>
      </c>
      <c r="D1040" s="3" t="s">
        <v>2</v>
      </c>
      <c r="E1040" s="3" t="s">
        <v>7</v>
      </c>
      <c r="F1040" s="6" t="s">
        <v>490</v>
      </c>
    </row>
    <row r="1041" spans="1:9">
      <c r="A1041" s="51">
        <v>23620</v>
      </c>
      <c r="B1041" s="47"/>
      <c r="C1041" s="47"/>
      <c r="D1041" s="48"/>
      <c r="E1041" s="48"/>
      <c r="F1041" s="49"/>
      <c r="G1041" s="49"/>
      <c r="H1041" s="47"/>
      <c r="I1041" s="47"/>
    </row>
    <row r="1042" spans="1:9">
      <c r="A1042" s="2">
        <v>23619</v>
      </c>
      <c r="B1042" s="1" t="s">
        <v>508</v>
      </c>
      <c r="C1042" s="1" t="s">
        <v>510</v>
      </c>
      <c r="D1042" s="3" t="s">
        <v>1</v>
      </c>
      <c r="E1042" s="3" t="s">
        <v>6</v>
      </c>
      <c r="F1042" s="6" t="s">
        <v>110</v>
      </c>
    </row>
    <row r="1043" spans="1:9">
      <c r="A1043" s="2">
        <v>23619</v>
      </c>
      <c r="B1043" s="1" t="s">
        <v>509</v>
      </c>
      <c r="C1043" s="1" t="s">
        <v>510</v>
      </c>
      <c r="D1043" s="3" t="s">
        <v>1</v>
      </c>
      <c r="E1043" s="3" t="s">
        <v>6</v>
      </c>
      <c r="F1043" s="6" t="s">
        <v>110</v>
      </c>
    </row>
    <row r="1044" spans="1:9">
      <c r="A1044" s="2">
        <v>23619</v>
      </c>
      <c r="B1044" s="1" t="s">
        <v>57</v>
      </c>
      <c r="C1044" s="1" t="s">
        <v>64</v>
      </c>
      <c r="D1044" s="3" t="s">
        <v>1</v>
      </c>
      <c r="E1044" s="3" t="s">
        <v>6</v>
      </c>
      <c r="F1044" s="6" t="s">
        <v>110</v>
      </c>
    </row>
    <row r="1045" spans="1:9">
      <c r="A1045" s="2">
        <v>23619</v>
      </c>
      <c r="B1045" s="1" t="s">
        <v>369</v>
      </c>
      <c r="C1045" s="1" t="s">
        <v>421</v>
      </c>
      <c r="D1045" s="3" t="s">
        <v>1</v>
      </c>
      <c r="E1045" s="3" t="s">
        <v>6</v>
      </c>
      <c r="F1045" s="6" t="s">
        <v>110</v>
      </c>
    </row>
    <row r="1046" spans="1:9">
      <c r="A1046" s="2">
        <v>23619</v>
      </c>
      <c r="B1046" s="1" t="s">
        <v>482</v>
      </c>
      <c r="C1046" s="1" t="s">
        <v>485</v>
      </c>
      <c r="D1046" s="3" t="s">
        <v>1</v>
      </c>
      <c r="E1046" s="3" t="s">
        <v>6</v>
      </c>
      <c r="F1046" s="6" t="s">
        <v>110</v>
      </c>
    </row>
    <row r="1047" spans="1:9">
      <c r="A1047" s="2">
        <v>23619</v>
      </c>
      <c r="B1047" s="1" t="s">
        <v>161</v>
      </c>
      <c r="C1047" s="1" t="s">
        <v>129</v>
      </c>
      <c r="D1047" s="3" t="s">
        <v>1</v>
      </c>
      <c r="E1047" s="3" t="s">
        <v>6</v>
      </c>
      <c r="F1047" s="6" t="s">
        <v>110</v>
      </c>
    </row>
    <row r="1048" spans="1:9">
      <c r="A1048" s="2">
        <v>23619</v>
      </c>
      <c r="B1048" s="1" t="s">
        <v>128</v>
      </c>
      <c r="C1048" s="1" t="s">
        <v>129</v>
      </c>
      <c r="D1048" s="3" t="s">
        <v>1</v>
      </c>
      <c r="E1048" s="3" t="s">
        <v>6</v>
      </c>
      <c r="F1048" s="6" t="s">
        <v>110</v>
      </c>
    </row>
    <row r="1049" spans="1:9">
      <c r="A1049" s="2">
        <v>23619</v>
      </c>
      <c r="B1049" s="1" t="s">
        <v>372</v>
      </c>
      <c r="C1049" s="1" t="s">
        <v>378</v>
      </c>
      <c r="D1049" s="3" t="s">
        <v>1</v>
      </c>
      <c r="E1049" s="3" t="s">
        <v>6</v>
      </c>
      <c r="F1049" s="6" t="s">
        <v>110</v>
      </c>
    </row>
    <row r="1050" spans="1:9">
      <c r="A1050" s="2">
        <v>23620</v>
      </c>
      <c r="B1050" s="1" t="s">
        <v>144</v>
      </c>
      <c r="C1050" s="1" t="s">
        <v>506</v>
      </c>
      <c r="D1050" s="3" t="s">
        <v>2</v>
      </c>
      <c r="E1050" s="3" t="s">
        <v>7</v>
      </c>
      <c r="F1050" s="6" t="s">
        <v>490</v>
      </c>
    </row>
    <row r="1051" spans="1:9">
      <c r="A1051" s="2">
        <v>23620</v>
      </c>
      <c r="B1051" s="1" t="s">
        <v>11</v>
      </c>
      <c r="C1051" s="1" t="s">
        <v>25</v>
      </c>
      <c r="D1051" s="3" t="s">
        <v>2</v>
      </c>
      <c r="E1051" s="3" t="s">
        <v>7</v>
      </c>
      <c r="F1051" s="6" t="s">
        <v>490</v>
      </c>
    </row>
    <row r="1052" spans="1:9">
      <c r="A1052" s="2">
        <v>23620</v>
      </c>
      <c r="B1052" s="1" t="s">
        <v>284</v>
      </c>
      <c r="C1052" s="1" t="s">
        <v>285</v>
      </c>
      <c r="D1052" s="3" t="s">
        <v>2</v>
      </c>
      <c r="E1052" s="3" t="s">
        <v>7</v>
      </c>
      <c r="F1052" s="6" t="s">
        <v>490</v>
      </c>
    </row>
    <row r="1053" spans="1:9">
      <c r="A1053" s="55">
        <v>23621</v>
      </c>
      <c r="B1053" s="52"/>
      <c r="C1053" s="52"/>
      <c r="D1053" s="53"/>
      <c r="E1053" s="53"/>
      <c r="F1053" s="54"/>
      <c r="G1053" s="54"/>
      <c r="H1053" s="52"/>
      <c r="I1053" s="52"/>
    </row>
    <row r="1054" spans="1:9">
      <c r="A1054" s="2">
        <v>23619</v>
      </c>
      <c r="B1054" s="1" t="s">
        <v>508</v>
      </c>
      <c r="C1054" s="1" t="s">
        <v>510</v>
      </c>
      <c r="D1054" s="3" t="s">
        <v>1</v>
      </c>
      <c r="E1054" s="3" t="s">
        <v>6</v>
      </c>
      <c r="F1054" s="6" t="s">
        <v>110</v>
      </c>
    </row>
    <row r="1055" spans="1:9">
      <c r="A1055" s="2">
        <v>23619</v>
      </c>
      <c r="B1055" s="1" t="s">
        <v>509</v>
      </c>
      <c r="C1055" s="1" t="s">
        <v>510</v>
      </c>
      <c r="D1055" s="3" t="s">
        <v>1</v>
      </c>
      <c r="E1055" s="3" t="s">
        <v>6</v>
      </c>
      <c r="F1055" s="6" t="s">
        <v>110</v>
      </c>
    </row>
    <row r="1056" spans="1:9">
      <c r="A1056" s="2">
        <v>23619</v>
      </c>
      <c r="B1056" s="1" t="s">
        <v>57</v>
      </c>
      <c r="C1056" s="1" t="s">
        <v>64</v>
      </c>
      <c r="D1056" s="3" t="s">
        <v>1</v>
      </c>
      <c r="E1056" s="3" t="s">
        <v>6</v>
      </c>
      <c r="F1056" s="6" t="s">
        <v>110</v>
      </c>
    </row>
    <row r="1057" spans="1:9">
      <c r="A1057" s="2">
        <v>23619</v>
      </c>
      <c r="B1057" s="1" t="s">
        <v>369</v>
      </c>
      <c r="C1057" s="1" t="s">
        <v>421</v>
      </c>
      <c r="D1057" s="3" t="s">
        <v>1</v>
      </c>
      <c r="E1057" s="3" t="s">
        <v>6</v>
      </c>
      <c r="F1057" s="6" t="s">
        <v>110</v>
      </c>
    </row>
    <row r="1058" spans="1:9">
      <c r="A1058" s="2">
        <v>23619</v>
      </c>
      <c r="B1058" s="1" t="s">
        <v>482</v>
      </c>
      <c r="C1058" s="1" t="s">
        <v>485</v>
      </c>
      <c r="D1058" s="3" t="s">
        <v>1</v>
      </c>
      <c r="E1058" s="3" t="s">
        <v>6</v>
      </c>
      <c r="F1058" s="6" t="s">
        <v>110</v>
      </c>
    </row>
    <row r="1059" spans="1:9">
      <c r="A1059" s="2">
        <v>23619</v>
      </c>
      <c r="B1059" s="1" t="s">
        <v>161</v>
      </c>
      <c r="C1059" s="1" t="s">
        <v>129</v>
      </c>
      <c r="D1059" s="3" t="s">
        <v>1</v>
      </c>
      <c r="E1059" s="3" t="s">
        <v>6</v>
      </c>
      <c r="F1059" s="6" t="s">
        <v>110</v>
      </c>
    </row>
    <row r="1060" spans="1:9">
      <c r="A1060" s="2">
        <v>23619</v>
      </c>
      <c r="B1060" s="1" t="s">
        <v>128</v>
      </c>
      <c r="C1060" s="1" t="s">
        <v>129</v>
      </c>
      <c r="D1060" s="3" t="s">
        <v>1</v>
      </c>
      <c r="E1060" s="3" t="s">
        <v>6</v>
      </c>
      <c r="F1060" s="6" t="s">
        <v>110</v>
      </c>
    </row>
    <row r="1061" spans="1:9">
      <c r="A1061" s="2">
        <v>23619</v>
      </c>
      <c r="B1061" s="1" t="s">
        <v>372</v>
      </c>
      <c r="C1061" s="1" t="s">
        <v>378</v>
      </c>
      <c r="D1061" s="3" t="s">
        <v>1</v>
      </c>
      <c r="E1061" s="3" t="s">
        <v>6</v>
      </c>
      <c r="F1061" s="6" t="s">
        <v>110</v>
      </c>
    </row>
    <row r="1062" spans="1:9">
      <c r="A1062" s="2">
        <v>23621</v>
      </c>
      <c r="B1062" s="1" t="s">
        <v>460</v>
      </c>
      <c r="C1062" s="1" t="s">
        <v>463</v>
      </c>
      <c r="D1062" s="3" t="s">
        <v>1</v>
      </c>
      <c r="E1062" s="3" t="s">
        <v>6</v>
      </c>
      <c r="F1062" s="6" t="s">
        <v>110</v>
      </c>
    </row>
    <row r="1063" spans="1:9">
      <c r="A1063" s="2">
        <v>23621</v>
      </c>
      <c r="B1063" s="1" t="s">
        <v>140</v>
      </c>
      <c r="C1063" s="1" t="s">
        <v>392</v>
      </c>
      <c r="D1063" s="3" t="s">
        <v>1</v>
      </c>
      <c r="E1063" s="3" t="s">
        <v>6</v>
      </c>
      <c r="F1063" s="6" t="s">
        <v>110</v>
      </c>
    </row>
    <row r="1064" spans="1:9">
      <c r="A1064" s="2">
        <v>23621</v>
      </c>
      <c r="B1064" s="1" t="s">
        <v>138</v>
      </c>
      <c r="C1064" s="1" t="s">
        <v>392</v>
      </c>
      <c r="D1064" s="3" t="s">
        <v>1</v>
      </c>
      <c r="E1064" s="3" t="s">
        <v>6</v>
      </c>
      <c r="F1064" s="6" t="s">
        <v>110</v>
      </c>
    </row>
    <row r="1065" spans="1:9">
      <c r="A1065" s="2">
        <v>23621</v>
      </c>
      <c r="B1065" s="1" t="s">
        <v>511</v>
      </c>
      <c r="C1065" s="6" t="s">
        <v>512</v>
      </c>
      <c r="D1065" s="3" t="s">
        <v>1</v>
      </c>
      <c r="E1065" s="3" t="s">
        <v>6</v>
      </c>
      <c r="F1065" s="6" t="s">
        <v>110</v>
      </c>
    </row>
    <row r="1066" spans="1:9">
      <c r="A1066" s="2">
        <v>23621</v>
      </c>
      <c r="B1066" s="1" t="s">
        <v>144</v>
      </c>
      <c r="C1066" s="1" t="s">
        <v>506</v>
      </c>
      <c r="D1066" s="3" t="s">
        <v>2</v>
      </c>
      <c r="E1066" s="3" t="s">
        <v>7</v>
      </c>
      <c r="F1066" s="6" t="s">
        <v>490</v>
      </c>
    </row>
    <row r="1067" spans="1:9">
      <c r="A1067" s="2">
        <v>23621</v>
      </c>
      <c r="B1067" s="1" t="s">
        <v>11</v>
      </c>
      <c r="C1067" s="1" t="s">
        <v>25</v>
      </c>
      <c r="D1067" s="3" t="s">
        <v>2</v>
      </c>
      <c r="E1067" s="3" t="s">
        <v>7</v>
      </c>
      <c r="F1067" s="6" t="s">
        <v>490</v>
      </c>
    </row>
    <row r="1068" spans="1:9">
      <c r="A1068" s="2">
        <v>23621</v>
      </c>
      <c r="B1068" s="1" t="s">
        <v>284</v>
      </c>
      <c r="C1068" s="1" t="s">
        <v>285</v>
      </c>
      <c r="D1068" s="3" t="s">
        <v>2</v>
      </c>
      <c r="E1068" s="3" t="s">
        <v>7</v>
      </c>
      <c r="F1068" s="6" t="s">
        <v>490</v>
      </c>
    </row>
    <row r="1069" spans="1:9">
      <c r="A1069" s="2">
        <v>23621</v>
      </c>
      <c r="B1069" s="1" t="s">
        <v>513</v>
      </c>
      <c r="C1069" s="1" t="s">
        <v>514</v>
      </c>
      <c r="D1069" s="3" t="s">
        <v>2</v>
      </c>
      <c r="E1069" s="3" t="s">
        <v>7</v>
      </c>
      <c r="F1069" s="6" t="s">
        <v>490</v>
      </c>
    </row>
    <row r="1070" spans="1:9">
      <c r="A1070" s="55">
        <v>23622</v>
      </c>
      <c r="B1070" s="52"/>
      <c r="C1070" s="52"/>
      <c r="D1070" s="53"/>
      <c r="E1070" s="53"/>
      <c r="F1070" s="54"/>
      <c r="G1070" s="54"/>
      <c r="H1070" s="52"/>
      <c r="I1070" s="52"/>
    </row>
    <row r="1071" spans="1:9">
      <c r="A1071" s="2">
        <v>23619</v>
      </c>
      <c r="B1071" s="1" t="s">
        <v>508</v>
      </c>
      <c r="C1071" s="1" t="s">
        <v>510</v>
      </c>
      <c r="D1071" s="3" t="s">
        <v>1</v>
      </c>
      <c r="E1071" s="3" t="s">
        <v>6</v>
      </c>
      <c r="F1071" s="6" t="s">
        <v>110</v>
      </c>
    </row>
    <row r="1072" spans="1:9">
      <c r="A1072" s="2">
        <v>23619</v>
      </c>
      <c r="B1072" s="1" t="s">
        <v>509</v>
      </c>
      <c r="C1072" s="1" t="s">
        <v>510</v>
      </c>
      <c r="D1072" s="3" t="s">
        <v>1</v>
      </c>
      <c r="E1072" s="3" t="s">
        <v>6</v>
      </c>
      <c r="F1072" s="6" t="s">
        <v>110</v>
      </c>
    </row>
    <row r="1073" spans="1:6">
      <c r="A1073" s="2">
        <v>23619</v>
      </c>
      <c r="B1073" s="1" t="s">
        <v>161</v>
      </c>
      <c r="C1073" s="1" t="s">
        <v>129</v>
      </c>
      <c r="D1073" s="3" t="s">
        <v>1</v>
      </c>
      <c r="E1073" s="3" t="s">
        <v>6</v>
      </c>
      <c r="F1073" s="6" t="s">
        <v>110</v>
      </c>
    </row>
    <row r="1074" spans="1:6">
      <c r="A1074" s="2">
        <v>23619</v>
      </c>
      <c r="B1074" s="1" t="s">
        <v>128</v>
      </c>
      <c r="C1074" s="1" t="s">
        <v>129</v>
      </c>
      <c r="D1074" s="3" t="s">
        <v>1</v>
      </c>
      <c r="E1074" s="3" t="s">
        <v>6</v>
      </c>
      <c r="F1074" s="6" t="s">
        <v>110</v>
      </c>
    </row>
    <row r="1075" spans="1:6">
      <c r="A1075" s="2">
        <v>23619</v>
      </c>
      <c r="B1075" s="1" t="s">
        <v>372</v>
      </c>
      <c r="C1075" s="1" t="s">
        <v>378</v>
      </c>
      <c r="D1075" s="3" t="s">
        <v>1</v>
      </c>
      <c r="E1075" s="3" t="s">
        <v>6</v>
      </c>
      <c r="F1075" s="6" t="s">
        <v>110</v>
      </c>
    </row>
    <row r="1076" spans="1:6">
      <c r="A1076" s="2">
        <v>23622</v>
      </c>
      <c r="B1076" s="1" t="s">
        <v>165</v>
      </c>
      <c r="C1076" s="1" t="s">
        <v>181</v>
      </c>
      <c r="D1076" s="3" t="s">
        <v>1</v>
      </c>
      <c r="E1076" s="3" t="s">
        <v>6</v>
      </c>
      <c r="F1076" s="6" t="s">
        <v>110</v>
      </c>
    </row>
    <row r="1077" spans="1:6">
      <c r="A1077" s="2">
        <v>23622</v>
      </c>
      <c r="B1077" s="1" t="s">
        <v>166</v>
      </c>
      <c r="C1077" s="1" t="s">
        <v>181</v>
      </c>
      <c r="D1077" s="3" t="s">
        <v>1</v>
      </c>
      <c r="E1077" s="3" t="s">
        <v>6</v>
      </c>
      <c r="F1077" s="6" t="s">
        <v>110</v>
      </c>
    </row>
    <row r="1078" spans="1:6">
      <c r="A1078" s="2">
        <v>23622</v>
      </c>
      <c r="B1078" s="1" t="s">
        <v>51</v>
      </c>
      <c r="C1078" s="1" t="s">
        <v>181</v>
      </c>
      <c r="D1078" s="3" t="s">
        <v>1</v>
      </c>
      <c r="E1078" s="3" t="s">
        <v>6</v>
      </c>
      <c r="F1078" s="6" t="s">
        <v>110</v>
      </c>
    </row>
    <row r="1079" spans="1:6">
      <c r="A1079" s="2">
        <v>23622</v>
      </c>
      <c r="B1079" s="1" t="s">
        <v>78</v>
      </c>
      <c r="C1079" s="1" t="s">
        <v>181</v>
      </c>
      <c r="D1079" s="3" t="s">
        <v>1</v>
      </c>
      <c r="E1079" s="3" t="s">
        <v>6</v>
      </c>
      <c r="F1079" s="6" t="s">
        <v>110</v>
      </c>
    </row>
    <row r="1080" spans="1:6">
      <c r="A1080" s="2">
        <v>23622</v>
      </c>
      <c r="B1080" s="1" t="s">
        <v>460</v>
      </c>
      <c r="C1080" s="1" t="s">
        <v>378</v>
      </c>
      <c r="D1080" s="3" t="s">
        <v>1</v>
      </c>
      <c r="E1080" s="3" t="s">
        <v>6</v>
      </c>
      <c r="F1080" s="6" t="s">
        <v>110</v>
      </c>
    </row>
    <row r="1081" spans="1:6">
      <c r="A1081" s="2">
        <v>23622</v>
      </c>
      <c r="B1081" s="1" t="s">
        <v>369</v>
      </c>
      <c r="C1081" s="1" t="s">
        <v>463</v>
      </c>
      <c r="D1081" s="3" t="s">
        <v>1</v>
      </c>
      <c r="E1081" s="3" t="s">
        <v>6</v>
      </c>
      <c r="F1081" s="6" t="s">
        <v>110</v>
      </c>
    </row>
    <row r="1082" spans="1:6">
      <c r="A1082" s="2">
        <v>23622</v>
      </c>
      <c r="B1082" s="1" t="s">
        <v>57</v>
      </c>
      <c r="C1082" s="1" t="s">
        <v>64</v>
      </c>
      <c r="D1082" s="3" t="s">
        <v>1</v>
      </c>
      <c r="E1082" s="3" t="s">
        <v>6</v>
      </c>
      <c r="F1082" s="6" t="s">
        <v>110</v>
      </c>
    </row>
    <row r="1083" spans="1:6">
      <c r="A1083" s="2">
        <v>23622</v>
      </c>
      <c r="B1083" s="1" t="s">
        <v>144</v>
      </c>
      <c r="C1083" s="1" t="s">
        <v>143</v>
      </c>
      <c r="D1083" s="3" t="s">
        <v>2</v>
      </c>
      <c r="E1083" s="3" t="s">
        <v>7</v>
      </c>
      <c r="F1083" s="6" t="s">
        <v>490</v>
      </c>
    </row>
    <row r="1084" spans="1:6">
      <c r="A1084" s="2">
        <v>23622</v>
      </c>
      <c r="B1084" s="1" t="s">
        <v>238</v>
      </c>
      <c r="C1084" s="1" t="s">
        <v>307</v>
      </c>
      <c r="D1084" s="3" t="s">
        <v>2</v>
      </c>
      <c r="E1084" s="3" t="s">
        <v>7</v>
      </c>
      <c r="F1084" s="6" t="s">
        <v>490</v>
      </c>
    </row>
    <row r="1085" spans="1:6">
      <c r="A1085" s="2">
        <v>23622</v>
      </c>
      <c r="B1085" s="1" t="s">
        <v>92</v>
      </c>
      <c r="C1085" s="1" t="s">
        <v>516</v>
      </c>
      <c r="D1085" s="3" t="s">
        <v>2</v>
      </c>
      <c r="E1085" s="3" t="s">
        <v>7</v>
      </c>
      <c r="F1085" s="6" t="s">
        <v>490</v>
      </c>
    </row>
    <row r="1086" spans="1:6">
      <c r="A1086" s="2">
        <v>23622</v>
      </c>
      <c r="B1086" s="1" t="s">
        <v>281</v>
      </c>
      <c r="C1086" s="1" t="s">
        <v>286</v>
      </c>
      <c r="D1086" s="3" t="s">
        <v>2</v>
      </c>
      <c r="E1086" s="3" t="s">
        <v>7</v>
      </c>
      <c r="F1086" s="6" t="s">
        <v>490</v>
      </c>
    </row>
    <row r="1087" spans="1:6">
      <c r="A1087" s="2">
        <v>23622</v>
      </c>
      <c r="B1087" s="1" t="s">
        <v>284</v>
      </c>
      <c r="C1087" s="1" t="s">
        <v>285</v>
      </c>
      <c r="D1087" s="3" t="s">
        <v>2</v>
      </c>
      <c r="E1087" s="3" t="s">
        <v>7</v>
      </c>
      <c r="F1087" s="6" t="s">
        <v>490</v>
      </c>
    </row>
    <row r="1088" spans="1:6">
      <c r="A1088" s="2">
        <v>23622</v>
      </c>
      <c r="B1088" s="1" t="s">
        <v>419</v>
      </c>
      <c r="C1088" s="1" t="s">
        <v>426</v>
      </c>
      <c r="D1088" s="3" t="s">
        <v>2</v>
      </c>
      <c r="E1088" s="3" t="s">
        <v>7</v>
      </c>
      <c r="F1088" s="6" t="s">
        <v>490</v>
      </c>
    </row>
    <row r="1089" spans="1:9">
      <c r="A1089" s="2">
        <v>23622</v>
      </c>
      <c r="B1089" s="1" t="s">
        <v>515</v>
      </c>
      <c r="C1089" s="1" t="s">
        <v>517</v>
      </c>
      <c r="D1089" s="3" t="s">
        <v>2</v>
      </c>
      <c r="E1089" s="3" t="s">
        <v>7</v>
      </c>
      <c r="F1089" s="6" t="s">
        <v>490</v>
      </c>
    </row>
    <row r="1090" spans="1:9">
      <c r="A1090" s="2">
        <v>23622</v>
      </c>
      <c r="B1090" s="1" t="s">
        <v>482</v>
      </c>
      <c r="C1090" s="1" t="s">
        <v>518</v>
      </c>
      <c r="D1090" s="3" t="s">
        <v>2</v>
      </c>
      <c r="E1090" s="3" t="s">
        <v>7</v>
      </c>
      <c r="F1090" s="6" t="s">
        <v>490</v>
      </c>
    </row>
    <row r="1091" spans="1:9">
      <c r="A1091" s="2">
        <v>23622</v>
      </c>
      <c r="B1091" s="1" t="s">
        <v>196</v>
      </c>
      <c r="C1091" s="1" t="s">
        <v>312</v>
      </c>
      <c r="D1091" s="3" t="s">
        <v>2</v>
      </c>
      <c r="E1091" s="3" t="s">
        <v>7</v>
      </c>
      <c r="F1091" s="6" t="s">
        <v>490</v>
      </c>
    </row>
    <row r="1092" spans="1:9">
      <c r="A1092" s="55">
        <v>23623</v>
      </c>
      <c r="B1092" s="52"/>
      <c r="C1092" s="52"/>
      <c r="D1092" s="53"/>
      <c r="E1092" s="53"/>
      <c r="F1092" s="54"/>
      <c r="G1092" s="54"/>
      <c r="H1092" s="52"/>
      <c r="I1092" s="52"/>
    </row>
    <row r="1093" spans="1:9">
      <c r="A1093" s="2">
        <v>23619</v>
      </c>
      <c r="B1093" s="1" t="s">
        <v>508</v>
      </c>
      <c r="C1093" s="1" t="s">
        <v>510</v>
      </c>
      <c r="D1093" s="3" t="s">
        <v>1</v>
      </c>
      <c r="E1093" s="3" t="s">
        <v>6</v>
      </c>
      <c r="F1093" s="6" t="s">
        <v>110</v>
      </c>
    </row>
    <row r="1094" spans="1:9">
      <c r="A1094" s="2">
        <v>23619</v>
      </c>
      <c r="B1094" s="1" t="s">
        <v>509</v>
      </c>
      <c r="C1094" s="1" t="s">
        <v>510</v>
      </c>
      <c r="D1094" s="3" t="s">
        <v>1</v>
      </c>
      <c r="E1094" s="3" t="s">
        <v>6</v>
      </c>
      <c r="F1094" s="6" t="s">
        <v>110</v>
      </c>
    </row>
    <row r="1095" spans="1:9">
      <c r="A1095" s="2">
        <v>23619</v>
      </c>
      <c r="B1095" s="1" t="s">
        <v>161</v>
      </c>
      <c r="C1095" s="1" t="s">
        <v>129</v>
      </c>
      <c r="D1095" s="3" t="s">
        <v>1</v>
      </c>
      <c r="E1095" s="3" t="s">
        <v>6</v>
      </c>
      <c r="F1095" s="6" t="s">
        <v>110</v>
      </c>
    </row>
    <row r="1096" spans="1:9">
      <c r="A1096" s="2">
        <v>23619</v>
      </c>
      <c r="B1096" s="1" t="s">
        <v>128</v>
      </c>
      <c r="C1096" s="1" t="s">
        <v>129</v>
      </c>
      <c r="D1096" s="3" t="s">
        <v>1</v>
      </c>
      <c r="E1096" s="3" t="s">
        <v>6</v>
      </c>
      <c r="F1096" s="6" t="s">
        <v>110</v>
      </c>
    </row>
    <row r="1097" spans="1:9">
      <c r="A1097" s="2">
        <v>23619</v>
      </c>
      <c r="B1097" s="1" t="s">
        <v>372</v>
      </c>
      <c r="C1097" s="1" t="s">
        <v>378</v>
      </c>
      <c r="D1097" s="3" t="s">
        <v>1</v>
      </c>
      <c r="E1097" s="3" t="s">
        <v>6</v>
      </c>
      <c r="F1097" s="6" t="s">
        <v>110</v>
      </c>
    </row>
    <row r="1098" spans="1:9">
      <c r="A1098" s="2">
        <v>23623</v>
      </c>
      <c r="B1098" s="1" t="s">
        <v>284</v>
      </c>
      <c r="C1098" s="1" t="s">
        <v>285</v>
      </c>
      <c r="D1098" s="3" t="s">
        <v>2</v>
      </c>
      <c r="E1098" s="3" t="s">
        <v>7</v>
      </c>
      <c r="F1098" s="6" t="s">
        <v>490</v>
      </c>
    </row>
    <row r="1099" spans="1:9">
      <c r="A1099" s="2">
        <v>23623</v>
      </c>
      <c r="B1099" s="1" t="s">
        <v>144</v>
      </c>
      <c r="C1099" s="1" t="s">
        <v>143</v>
      </c>
      <c r="D1099" s="3" t="s">
        <v>2</v>
      </c>
      <c r="E1099" s="3" t="s">
        <v>7</v>
      </c>
      <c r="F1099" s="6" t="s">
        <v>490</v>
      </c>
    </row>
    <row r="1100" spans="1:9">
      <c r="A1100" s="2">
        <v>23623</v>
      </c>
      <c r="B1100" s="1" t="s">
        <v>519</v>
      </c>
      <c r="C1100" s="1" t="s">
        <v>520</v>
      </c>
      <c r="D1100" s="3" t="s">
        <v>2</v>
      </c>
      <c r="E1100" s="3" t="s">
        <v>7</v>
      </c>
      <c r="F1100" s="6" t="s">
        <v>490</v>
      </c>
    </row>
    <row r="1101" spans="1:9">
      <c r="A1101" s="55">
        <v>30929</v>
      </c>
      <c r="B1101" s="52"/>
      <c r="C1101" s="52"/>
      <c r="D1101" s="53"/>
      <c r="E1101" s="53"/>
      <c r="F1101" s="54"/>
      <c r="G1101" s="54"/>
      <c r="H1101" s="52"/>
      <c r="I1101" s="52"/>
    </row>
    <row r="1102" spans="1:9">
      <c r="A1102" s="2">
        <v>23619</v>
      </c>
      <c r="B1102" s="1" t="s">
        <v>508</v>
      </c>
      <c r="C1102" s="1" t="s">
        <v>510</v>
      </c>
      <c r="D1102" s="3" t="s">
        <v>1</v>
      </c>
      <c r="E1102" s="3" t="s">
        <v>6</v>
      </c>
      <c r="F1102" s="6" t="s">
        <v>110</v>
      </c>
    </row>
    <row r="1103" spans="1:9">
      <c r="A1103" s="2">
        <v>23619</v>
      </c>
      <c r="B1103" s="1" t="s">
        <v>509</v>
      </c>
      <c r="C1103" s="1" t="s">
        <v>510</v>
      </c>
      <c r="D1103" s="3" t="s">
        <v>1</v>
      </c>
      <c r="E1103" s="3" t="s">
        <v>6</v>
      </c>
      <c r="F1103" s="6" t="s">
        <v>110</v>
      </c>
    </row>
    <row r="1104" spans="1:9">
      <c r="A1104" s="2">
        <v>23619</v>
      </c>
      <c r="B1104" s="1" t="s">
        <v>161</v>
      </c>
      <c r="C1104" s="1" t="s">
        <v>129</v>
      </c>
      <c r="D1104" s="3" t="s">
        <v>1</v>
      </c>
      <c r="E1104" s="3" t="s">
        <v>6</v>
      </c>
      <c r="F1104" s="6" t="s">
        <v>110</v>
      </c>
    </row>
    <row r="1105" spans="1:9">
      <c r="A1105" s="2">
        <v>23619</v>
      </c>
      <c r="B1105" s="1" t="s">
        <v>128</v>
      </c>
      <c r="C1105" s="1" t="s">
        <v>129</v>
      </c>
      <c r="D1105" s="3" t="s">
        <v>1</v>
      </c>
      <c r="E1105" s="3" t="s">
        <v>6</v>
      </c>
      <c r="F1105" s="6" t="s">
        <v>110</v>
      </c>
    </row>
    <row r="1106" spans="1:9">
      <c r="A1106" s="2">
        <v>23619</v>
      </c>
      <c r="B1106" s="1" t="s">
        <v>372</v>
      </c>
      <c r="C1106" s="1" t="s">
        <v>378</v>
      </c>
      <c r="D1106" s="3" t="s">
        <v>1</v>
      </c>
      <c r="E1106" s="3" t="s">
        <v>6</v>
      </c>
      <c r="F1106" s="6" t="s">
        <v>110</v>
      </c>
    </row>
    <row r="1107" spans="1:9">
      <c r="A1107" s="2">
        <v>23624</v>
      </c>
      <c r="B1107" s="1" t="s">
        <v>519</v>
      </c>
      <c r="C1107" s="1" t="s">
        <v>520</v>
      </c>
      <c r="D1107" s="3" t="s">
        <v>2</v>
      </c>
      <c r="E1107" s="3" t="s">
        <v>7</v>
      </c>
      <c r="F1107" s="6" t="s">
        <v>490</v>
      </c>
    </row>
    <row r="1108" spans="1:9">
      <c r="A1108" s="56">
        <v>23625</v>
      </c>
      <c r="B1108" s="52"/>
      <c r="C1108" s="52"/>
      <c r="D1108" s="53"/>
      <c r="E1108" s="53"/>
      <c r="F1108" s="54"/>
      <c r="G1108" s="54"/>
      <c r="H1108" s="52"/>
      <c r="I1108" s="52"/>
    </row>
    <row r="1109" spans="1:9">
      <c r="A1109" s="2">
        <v>23619</v>
      </c>
      <c r="B1109" s="1" t="s">
        <v>508</v>
      </c>
      <c r="C1109" s="1" t="s">
        <v>510</v>
      </c>
      <c r="D1109" s="3" t="s">
        <v>1</v>
      </c>
      <c r="E1109" s="3" t="s">
        <v>6</v>
      </c>
      <c r="F1109" s="6" t="s">
        <v>110</v>
      </c>
    </row>
    <row r="1110" spans="1:9">
      <c r="A1110" s="2">
        <v>23619</v>
      </c>
      <c r="B1110" s="1" t="s">
        <v>509</v>
      </c>
      <c r="C1110" s="1" t="s">
        <v>510</v>
      </c>
      <c r="D1110" s="3" t="s">
        <v>1</v>
      </c>
      <c r="E1110" s="3" t="s">
        <v>6</v>
      </c>
      <c r="F1110" s="6" t="s">
        <v>110</v>
      </c>
    </row>
    <row r="1111" spans="1:9">
      <c r="A1111" s="2">
        <v>23619</v>
      </c>
      <c r="B1111" s="1" t="s">
        <v>161</v>
      </c>
      <c r="C1111" s="1" t="s">
        <v>129</v>
      </c>
      <c r="D1111" s="3" t="s">
        <v>1</v>
      </c>
      <c r="E1111" s="3" t="s">
        <v>6</v>
      </c>
      <c r="F1111" s="6" t="s">
        <v>110</v>
      </c>
    </row>
    <row r="1112" spans="1:9">
      <c r="A1112" s="2">
        <v>23619</v>
      </c>
      <c r="B1112" s="1" t="s">
        <v>128</v>
      </c>
      <c r="C1112" s="1" t="s">
        <v>129</v>
      </c>
      <c r="D1112" s="3" t="s">
        <v>1</v>
      </c>
      <c r="E1112" s="3" t="s">
        <v>6</v>
      </c>
      <c r="F1112" s="6" t="s">
        <v>110</v>
      </c>
    </row>
    <row r="1113" spans="1:9">
      <c r="A1113" s="2">
        <v>23619</v>
      </c>
      <c r="B1113" s="1" t="s">
        <v>372</v>
      </c>
      <c r="C1113" s="1" t="s">
        <v>378</v>
      </c>
      <c r="D1113" s="3" t="s">
        <v>1</v>
      </c>
      <c r="E1113" s="3" t="s">
        <v>6</v>
      </c>
      <c r="F1113" s="6" t="s">
        <v>110</v>
      </c>
    </row>
    <row r="1114" spans="1:9">
      <c r="A1114" s="2">
        <v>23625</v>
      </c>
      <c r="B1114" s="1" t="s">
        <v>521</v>
      </c>
      <c r="C1114" s="1" t="s">
        <v>290</v>
      </c>
      <c r="D1114" s="3" t="s">
        <v>1</v>
      </c>
      <c r="E1114" s="3" t="s">
        <v>6</v>
      </c>
      <c r="F1114" s="6" t="s">
        <v>110</v>
      </c>
    </row>
    <row r="1115" spans="1:9">
      <c r="A1115" s="2">
        <v>23625</v>
      </c>
      <c r="B1115" s="1" t="s">
        <v>165</v>
      </c>
      <c r="C1115" s="1" t="s">
        <v>127</v>
      </c>
      <c r="D1115" s="3" t="s">
        <v>1</v>
      </c>
      <c r="E1115" s="3" t="s">
        <v>6</v>
      </c>
      <c r="F1115" s="6" t="s">
        <v>110</v>
      </c>
    </row>
    <row r="1116" spans="1:9">
      <c r="A1116" s="2">
        <v>23625</v>
      </c>
      <c r="B1116" s="1" t="s">
        <v>166</v>
      </c>
      <c r="C1116" s="1" t="s">
        <v>127</v>
      </c>
      <c r="D1116" s="3" t="s">
        <v>1</v>
      </c>
      <c r="E1116" s="3" t="s">
        <v>6</v>
      </c>
      <c r="F1116" s="6" t="s">
        <v>110</v>
      </c>
    </row>
    <row r="1117" spans="1:9">
      <c r="A1117" s="2">
        <v>23625</v>
      </c>
      <c r="B1117" s="1" t="s">
        <v>51</v>
      </c>
      <c r="C1117" s="1" t="s">
        <v>127</v>
      </c>
      <c r="D1117" s="3" t="s">
        <v>1</v>
      </c>
      <c r="E1117" s="3" t="s">
        <v>6</v>
      </c>
      <c r="F1117" s="6" t="s">
        <v>110</v>
      </c>
    </row>
    <row r="1118" spans="1:9">
      <c r="A1118" s="2">
        <v>23625</v>
      </c>
      <c r="B1118" s="1" t="s">
        <v>460</v>
      </c>
      <c r="C1118" s="1" t="s">
        <v>463</v>
      </c>
      <c r="D1118" s="3" t="s">
        <v>1</v>
      </c>
      <c r="E1118" s="3" t="s">
        <v>6</v>
      </c>
      <c r="F1118" s="6" t="s">
        <v>110</v>
      </c>
    </row>
    <row r="1119" spans="1:9">
      <c r="A1119" s="2">
        <v>23625</v>
      </c>
      <c r="B1119" s="1" t="s">
        <v>57</v>
      </c>
      <c r="C1119" s="1" t="s">
        <v>64</v>
      </c>
      <c r="D1119" s="3" t="s">
        <v>1</v>
      </c>
      <c r="E1119" s="3" t="s">
        <v>6</v>
      </c>
      <c r="F1119" s="6" t="s">
        <v>110</v>
      </c>
    </row>
    <row r="1120" spans="1:9">
      <c r="A1120" s="56">
        <v>23626</v>
      </c>
      <c r="B1120" s="52"/>
      <c r="C1120" s="52"/>
      <c r="D1120" s="53"/>
      <c r="E1120" s="53"/>
      <c r="F1120" s="54"/>
      <c r="G1120" s="54"/>
      <c r="H1120" s="52"/>
      <c r="I1120" s="52"/>
    </row>
    <row r="1121" spans="1:9">
      <c r="A1121" s="2">
        <v>23619</v>
      </c>
      <c r="B1121" s="1" t="s">
        <v>508</v>
      </c>
      <c r="C1121" s="1" t="s">
        <v>510</v>
      </c>
      <c r="D1121" s="3" t="s">
        <v>1</v>
      </c>
      <c r="E1121" s="3" t="s">
        <v>6</v>
      </c>
      <c r="F1121" s="6" t="s">
        <v>110</v>
      </c>
    </row>
    <row r="1122" spans="1:9">
      <c r="A1122" s="2">
        <v>23619</v>
      </c>
      <c r="B1122" s="1" t="s">
        <v>509</v>
      </c>
      <c r="C1122" s="1" t="s">
        <v>510</v>
      </c>
      <c r="D1122" s="3" t="s">
        <v>1</v>
      </c>
      <c r="E1122" s="3" t="s">
        <v>6</v>
      </c>
      <c r="F1122" s="6" t="s">
        <v>110</v>
      </c>
    </row>
    <row r="1123" spans="1:9">
      <c r="A1123" s="2">
        <v>23625</v>
      </c>
      <c r="B1123" s="1" t="s">
        <v>521</v>
      </c>
      <c r="C1123" s="1" t="s">
        <v>290</v>
      </c>
      <c r="D1123" s="3" t="s">
        <v>1</v>
      </c>
      <c r="E1123" s="3" t="s">
        <v>6</v>
      </c>
      <c r="F1123" s="6" t="s">
        <v>110</v>
      </c>
    </row>
    <row r="1124" spans="1:9">
      <c r="A1124" s="2">
        <v>23625</v>
      </c>
      <c r="B1124" s="1" t="s">
        <v>460</v>
      </c>
      <c r="C1124" s="1" t="s">
        <v>463</v>
      </c>
      <c r="D1124" s="3" t="s">
        <v>1</v>
      </c>
      <c r="E1124" s="3" t="s">
        <v>6</v>
      </c>
      <c r="F1124" s="6" t="s">
        <v>110</v>
      </c>
    </row>
    <row r="1125" spans="1:9">
      <c r="A1125" s="2">
        <v>23625</v>
      </c>
      <c r="B1125" s="1" t="s">
        <v>206</v>
      </c>
      <c r="C1125" s="1" t="s">
        <v>501</v>
      </c>
      <c r="D1125" s="3" t="s">
        <v>1</v>
      </c>
      <c r="E1125" s="3" t="s">
        <v>6</v>
      </c>
      <c r="F1125" s="6" t="s">
        <v>110</v>
      </c>
      <c r="G1125" s="6" t="s">
        <v>525</v>
      </c>
    </row>
    <row r="1126" spans="1:9">
      <c r="A1126" s="2">
        <v>23625</v>
      </c>
      <c r="B1126" s="1" t="s">
        <v>522</v>
      </c>
      <c r="C1126" s="1" t="s">
        <v>501</v>
      </c>
      <c r="D1126" s="3" t="s">
        <v>1</v>
      </c>
      <c r="E1126" s="3" t="s">
        <v>6</v>
      </c>
      <c r="F1126" s="6" t="s">
        <v>110</v>
      </c>
      <c r="G1126" s="6" t="s">
        <v>525</v>
      </c>
    </row>
    <row r="1127" spans="1:9">
      <c r="A1127" s="2">
        <v>23626</v>
      </c>
      <c r="B1127" s="1" t="s">
        <v>523</v>
      </c>
      <c r="C1127" s="1" t="s">
        <v>524</v>
      </c>
      <c r="D1127" s="3" t="s">
        <v>2</v>
      </c>
      <c r="E1127" s="3" t="s">
        <v>7</v>
      </c>
      <c r="F1127" s="6" t="s">
        <v>490</v>
      </c>
    </row>
    <row r="1128" spans="1:9">
      <c r="A1128" s="2">
        <v>23626</v>
      </c>
      <c r="B1128" s="1" t="s">
        <v>519</v>
      </c>
      <c r="C1128" s="1" t="s">
        <v>520</v>
      </c>
      <c r="D1128" s="3" t="s">
        <v>2</v>
      </c>
      <c r="E1128" s="3" t="s">
        <v>7</v>
      </c>
      <c r="F1128" s="6" t="s">
        <v>490</v>
      </c>
    </row>
    <row r="1129" spans="1:9">
      <c r="A1129" s="60">
        <v>23627</v>
      </c>
      <c r="B1129" s="57"/>
      <c r="C1129" s="57"/>
      <c r="D1129" s="58"/>
      <c r="E1129" s="58"/>
      <c r="F1129" s="59"/>
      <c r="G1129" s="59"/>
      <c r="H1129" s="57"/>
      <c r="I1129" s="57"/>
    </row>
    <row r="1130" spans="1:9">
      <c r="A1130" s="2">
        <v>23625</v>
      </c>
      <c r="B1130" s="1" t="s">
        <v>460</v>
      </c>
      <c r="C1130" s="1" t="s">
        <v>463</v>
      </c>
      <c r="D1130" s="3" t="s">
        <v>1</v>
      </c>
      <c r="E1130" s="3" t="s">
        <v>6</v>
      </c>
      <c r="F1130" s="6" t="s">
        <v>110</v>
      </c>
    </row>
    <row r="1131" spans="1:9">
      <c r="A1131" s="2" t="s">
        <v>528</v>
      </c>
      <c r="B1131" s="1" t="s">
        <v>57</v>
      </c>
      <c r="C1131" s="1" t="s">
        <v>64</v>
      </c>
      <c r="D1131" s="3" t="s">
        <v>1</v>
      </c>
      <c r="E1131" s="3" t="s">
        <v>6</v>
      </c>
      <c r="F1131" s="6" t="s">
        <v>110</v>
      </c>
    </row>
    <row r="1132" spans="1:9">
      <c r="A1132" s="2" t="s">
        <v>528</v>
      </c>
      <c r="B1132" s="1" t="s">
        <v>231</v>
      </c>
      <c r="C1132" s="1" t="s">
        <v>25</v>
      </c>
      <c r="D1132" s="3" t="s">
        <v>2</v>
      </c>
      <c r="E1132" s="3" t="s">
        <v>7</v>
      </c>
      <c r="F1132" s="6" t="s">
        <v>490</v>
      </c>
    </row>
    <row r="1133" spans="1:9">
      <c r="A1133" s="2" t="s">
        <v>528</v>
      </c>
      <c r="B1133" s="1" t="s">
        <v>526</v>
      </c>
      <c r="C1133" s="1" t="s">
        <v>505</v>
      </c>
      <c r="D1133" s="3" t="s">
        <v>2</v>
      </c>
      <c r="E1133" s="3" t="s">
        <v>7</v>
      </c>
      <c r="F1133" s="6" t="s">
        <v>490</v>
      </c>
    </row>
    <row r="1134" spans="1:9">
      <c r="A1134" s="2" t="s">
        <v>528</v>
      </c>
      <c r="B1134" s="1" t="s">
        <v>527</v>
      </c>
      <c r="C1134" s="1" t="s">
        <v>234</v>
      </c>
      <c r="D1134" s="3" t="s">
        <v>2</v>
      </c>
      <c r="E1134" s="3" t="s">
        <v>7</v>
      </c>
      <c r="F1134" s="6" t="s">
        <v>490</v>
      </c>
    </row>
    <row r="1135" spans="1:9">
      <c r="A1135" s="60">
        <v>23628</v>
      </c>
      <c r="B1135" s="57"/>
      <c r="C1135" s="57"/>
      <c r="D1135" s="58"/>
      <c r="E1135" s="58"/>
      <c r="F1135" s="59"/>
      <c r="G1135" s="59"/>
      <c r="H1135" s="57"/>
      <c r="I1135" s="57"/>
    </row>
    <row r="1136" spans="1:9">
      <c r="A1136" s="2">
        <v>23628</v>
      </c>
      <c r="B1136" s="1" t="s">
        <v>460</v>
      </c>
      <c r="C1136" s="1" t="s">
        <v>463</v>
      </c>
      <c r="D1136" s="3" t="s">
        <v>1</v>
      </c>
      <c r="E1136" s="3" t="s">
        <v>6</v>
      </c>
      <c r="F1136" s="6" t="s">
        <v>110</v>
      </c>
    </row>
    <row r="1137" spans="1:9">
      <c r="A1137" s="2">
        <v>23628</v>
      </c>
      <c r="B1137" s="1" t="s">
        <v>57</v>
      </c>
      <c r="C1137" s="1" t="s">
        <v>64</v>
      </c>
      <c r="D1137" s="3" t="s">
        <v>1</v>
      </c>
      <c r="E1137" s="3" t="s">
        <v>6</v>
      </c>
      <c r="F1137" s="6" t="s">
        <v>110</v>
      </c>
    </row>
    <row r="1138" spans="1:9">
      <c r="A1138" s="2">
        <v>23628</v>
      </c>
      <c r="B1138" s="1" t="s">
        <v>78</v>
      </c>
      <c r="C1138" s="1" t="s">
        <v>85</v>
      </c>
      <c r="D1138" s="3" t="s">
        <v>1</v>
      </c>
      <c r="E1138" s="3" t="s">
        <v>6</v>
      </c>
      <c r="F1138" s="6" t="s">
        <v>110</v>
      </c>
    </row>
    <row r="1139" spans="1:9">
      <c r="A1139" s="61">
        <v>23629</v>
      </c>
      <c r="B1139" s="57"/>
      <c r="C1139" s="57"/>
      <c r="D1139" s="58"/>
      <c r="E1139" s="58"/>
      <c r="F1139" s="59"/>
      <c r="G1139" s="59"/>
      <c r="H1139" s="57"/>
      <c r="I1139" s="57"/>
    </row>
    <row r="1140" spans="1:9">
      <c r="A1140" s="2">
        <v>23628</v>
      </c>
      <c r="B1140" s="1" t="s">
        <v>508</v>
      </c>
      <c r="C1140" s="1" t="s">
        <v>510</v>
      </c>
      <c r="D1140" s="3" t="s">
        <v>1</v>
      </c>
      <c r="E1140" s="3" t="s">
        <v>6</v>
      </c>
      <c r="F1140" s="6" t="s">
        <v>110</v>
      </c>
    </row>
    <row r="1141" spans="1:9">
      <c r="A1141" s="2">
        <v>23628</v>
      </c>
      <c r="B1141" s="1" t="s">
        <v>509</v>
      </c>
      <c r="C1141" s="1" t="s">
        <v>510</v>
      </c>
      <c r="D1141" s="3" t="s">
        <v>1</v>
      </c>
      <c r="E1141" s="3" t="s">
        <v>6</v>
      </c>
      <c r="F1141" s="6" t="s">
        <v>110</v>
      </c>
    </row>
    <row r="1142" spans="1:9">
      <c r="A1142" s="2">
        <v>23628</v>
      </c>
      <c r="B1142" s="1" t="s">
        <v>78</v>
      </c>
      <c r="C1142" s="1" t="s">
        <v>85</v>
      </c>
      <c r="D1142" s="3" t="s">
        <v>1</v>
      </c>
      <c r="E1142" s="3" t="s">
        <v>6</v>
      </c>
      <c r="F1142" s="6" t="s">
        <v>110</v>
      </c>
    </row>
    <row r="1143" spans="1:9">
      <c r="A1143" s="2">
        <v>23629</v>
      </c>
      <c r="B1143" s="1" t="s">
        <v>529</v>
      </c>
      <c r="C1143" s="1" t="s">
        <v>531</v>
      </c>
      <c r="D1143" s="3" t="s">
        <v>1</v>
      </c>
      <c r="E1143" s="3" t="s">
        <v>6</v>
      </c>
      <c r="F1143" s="6" t="s">
        <v>110</v>
      </c>
    </row>
    <row r="1144" spans="1:9">
      <c r="A1144" s="2">
        <v>23629</v>
      </c>
      <c r="B1144" s="1" t="s">
        <v>530</v>
      </c>
      <c r="C1144" s="1" t="s">
        <v>532</v>
      </c>
      <c r="D1144" s="3" t="s">
        <v>1</v>
      </c>
      <c r="E1144" s="3" t="s">
        <v>6</v>
      </c>
      <c r="F1144" s="6" t="s">
        <v>110</v>
      </c>
    </row>
    <row r="1145" spans="1:9">
      <c r="A1145" s="2">
        <v>23629</v>
      </c>
      <c r="B1145" s="1" t="s">
        <v>533</v>
      </c>
      <c r="C1145" s="1" t="s">
        <v>535</v>
      </c>
      <c r="D1145" s="3" t="s">
        <v>2</v>
      </c>
      <c r="E1145" s="3" t="s">
        <v>6</v>
      </c>
      <c r="F1145" s="6" t="s">
        <v>490</v>
      </c>
    </row>
    <row r="1146" spans="1:9">
      <c r="A1146" s="2">
        <v>23629</v>
      </c>
      <c r="B1146" s="1" t="s">
        <v>419</v>
      </c>
      <c r="C1146" s="1" t="s">
        <v>426</v>
      </c>
      <c r="D1146" s="3" t="s">
        <v>2</v>
      </c>
      <c r="E1146" s="3" t="s">
        <v>6</v>
      </c>
      <c r="F1146" s="6" t="s">
        <v>490</v>
      </c>
    </row>
    <row r="1147" spans="1:9">
      <c r="A1147" s="2">
        <v>23629</v>
      </c>
      <c r="B1147" s="1" t="s">
        <v>405</v>
      </c>
      <c r="C1147" s="1" t="s">
        <v>426</v>
      </c>
      <c r="D1147" s="3" t="s">
        <v>2</v>
      </c>
      <c r="E1147" s="3" t="s">
        <v>6</v>
      </c>
      <c r="F1147" s="6" t="s">
        <v>490</v>
      </c>
    </row>
    <row r="1148" spans="1:9">
      <c r="A1148" s="2">
        <v>23629</v>
      </c>
      <c r="B1148" s="1" t="s">
        <v>121</v>
      </c>
      <c r="C1148" s="1" t="s">
        <v>28</v>
      </c>
      <c r="D1148" s="3" t="s">
        <v>2</v>
      </c>
      <c r="E1148" s="3" t="s">
        <v>6</v>
      </c>
      <c r="F1148" s="6" t="s">
        <v>490</v>
      </c>
    </row>
    <row r="1149" spans="1:9">
      <c r="A1149" s="2">
        <v>23629</v>
      </c>
      <c r="B1149" s="1" t="s">
        <v>534</v>
      </c>
      <c r="C1149" s="1" t="s">
        <v>330</v>
      </c>
      <c r="D1149" s="3" t="s">
        <v>2</v>
      </c>
      <c r="E1149" s="3" t="s">
        <v>6</v>
      </c>
      <c r="F1149" s="6" t="s">
        <v>490</v>
      </c>
    </row>
    <row r="1150" spans="1:9">
      <c r="A1150" s="61">
        <v>23630</v>
      </c>
      <c r="B1150" s="57"/>
      <c r="C1150" s="57"/>
      <c r="D1150" s="58"/>
      <c r="E1150" s="58"/>
      <c r="F1150" s="59"/>
      <c r="G1150" s="59"/>
      <c r="H1150" s="57"/>
      <c r="I1150" s="57"/>
    </row>
    <row r="1151" spans="1:9">
      <c r="A1151" s="2">
        <v>23628</v>
      </c>
      <c r="B1151" s="1" t="s">
        <v>508</v>
      </c>
      <c r="C1151" s="1" t="s">
        <v>510</v>
      </c>
      <c r="D1151" s="3" t="s">
        <v>1</v>
      </c>
      <c r="E1151" s="3" t="s">
        <v>6</v>
      </c>
      <c r="F1151" s="6" t="s">
        <v>536</v>
      </c>
    </row>
    <row r="1152" spans="1:9">
      <c r="A1152" s="2">
        <v>23628</v>
      </c>
      <c r="B1152" s="1" t="s">
        <v>509</v>
      </c>
      <c r="C1152" s="1" t="s">
        <v>510</v>
      </c>
      <c r="D1152" s="3" t="s">
        <v>1</v>
      </c>
      <c r="E1152" s="3" t="s">
        <v>6</v>
      </c>
      <c r="F1152" s="6" t="s">
        <v>536</v>
      </c>
    </row>
    <row r="1153" spans="1:9">
      <c r="A1153" s="60">
        <v>23631</v>
      </c>
      <c r="B1153" s="57"/>
      <c r="C1153" s="57"/>
      <c r="D1153" s="58"/>
      <c r="E1153" s="58"/>
      <c r="F1153" s="59"/>
      <c r="G1153" s="59"/>
      <c r="H1153" s="57"/>
      <c r="I1153" s="57"/>
    </row>
    <row r="1154" spans="1:9">
      <c r="A1154" s="2">
        <v>23628</v>
      </c>
      <c r="B1154" s="1" t="s">
        <v>508</v>
      </c>
      <c r="C1154" s="1" t="s">
        <v>510</v>
      </c>
      <c r="D1154" s="3" t="s">
        <v>1</v>
      </c>
      <c r="E1154" s="3" t="s">
        <v>6</v>
      </c>
      <c r="F1154" s="6" t="s">
        <v>536</v>
      </c>
    </row>
    <row r="1155" spans="1:9">
      <c r="A1155" s="2">
        <v>23628</v>
      </c>
      <c r="B1155" s="1" t="s">
        <v>509</v>
      </c>
      <c r="C1155" s="1" t="s">
        <v>510</v>
      </c>
      <c r="D1155" s="3" t="s">
        <v>1</v>
      </c>
      <c r="E1155" s="3" t="s">
        <v>6</v>
      </c>
      <c r="F1155" s="6" t="s">
        <v>536</v>
      </c>
    </row>
    <row r="1156" spans="1:9">
      <c r="A1156" s="60">
        <v>23632</v>
      </c>
      <c r="B1156" s="57"/>
      <c r="C1156" s="57"/>
      <c r="D1156" s="58"/>
      <c r="E1156" s="58"/>
      <c r="F1156" s="59"/>
      <c r="G1156" s="59"/>
      <c r="H1156" s="57"/>
      <c r="I1156" s="57"/>
    </row>
    <row r="1157" spans="1:9">
      <c r="A1157" s="2">
        <v>23628</v>
      </c>
      <c r="B1157" s="1" t="s">
        <v>508</v>
      </c>
      <c r="C1157" s="1" t="s">
        <v>510</v>
      </c>
      <c r="D1157" s="3" t="s">
        <v>1</v>
      </c>
      <c r="E1157" s="3" t="s">
        <v>6</v>
      </c>
      <c r="F1157" s="6" t="s">
        <v>536</v>
      </c>
    </row>
    <row r="1158" spans="1:9">
      <c r="A1158" s="2">
        <v>23628</v>
      </c>
      <c r="B1158" s="1" t="s">
        <v>509</v>
      </c>
      <c r="C1158" s="1" t="s">
        <v>510</v>
      </c>
      <c r="D1158" s="3" t="s">
        <v>1</v>
      </c>
      <c r="E1158" s="3" t="s">
        <v>6</v>
      </c>
      <c r="F1158" s="6" t="s">
        <v>536</v>
      </c>
    </row>
    <row r="1159" spans="1:9">
      <c r="A1159" s="2">
        <v>23631</v>
      </c>
      <c r="B1159" s="1" t="s">
        <v>537</v>
      </c>
      <c r="C1159" s="1" t="s">
        <v>101</v>
      </c>
      <c r="D1159" s="3" t="s">
        <v>1</v>
      </c>
      <c r="E1159" s="3" t="s">
        <v>6</v>
      </c>
      <c r="F1159" s="6" t="s">
        <v>110</v>
      </c>
    </row>
    <row r="1160" spans="1:9">
      <c r="A1160" s="2">
        <v>23631</v>
      </c>
      <c r="B1160" s="1" t="s">
        <v>297</v>
      </c>
      <c r="C1160" s="1" t="s">
        <v>101</v>
      </c>
      <c r="D1160" s="3" t="s">
        <v>1</v>
      </c>
      <c r="E1160" s="3" t="s">
        <v>6</v>
      </c>
      <c r="F1160" s="6" t="s">
        <v>110</v>
      </c>
    </row>
    <row r="1161" spans="1:9">
      <c r="A1161" s="2">
        <v>23632</v>
      </c>
      <c r="B1161" s="1" t="s">
        <v>54</v>
      </c>
      <c r="C1161" s="1" t="s">
        <v>422</v>
      </c>
      <c r="D1161" s="3" t="s">
        <v>1</v>
      </c>
      <c r="E1161" s="3" t="s">
        <v>6</v>
      </c>
      <c r="F1161" s="6" t="s">
        <v>110</v>
      </c>
    </row>
    <row r="1162" spans="1:9">
      <c r="A1162" s="61" t="s">
        <v>538</v>
      </c>
      <c r="B1162" s="57"/>
      <c r="C1162" s="57"/>
      <c r="D1162" s="58"/>
      <c r="E1162" s="58"/>
      <c r="F1162" s="59"/>
      <c r="G1162" s="59"/>
      <c r="H1162" s="57"/>
      <c r="I1162" s="57"/>
    </row>
    <row r="1163" spans="1:9">
      <c r="A1163" s="2">
        <v>23628</v>
      </c>
      <c r="B1163" s="1" t="s">
        <v>508</v>
      </c>
      <c r="C1163" s="1" t="s">
        <v>510</v>
      </c>
      <c r="D1163" s="3" t="s">
        <v>1</v>
      </c>
      <c r="E1163" s="3" t="s">
        <v>6</v>
      </c>
      <c r="F1163" s="6" t="s">
        <v>536</v>
      </c>
    </row>
    <row r="1164" spans="1:9">
      <c r="A1164" s="2">
        <v>23628</v>
      </c>
      <c r="B1164" s="1" t="s">
        <v>509</v>
      </c>
      <c r="C1164" s="1" t="s">
        <v>510</v>
      </c>
      <c r="D1164" s="3" t="s">
        <v>1</v>
      </c>
      <c r="E1164" s="3" t="s">
        <v>6</v>
      </c>
      <c r="F1164" s="6" t="s">
        <v>536</v>
      </c>
    </row>
    <row r="1165" spans="1:9">
      <c r="A1165" s="2">
        <v>23631</v>
      </c>
      <c r="B1165" s="1" t="s">
        <v>537</v>
      </c>
      <c r="C1165" s="1" t="s">
        <v>101</v>
      </c>
      <c r="D1165" s="3" t="s">
        <v>1</v>
      </c>
      <c r="E1165" s="3" t="s">
        <v>6</v>
      </c>
      <c r="F1165" s="6" t="s">
        <v>110</v>
      </c>
    </row>
    <row r="1166" spans="1:9">
      <c r="A1166" s="2">
        <v>23631</v>
      </c>
      <c r="B1166" s="1" t="s">
        <v>297</v>
      </c>
      <c r="C1166" s="1" t="s">
        <v>101</v>
      </c>
      <c r="D1166" s="3" t="s">
        <v>1</v>
      </c>
      <c r="E1166" s="3" t="s">
        <v>6</v>
      </c>
      <c r="F1166" s="6" t="s">
        <v>110</v>
      </c>
    </row>
    <row r="1167" spans="1:9">
      <c r="A1167" s="2">
        <v>23632</v>
      </c>
      <c r="B1167" s="1" t="s">
        <v>54</v>
      </c>
      <c r="C1167" s="1" t="s">
        <v>422</v>
      </c>
      <c r="D1167" s="3" t="s">
        <v>1</v>
      </c>
      <c r="E1167" s="3" t="s">
        <v>6</v>
      </c>
      <c r="F1167" s="6" t="s">
        <v>110</v>
      </c>
    </row>
    <row r="1168" spans="1:9">
      <c r="A1168" s="2" t="s">
        <v>538</v>
      </c>
      <c r="B1168" s="1" t="s">
        <v>335</v>
      </c>
      <c r="C1168" s="1" t="s">
        <v>337</v>
      </c>
      <c r="D1168" s="3" t="s">
        <v>2</v>
      </c>
      <c r="E1168" s="3" t="s">
        <v>7</v>
      </c>
      <c r="F1168" s="6" t="s">
        <v>119</v>
      </c>
    </row>
    <row r="1169" spans="1:9">
      <c r="A1169" s="60">
        <v>23634</v>
      </c>
      <c r="B1169" s="57"/>
      <c r="C1169" s="57"/>
      <c r="D1169" s="58"/>
      <c r="E1169" s="58"/>
      <c r="F1169" s="59"/>
      <c r="G1169" s="59"/>
      <c r="H1169" s="57"/>
      <c r="I1169" s="57"/>
    </row>
    <row r="1170" spans="1:9">
      <c r="A1170" s="2">
        <v>23628</v>
      </c>
      <c r="B1170" s="1" t="s">
        <v>508</v>
      </c>
      <c r="C1170" s="1" t="s">
        <v>510</v>
      </c>
      <c r="D1170" s="3" t="s">
        <v>1</v>
      </c>
      <c r="E1170" s="3" t="s">
        <v>6</v>
      </c>
      <c r="F1170" s="6" t="s">
        <v>536</v>
      </c>
    </row>
    <row r="1171" spans="1:9">
      <c r="A1171" s="2">
        <v>23628</v>
      </c>
      <c r="B1171" s="1" t="s">
        <v>509</v>
      </c>
      <c r="C1171" s="1" t="s">
        <v>510</v>
      </c>
      <c r="D1171" s="3" t="s">
        <v>1</v>
      </c>
      <c r="E1171" s="3" t="s">
        <v>6</v>
      </c>
      <c r="F1171" s="6" t="s">
        <v>536</v>
      </c>
    </row>
    <row r="1172" spans="1:9">
      <c r="A1172" s="2">
        <v>23631</v>
      </c>
      <c r="B1172" s="1" t="s">
        <v>537</v>
      </c>
      <c r="C1172" s="1" t="s">
        <v>101</v>
      </c>
      <c r="D1172" s="3" t="s">
        <v>1</v>
      </c>
      <c r="E1172" s="3" t="s">
        <v>6</v>
      </c>
      <c r="F1172" s="6" t="s">
        <v>110</v>
      </c>
    </row>
    <row r="1173" spans="1:9">
      <c r="A1173" s="2">
        <v>23631</v>
      </c>
      <c r="B1173" s="1" t="s">
        <v>297</v>
      </c>
      <c r="C1173" s="1" t="s">
        <v>101</v>
      </c>
      <c r="D1173" s="3" t="s">
        <v>1</v>
      </c>
      <c r="E1173" s="3" t="s">
        <v>6</v>
      </c>
      <c r="F1173" s="6" t="s">
        <v>110</v>
      </c>
    </row>
    <row r="1174" spans="1:9">
      <c r="A1174" s="2">
        <v>23632</v>
      </c>
      <c r="B1174" s="1" t="s">
        <v>54</v>
      </c>
      <c r="C1174" s="1" t="s">
        <v>422</v>
      </c>
      <c r="D1174" s="3" t="s">
        <v>1</v>
      </c>
      <c r="E1174" s="3" t="s">
        <v>6</v>
      </c>
      <c r="F1174" s="6" t="s">
        <v>110</v>
      </c>
    </row>
    <row r="1175" spans="1:9">
      <c r="A1175" s="2">
        <v>23634</v>
      </c>
      <c r="B1175" s="1" t="s">
        <v>11</v>
      </c>
      <c r="C1175" s="1" t="s">
        <v>25</v>
      </c>
      <c r="D1175" s="3" t="s">
        <v>2</v>
      </c>
      <c r="E1175" s="3" t="s">
        <v>7</v>
      </c>
      <c r="F1175" s="6" t="s">
        <v>119</v>
      </c>
    </row>
    <row r="1176" spans="1:9">
      <c r="A1176" s="2">
        <v>23634</v>
      </c>
      <c r="B1176" s="1" t="s">
        <v>134</v>
      </c>
      <c r="C1176" s="1" t="s">
        <v>135</v>
      </c>
      <c r="D1176" s="3" t="s">
        <v>2</v>
      </c>
      <c r="E1176" s="3" t="s">
        <v>7</v>
      </c>
      <c r="F1176" s="6" t="s">
        <v>119</v>
      </c>
    </row>
    <row r="1177" spans="1:9">
      <c r="A1177" s="2">
        <v>23634</v>
      </c>
      <c r="B1177" s="1" t="s">
        <v>539</v>
      </c>
      <c r="C1177" s="1" t="s">
        <v>540</v>
      </c>
      <c r="D1177" s="3" t="s">
        <v>2</v>
      </c>
      <c r="E1177" s="3" t="s">
        <v>7</v>
      </c>
      <c r="F1177" s="6" t="s">
        <v>119</v>
      </c>
    </row>
    <row r="1178" spans="1:9">
      <c r="A1178" s="60" t="s">
        <v>541</v>
      </c>
      <c r="B1178" s="57"/>
      <c r="C1178" s="57"/>
      <c r="D1178" s="58"/>
      <c r="E1178" s="58"/>
      <c r="F1178" s="59"/>
      <c r="G1178" s="59"/>
      <c r="H1178" s="57"/>
      <c r="I1178" s="57"/>
    </row>
    <row r="1179" spans="1:9">
      <c r="A1179" s="2">
        <v>23628</v>
      </c>
      <c r="B1179" s="1" t="s">
        <v>508</v>
      </c>
      <c r="C1179" s="1" t="s">
        <v>510</v>
      </c>
      <c r="D1179" s="3" t="s">
        <v>1</v>
      </c>
      <c r="E1179" s="3" t="s">
        <v>6</v>
      </c>
      <c r="F1179" s="6" t="s">
        <v>536</v>
      </c>
    </row>
    <row r="1180" spans="1:9">
      <c r="A1180" s="2">
        <v>23628</v>
      </c>
      <c r="B1180" s="1" t="s">
        <v>509</v>
      </c>
      <c r="C1180" s="1" t="s">
        <v>510</v>
      </c>
      <c r="D1180" s="3" t="s">
        <v>1</v>
      </c>
      <c r="E1180" s="3" t="s">
        <v>6</v>
      </c>
      <c r="F1180" s="6" t="s">
        <v>536</v>
      </c>
    </row>
    <row r="1181" spans="1:9">
      <c r="A1181" s="2">
        <v>23631</v>
      </c>
      <c r="B1181" s="1" t="s">
        <v>537</v>
      </c>
      <c r="C1181" s="1" t="s">
        <v>101</v>
      </c>
      <c r="D1181" s="3" t="s">
        <v>1</v>
      </c>
      <c r="E1181" s="3" t="s">
        <v>6</v>
      </c>
      <c r="F1181" s="6" t="s">
        <v>542</v>
      </c>
    </row>
    <row r="1182" spans="1:9">
      <c r="A1182" s="2">
        <v>23631</v>
      </c>
      <c r="B1182" s="1" t="s">
        <v>297</v>
      </c>
      <c r="C1182" s="1" t="s">
        <v>101</v>
      </c>
      <c r="D1182" s="3" t="s">
        <v>1</v>
      </c>
      <c r="E1182" s="3" t="s">
        <v>6</v>
      </c>
      <c r="F1182" s="6" t="s">
        <v>542</v>
      </c>
    </row>
    <row r="1183" spans="1:9">
      <c r="A1183" s="2">
        <v>23634</v>
      </c>
      <c r="B1183" s="1" t="s">
        <v>134</v>
      </c>
      <c r="C1183" s="1" t="s">
        <v>135</v>
      </c>
      <c r="D1183" s="3" t="s">
        <v>2</v>
      </c>
      <c r="E1183" s="3" t="s">
        <v>7</v>
      </c>
      <c r="F1183" s="6" t="s">
        <v>119</v>
      </c>
    </row>
    <row r="1184" spans="1:9">
      <c r="A1184" s="2" t="s">
        <v>541</v>
      </c>
      <c r="B1184" s="1" t="s">
        <v>543</v>
      </c>
      <c r="C1184" s="1" t="s">
        <v>544</v>
      </c>
      <c r="D1184" s="3" t="s">
        <v>2</v>
      </c>
      <c r="E1184" s="3" t="s">
        <v>7</v>
      </c>
      <c r="F1184" s="6" t="s">
        <v>119</v>
      </c>
    </row>
    <row r="1185" spans="1:9">
      <c r="A1185" s="60" t="s">
        <v>545</v>
      </c>
      <c r="B1185" s="57"/>
      <c r="C1185" s="57"/>
      <c r="D1185" s="58"/>
      <c r="E1185" s="58"/>
      <c r="F1185" s="59"/>
      <c r="G1185" s="59"/>
      <c r="H1185" s="57"/>
      <c r="I1185" s="57"/>
    </row>
    <row r="1186" spans="1:9">
      <c r="A1186" s="2">
        <v>23628</v>
      </c>
      <c r="B1186" s="1" t="s">
        <v>508</v>
      </c>
      <c r="C1186" s="1" t="s">
        <v>510</v>
      </c>
      <c r="D1186" s="3" t="s">
        <v>1</v>
      </c>
      <c r="E1186" s="3" t="s">
        <v>6</v>
      </c>
      <c r="F1186" s="6" t="s">
        <v>536</v>
      </c>
    </row>
    <row r="1187" spans="1:9">
      <c r="A1187" s="2">
        <v>23628</v>
      </c>
      <c r="B1187" s="1" t="s">
        <v>509</v>
      </c>
      <c r="C1187" s="1" t="s">
        <v>510</v>
      </c>
      <c r="D1187" s="3" t="s">
        <v>1</v>
      </c>
      <c r="E1187" s="3" t="s">
        <v>6</v>
      </c>
      <c r="F1187" s="6" t="s">
        <v>536</v>
      </c>
    </row>
    <row r="1188" spans="1:9">
      <c r="A1188" s="2">
        <v>23631</v>
      </c>
      <c r="B1188" s="1" t="s">
        <v>537</v>
      </c>
      <c r="C1188" s="1" t="s">
        <v>101</v>
      </c>
      <c r="D1188" s="3" t="s">
        <v>1</v>
      </c>
      <c r="E1188" s="3" t="s">
        <v>6</v>
      </c>
      <c r="F1188" s="6" t="s">
        <v>542</v>
      </c>
    </row>
    <row r="1189" spans="1:9">
      <c r="A1189" s="2">
        <v>23631</v>
      </c>
      <c r="B1189" s="1" t="s">
        <v>297</v>
      </c>
      <c r="C1189" s="1" t="s">
        <v>101</v>
      </c>
      <c r="D1189" s="3" t="s">
        <v>1</v>
      </c>
      <c r="E1189" s="3" t="s">
        <v>6</v>
      </c>
      <c r="F1189" s="6" t="s">
        <v>542</v>
      </c>
    </row>
    <row r="1190" spans="1:9">
      <c r="A1190" s="2" t="s">
        <v>545</v>
      </c>
      <c r="B1190" s="1" t="s">
        <v>54</v>
      </c>
      <c r="C1190" s="1" t="s">
        <v>422</v>
      </c>
      <c r="D1190" s="3" t="s">
        <v>1</v>
      </c>
      <c r="E1190" s="3" t="s">
        <v>6</v>
      </c>
      <c r="F1190" s="6" t="s">
        <v>110</v>
      </c>
    </row>
    <row r="1191" spans="1:9">
      <c r="A1191" s="2" t="s">
        <v>545</v>
      </c>
      <c r="B1191" s="1" t="s">
        <v>495</v>
      </c>
      <c r="C1191" s="1" t="s">
        <v>496</v>
      </c>
      <c r="D1191" s="3" t="s">
        <v>1</v>
      </c>
      <c r="E1191" s="3" t="s">
        <v>6</v>
      </c>
      <c r="F1191" s="6" t="s">
        <v>110</v>
      </c>
    </row>
    <row r="1192" spans="1:9">
      <c r="A1192" s="2" t="s">
        <v>545</v>
      </c>
      <c r="B1192" s="1" t="s">
        <v>371</v>
      </c>
      <c r="C1192" s="1" t="s">
        <v>377</v>
      </c>
      <c r="D1192" s="3" t="s">
        <v>1</v>
      </c>
      <c r="E1192" s="3" t="s">
        <v>6</v>
      </c>
      <c r="F1192" s="6" t="s">
        <v>110</v>
      </c>
    </row>
    <row r="1193" spans="1:9">
      <c r="A1193" s="2" t="s">
        <v>545</v>
      </c>
      <c r="B1193" s="1" t="s">
        <v>460</v>
      </c>
      <c r="C1193" s="1" t="s">
        <v>463</v>
      </c>
      <c r="D1193" s="3" t="s">
        <v>1</v>
      </c>
      <c r="E1193" s="3" t="s">
        <v>6</v>
      </c>
      <c r="F1193" s="6" t="s">
        <v>110</v>
      </c>
    </row>
    <row r="1194" spans="1:9">
      <c r="A1194" s="2" t="s">
        <v>545</v>
      </c>
      <c r="B1194" s="1" t="s">
        <v>57</v>
      </c>
      <c r="C1194" s="1" t="s">
        <v>64</v>
      </c>
      <c r="D1194" s="3" t="s">
        <v>1</v>
      </c>
      <c r="E1194" s="3" t="s">
        <v>6</v>
      </c>
      <c r="F1194" s="6" t="s">
        <v>110</v>
      </c>
    </row>
    <row r="1195" spans="1:9">
      <c r="A1195" s="2" t="s">
        <v>545</v>
      </c>
      <c r="B1195" s="1" t="s">
        <v>236</v>
      </c>
      <c r="C1195" s="1" t="s">
        <v>237</v>
      </c>
      <c r="D1195" s="3" t="s">
        <v>2</v>
      </c>
      <c r="E1195" s="3" t="s">
        <v>7</v>
      </c>
      <c r="F1195" s="6" t="s">
        <v>119</v>
      </c>
    </row>
    <row r="1196" spans="1:9">
      <c r="A1196" s="61" t="s">
        <v>546</v>
      </c>
      <c r="B1196" s="57"/>
      <c r="C1196" s="57"/>
      <c r="D1196" s="58"/>
      <c r="E1196" s="58"/>
      <c r="F1196" s="59"/>
      <c r="G1196" s="59"/>
      <c r="H1196" s="57"/>
      <c r="I1196" s="57"/>
    </row>
    <row r="1197" spans="1:9">
      <c r="A1197" s="2">
        <v>23631</v>
      </c>
      <c r="B1197" s="1" t="s">
        <v>537</v>
      </c>
      <c r="C1197" s="1" t="s">
        <v>101</v>
      </c>
      <c r="D1197" s="3" t="s">
        <v>1</v>
      </c>
      <c r="E1197" s="3" t="s">
        <v>6</v>
      </c>
      <c r="F1197" s="6" t="s">
        <v>542</v>
      </c>
    </row>
    <row r="1198" spans="1:9">
      <c r="A1198" s="2">
        <v>23631</v>
      </c>
      <c r="B1198" s="1" t="s">
        <v>297</v>
      </c>
      <c r="C1198" s="1" t="s">
        <v>101</v>
      </c>
      <c r="D1198" s="3" t="s">
        <v>1</v>
      </c>
      <c r="E1198" s="3" t="s">
        <v>6</v>
      </c>
      <c r="F1198" s="6" t="s">
        <v>542</v>
      </c>
    </row>
    <row r="1199" spans="1:9">
      <c r="A1199" s="2" t="s">
        <v>545</v>
      </c>
      <c r="B1199" s="1" t="s">
        <v>54</v>
      </c>
      <c r="C1199" s="1" t="s">
        <v>422</v>
      </c>
      <c r="D1199" s="3" t="s">
        <v>1</v>
      </c>
      <c r="E1199" s="3" t="s">
        <v>6</v>
      </c>
      <c r="F1199" s="6" t="s">
        <v>110</v>
      </c>
    </row>
    <row r="1200" spans="1:9">
      <c r="A1200" s="2" t="s">
        <v>545</v>
      </c>
      <c r="B1200" s="1" t="s">
        <v>78</v>
      </c>
      <c r="C1200" s="1" t="s">
        <v>85</v>
      </c>
      <c r="D1200" s="3" t="s">
        <v>1</v>
      </c>
      <c r="E1200" s="3" t="s">
        <v>6</v>
      </c>
      <c r="F1200" s="6" t="s">
        <v>110</v>
      </c>
    </row>
    <row r="1201" spans="1:9">
      <c r="A1201" s="2" t="s">
        <v>545</v>
      </c>
      <c r="B1201" s="1" t="s">
        <v>57</v>
      </c>
      <c r="C1201" s="1" t="s">
        <v>64</v>
      </c>
      <c r="D1201" s="3" t="s">
        <v>1</v>
      </c>
      <c r="E1201" s="3" t="s">
        <v>6</v>
      </c>
      <c r="F1201" s="6" t="s">
        <v>110</v>
      </c>
    </row>
    <row r="1202" spans="1:9">
      <c r="A1202" s="2" t="s">
        <v>546</v>
      </c>
      <c r="B1202" s="1" t="s">
        <v>322</v>
      </c>
      <c r="C1202" s="1" t="s">
        <v>324</v>
      </c>
      <c r="D1202" s="3" t="s">
        <v>2</v>
      </c>
      <c r="E1202" s="3" t="s">
        <v>7</v>
      </c>
      <c r="F1202" s="6" t="s">
        <v>119</v>
      </c>
    </row>
    <row r="1203" spans="1:9">
      <c r="A1203" s="60" t="s">
        <v>547</v>
      </c>
      <c r="B1203" s="57"/>
      <c r="C1203" s="57"/>
      <c r="D1203" s="58"/>
      <c r="E1203" s="58"/>
      <c r="F1203" s="59"/>
      <c r="G1203" s="59"/>
      <c r="H1203" s="57"/>
      <c r="I1203" s="57"/>
    </row>
    <row r="1204" spans="1:9">
      <c r="A1204" s="2">
        <v>23631</v>
      </c>
      <c r="B1204" s="1" t="s">
        <v>537</v>
      </c>
      <c r="C1204" s="1" t="s">
        <v>101</v>
      </c>
      <c r="D1204" s="3" t="s">
        <v>1</v>
      </c>
      <c r="E1204" s="3" t="s">
        <v>6</v>
      </c>
      <c r="F1204" s="6" t="s">
        <v>542</v>
      </c>
    </row>
    <row r="1205" spans="1:9">
      <c r="A1205" s="2">
        <v>23631</v>
      </c>
      <c r="B1205" s="1" t="s">
        <v>297</v>
      </c>
      <c r="C1205" s="1" t="s">
        <v>101</v>
      </c>
      <c r="D1205" s="3" t="s">
        <v>1</v>
      </c>
      <c r="E1205" s="3" t="s">
        <v>6</v>
      </c>
      <c r="F1205" s="6" t="s">
        <v>542</v>
      </c>
    </row>
    <row r="1206" spans="1:9">
      <c r="A1206" s="2" t="s">
        <v>545</v>
      </c>
      <c r="B1206" s="1" t="s">
        <v>54</v>
      </c>
      <c r="C1206" s="1" t="s">
        <v>422</v>
      </c>
      <c r="D1206" s="3" t="s">
        <v>1</v>
      </c>
      <c r="E1206" s="3" t="s">
        <v>6</v>
      </c>
      <c r="F1206" s="6" t="s">
        <v>110</v>
      </c>
    </row>
    <row r="1207" spans="1:9">
      <c r="A1207" s="2" t="s">
        <v>545</v>
      </c>
      <c r="B1207" s="1" t="s">
        <v>57</v>
      </c>
      <c r="C1207" s="1" t="s">
        <v>64</v>
      </c>
      <c r="D1207" s="3" t="s">
        <v>1</v>
      </c>
      <c r="E1207" s="3" t="s">
        <v>6</v>
      </c>
      <c r="F1207" s="6" t="s">
        <v>110</v>
      </c>
    </row>
    <row r="1208" spans="1:9">
      <c r="A1208" s="60" t="s">
        <v>548</v>
      </c>
      <c r="B1208" s="57"/>
      <c r="C1208" s="57"/>
      <c r="D1208" s="58"/>
      <c r="E1208" s="58"/>
      <c r="F1208" s="59"/>
      <c r="G1208" s="59"/>
      <c r="H1208" s="57"/>
      <c r="I1208" s="57"/>
    </row>
    <row r="1209" spans="1:9">
      <c r="A1209" s="2">
        <v>23631</v>
      </c>
      <c r="B1209" s="1" t="s">
        <v>537</v>
      </c>
      <c r="C1209" s="1" t="s">
        <v>101</v>
      </c>
      <c r="D1209" s="3" t="s">
        <v>1</v>
      </c>
      <c r="E1209" s="3" t="s">
        <v>6</v>
      </c>
      <c r="F1209" s="6" t="s">
        <v>542</v>
      </c>
    </row>
    <row r="1210" spans="1:9">
      <c r="A1210" s="2">
        <v>23631</v>
      </c>
      <c r="B1210" s="1" t="s">
        <v>297</v>
      </c>
      <c r="C1210" s="1" t="s">
        <v>101</v>
      </c>
      <c r="D1210" s="3" t="s">
        <v>1</v>
      </c>
      <c r="E1210" s="3" t="s">
        <v>6</v>
      </c>
      <c r="F1210" s="6" t="s">
        <v>542</v>
      </c>
    </row>
    <row r="1211" spans="1:9">
      <c r="A1211" s="2" t="s">
        <v>548</v>
      </c>
      <c r="B1211" s="1" t="s">
        <v>405</v>
      </c>
      <c r="C1211" s="1" t="s">
        <v>426</v>
      </c>
      <c r="D1211" s="3" t="s">
        <v>1</v>
      </c>
      <c r="E1211" s="3" t="s">
        <v>6</v>
      </c>
      <c r="F1211" s="6" t="s">
        <v>110</v>
      </c>
    </row>
    <row r="1212" spans="1:9">
      <c r="A1212" s="60">
        <v>23640</v>
      </c>
      <c r="B1212" s="57"/>
      <c r="C1212" s="57"/>
      <c r="D1212" s="58"/>
      <c r="E1212" s="58"/>
      <c r="F1212" s="59"/>
      <c r="G1212" s="59"/>
      <c r="H1212" s="57"/>
      <c r="I1212" s="57"/>
    </row>
    <row r="1213" spans="1:9">
      <c r="A1213" s="2">
        <v>23631</v>
      </c>
      <c r="B1213" s="1" t="s">
        <v>537</v>
      </c>
      <c r="C1213" s="1" t="s">
        <v>101</v>
      </c>
      <c r="D1213" s="3" t="s">
        <v>1</v>
      </c>
      <c r="E1213" s="3" t="s">
        <v>6</v>
      </c>
      <c r="F1213" s="6" t="s">
        <v>542</v>
      </c>
    </row>
    <row r="1214" spans="1:9">
      <c r="A1214" s="2">
        <v>23631</v>
      </c>
      <c r="B1214" s="1" t="s">
        <v>297</v>
      </c>
      <c r="C1214" s="1" t="s">
        <v>101</v>
      </c>
      <c r="D1214" s="3" t="s">
        <v>1</v>
      </c>
      <c r="E1214" s="3" t="s">
        <v>6</v>
      </c>
      <c r="F1214" s="6" t="s">
        <v>542</v>
      </c>
    </row>
    <row r="1215" spans="1:9">
      <c r="A1215" s="2" t="s">
        <v>548</v>
      </c>
      <c r="B1215" s="1" t="s">
        <v>405</v>
      </c>
      <c r="C1215" s="1" t="s">
        <v>426</v>
      </c>
      <c r="D1215" s="3" t="s">
        <v>1</v>
      </c>
      <c r="E1215" s="3" t="s">
        <v>6</v>
      </c>
      <c r="F1215" s="6" t="s">
        <v>110</v>
      </c>
    </row>
    <row r="1216" spans="1:9">
      <c r="A1216" s="2">
        <v>23640</v>
      </c>
      <c r="B1216" s="1" t="s">
        <v>456</v>
      </c>
      <c r="C1216" s="1" t="s">
        <v>458</v>
      </c>
      <c r="D1216" s="3" t="s">
        <v>1</v>
      </c>
      <c r="E1216" s="3" t="s">
        <v>6</v>
      </c>
      <c r="F1216" s="6" t="s">
        <v>110</v>
      </c>
    </row>
    <row r="1217" spans="1:9">
      <c r="A1217" s="2">
        <v>23640</v>
      </c>
      <c r="B1217" s="1" t="s">
        <v>549</v>
      </c>
      <c r="C1217" s="1" t="s">
        <v>550</v>
      </c>
      <c r="D1217" s="3" t="s">
        <v>1</v>
      </c>
      <c r="E1217" s="3" t="s">
        <v>6</v>
      </c>
      <c r="F1217" s="6" t="s">
        <v>110</v>
      </c>
    </row>
    <row r="1218" spans="1:9">
      <c r="A1218" s="2">
        <v>23640</v>
      </c>
      <c r="B1218" s="1" t="s">
        <v>303</v>
      </c>
      <c r="C1218" s="1" t="s">
        <v>127</v>
      </c>
      <c r="D1218" s="3" t="s">
        <v>2</v>
      </c>
      <c r="E1218" s="3" t="s">
        <v>7</v>
      </c>
      <c r="F1218" s="6" t="s">
        <v>119</v>
      </c>
    </row>
    <row r="1219" spans="1:9">
      <c r="A1219" s="61">
        <v>23641</v>
      </c>
      <c r="B1219" s="57"/>
      <c r="C1219" s="57"/>
      <c r="D1219" s="58"/>
      <c r="E1219" s="58"/>
      <c r="F1219" s="59"/>
      <c r="G1219" s="59"/>
      <c r="H1219" s="57"/>
      <c r="I1219" s="57"/>
    </row>
    <row r="1220" spans="1:9">
      <c r="A1220" s="2">
        <v>23631</v>
      </c>
      <c r="B1220" s="1" t="s">
        <v>537</v>
      </c>
      <c r="C1220" s="1" t="s">
        <v>101</v>
      </c>
      <c r="D1220" s="3" t="s">
        <v>1</v>
      </c>
      <c r="E1220" s="3" t="s">
        <v>6</v>
      </c>
      <c r="F1220" s="6" t="s">
        <v>542</v>
      </c>
    </row>
    <row r="1221" spans="1:9">
      <c r="A1221" s="2">
        <v>23631</v>
      </c>
      <c r="B1221" s="1" t="s">
        <v>297</v>
      </c>
      <c r="C1221" s="1" t="s">
        <v>101</v>
      </c>
      <c r="D1221" s="3" t="s">
        <v>1</v>
      </c>
      <c r="E1221" s="3" t="s">
        <v>6</v>
      </c>
      <c r="F1221" s="6" t="s">
        <v>542</v>
      </c>
    </row>
    <row r="1222" spans="1:9">
      <c r="A1222" s="2" t="s">
        <v>548</v>
      </c>
      <c r="B1222" s="1" t="s">
        <v>405</v>
      </c>
      <c r="C1222" s="1" t="s">
        <v>426</v>
      </c>
      <c r="D1222" s="3" t="s">
        <v>1</v>
      </c>
      <c r="E1222" s="3" t="s">
        <v>6</v>
      </c>
      <c r="F1222" s="6" t="s">
        <v>110</v>
      </c>
    </row>
    <row r="1223" spans="1:9">
      <c r="A1223" s="2">
        <v>23640</v>
      </c>
      <c r="B1223" s="1" t="s">
        <v>456</v>
      </c>
      <c r="C1223" s="1" t="s">
        <v>458</v>
      </c>
      <c r="D1223" s="3" t="s">
        <v>1</v>
      </c>
      <c r="E1223" s="3" t="s">
        <v>6</v>
      </c>
      <c r="F1223" s="6" t="s">
        <v>110</v>
      </c>
    </row>
    <row r="1224" spans="1:9">
      <c r="A1224" s="2">
        <v>23641</v>
      </c>
      <c r="B1224" s="1" t="s">
        <v>549</v>
      </c>
      <c r="C1224" s="1" t="s">
        <v>550</v>
      </c>
      <c r="D1224" s="3" t="s">
        <v>1</v>
      </c>
      <c r="E1224" s="3" t="s">
        <v>6</v>
      </c>
      <c r="F1224" s="6" t="s">
        <v>110</v>
      </c>
    </row>
    <row r="1225" spans="1:9">
      <c r="A1225" s="2">
        <v>23641</v>
      </c>
      <c r="B1225" s="1" t="s">
        <v>57</v>
      </c>
      <c r="C1225" s="1" t="s">
        <v>64</v>
      </c>
      <c r="D1225" s="3" t="s">
        <v>1</v>
      </c>
      <c r="E1225" s="3" t="s">
        <v>6</v>
      </c>
      <c r="F1225" s="6" t="s">
        <v>110</v>
      </c>
    </row>
    <row r="1226" spans="1:9">
      <c r="A1226" s="2">
        <v>23641</v>
      </c>
      <c r="B1226" s="1" t="s">
        <v>460</v>
      </c>
      <c r="C1226" s="1" t="s">
        <v>463</v>
      </c>
      <c r="D1226" s="3" t="s">
        <v>1</v>
      </c>
      <c r="E1226" s="3" t="s">
        <v>6</v>
      </c>
      <c r="F1226" s="6" t="s">
        <v>110</v>
      </c>
    </row>
    <row r="1227" spans="1:9">
      <c r="A1227" s="2">
        <v>23641</v>
      </c>
      <c r="B1227" s="1" t="s">
        <v>78</v>
      </c>
      <c r="C1227" s="1" t="s">
        <v>85</v>
      </c>
      <c r="D1227" s="3" t="s">
        <v>1</v>
      </c>
      <c r="E1227" s="3" t="s">
        <v>6</v>
      </c>
      <c r="F1227" s="6" t="s">
        <v>110</v>
      </c>
    </row>
    <row r="1228" spans="1:9">
      <c r="A1228" s="2">
        <v>23641</v>
      </c>
      <c r="B1228" s="1" t="s">
        <v>121</v>
      </c>
      <c r="C1228" s="1" t="s">
        <v>28</v>
      </c>
      <c r="D1228" s="3" t="s">
        <v>1</v>
      </c>
      <c r="E1228" s="3" t="s">
        <v>6</v>
      </c>
      <c r="F1228" s="6" t="s">
        <v>110</v>
      </c>
    </row>
    <row r="1229" spans="1:9">
      <c r="A1229" s="2">
        <v>23641</v>
      </c>
      <c r="B1229" s="1" t="s">
        <v>11</v>
      </c>
      <c r="C1229" s="1" t="s">
        <v>25</v>
      </c>
      <c r="D1229" s="3" t="s">
        <v>2</v>
      </c>
      <c r="E1229" s="3" t="s">
        <v>6</v>
      </c>
      <c r="F1229" s="6" t="s">
        <v>119</v>
      </c>
    </row>
    <row r="1230" spans="1:9">
      <c r="A1230" s="2">
        <v>23641</v>
      </c>
      <c r="B1230" s="1" t="s">
        <v>551</v>
      </c>
      <c r="C1230" s="1" t="s">
        <v>553</v>
      </c>
      <c r="D1230" s="3" t="s">
        <v>2</v>
      </c>
      <c r="E1230" s="3" t="s">
        <v>6</v>
      </c>
      <c r="F1230" s="6" t="s">
        <v>119</v>
      </c>
    </row>
    <row r="1231" spans="1:9">
      <c r="A1231" s="2">
        <v>23641</v>
      </c>
      <c r="B1231" s="1" t="s">
        <v>12</v>
      </c>
      <c r="C1231" s="1" t="s">
        <v>26</v>
      </c>
      <c r="D1231" s="3" t="s">
        <v>2</v>
      </c>
      <c r="E1231" s="3" t="s">
        <v>6</v>
      </c>
      <c r="F1231" s="6" t="s">
        <v>119</v>
      </c>
    </row>
    <row r="1232" spans="1:9">
      <c r="A1232" s="2">
        <v>23641</v>
      </c>
      <c r="B1232" s="1" t="s">
        <v>389</v>
      </c>
      <c r="C1232" s="1" t="s">
        <v>258</v>
      </c>
      <c r="D1232" s="3" t="s">
        <v>2</v>
      </c>
      <c r="E1232" s="3" t="s">
        <v>6</v>
      </c>
      <c r="F1232" s="6" t="s">
        <v>119</v>
      </c>
    </row>
    <row r="1233" spans="1:9">
      <c r="A1233" s="2">
        <v>23641</v>
      </c>
      <c r="B1233" s="1" t="s">
        <v>552</v>
      </c>
      <c r="C1233" s="1" t="s">
        <v>554</v>
      </c>
      <c r="D1233" s="3" t="s">
        <v>2</v>
      </c>
      <c r="E1233" s="3" t="s">
        <v>6</v>
      </c>
      <c r="F1233" s="6" t="s">
        <v>119</v>
      </c>
    </row>
    <row r="1234" spans="1:9">
      <c r="A1234" s="61" t="s">
        <v>555</v>
      </c>
      <c r="B1234" s="57"/>
      <c r="C1234" s="57"/>
      <c r="D1234" s="58"/>
      <c r="E1234" s="58"/>
      <c r="F1234" s="59"/>
      <c r="G1234" s="59"/>
      <c r="H1234" s="57"/>
      <c r="I1234" s="57"/>
    </row>
    <row r="1235" spans="1:9">
      <c r="A1235" s="2">
        <v>23631</v>
      </c>
      <c r="B1235" s="1" t="s">
        <v>537</v>
      </c>
      <c r="C1235" s="1" t="s">
        <v>101</v>
      </c>
      <c r="D1235" s="3" t="s">
        <v>1</v>
      </c>
      <c r="E1235" s="3" t="s">
        <v>6</v>
      </c>
      <c r="F1235" s="6" t="s">
        <v>556</v>
      </c>
    </row>
    <row r="1236" spans="1:9">
      <c r="A1236" s="2">
        <v>23631</v>
      </c>
      <c r="B1236" s="1" t="s">
        <v>297</v>
      </c>
      <c r="C1236" s="1" t="s">
        <v>101</v>
      </c>
      <c r="D1236" s="3" t="s">
        <v>1</v>
      </c>
      <c r="E1236" s="3" t="s">
        <v>6</v>
      </c>
      <c r="F1236" s="6" t="s">
        <v>556</v>
      </c>
    </row>
    <row r="1237" spans="1:9">
      <c r="A1237" s="2">
        <v>23641</v>
      </c>
      <c r="B1237" s="1" t="s">
        <v>549</v>
      </c>
      <c r="C1237" s="1" t="s">
        <v>550</v>
      </c>
      <c r="D1237" s="3" t="s">
        <v>1</v>
      </c>
      <c r="E1237" s="3" t="s">
        <v>6</v>
      </c>
      <c r="F1237" s="6" t="s">
        <v>110</v>
      </c>
    </row>
    <row r="1238" spans="1:9">
      <c r="A1238" s="2">
        <v>23642</v>
      </c>
      <c r="B1238" s="1" t="s">
        <v>78</v>
      </c>
      <c r="C1238" s="1" t="s">
        <v>85</v>
      </c>
      <c r="D1238" s="3" t="s">
        <v>1</v>
      </c>
      <c r="E1238" s="3" t="s">
        <v>6</v>
      </c>
      <c r="F1238" s="6" t="s">
        <v>110</v>
      </c>
    </row>
    <row r="1239" spans="1:9">
      <c r="A1239" s="2" t="s">
        <v>555</v>
      </c>
      <c r="B1239" s="1" t="s">
        <v>372</v>
      </c>
      <c r="C1239" s="1" t="s">
        <v>378</v>
      </c>
      <c r="D1239" s="3" t="s">
        <v>1</v>
      </c>
      <c r="E1239" s="3" t="s">
        <v>6</v>
      </c>
      <c r="F1239" s="6" t="s">
        <v>110</v>
      </c>
    </row>
    <row r="1240" spans="1:9">
      <c r="A1240" s="2">
        <v>23642</v>
      </c>
      <c r="B1240" s="1" t="s">
        <v>12</v>
      </c>
      <c r="C1240" s="1" t="s">
        <v>26</v>
      </c>
      <c r="D1240" s="3" t="s">
        <v>2</v>
      </c>
      <c r="E1240" s="3" t="s">
        <v>6</v>
      </c>
      <c r="F1240" s="6" t="s">
        <v>119</v>
      </c>
    </row>
    <row r="1241" spans="1:9">
      <c r="A1241" s="61" t="s">
        <v>557</v>
      </c>
      <c r="B1241" s="57"/>
      <c r="C1241" s="57"/>
      <c r="D1241" s="58"/>
      <c r="E1241" s="58"/>
      <c r="F1241" s="59"/>
      <c r="G1241" s="59"/>
      <c r="H1241" s="57"/>
      <c r="I1241" s="57"/>
    </row>
    <row r="1242" spans="1:9">
      <c r="A1242" s="2">
        <v>23631</v>
      </c>
      <c r="B1242" s="1" t="s">
        <v>537</v>
      </c>
      <c r="C1242" s="1" t="s">
        <v>101</v>
      </c>
      <c r="D1242" s="3" t="s">
        <v>1</v>
      </c>
      <c r="E1242" s="3" t="s">
        <v>6</v>
      </c>
      <c r="F1242" s="6" t="s">
        <v>556</v>
      </c>
    </row>
    <row r="1243" spans="1:9">
      <c r="A1243" s="2">
        <v>23631</v>
      </c>
      <c r="B1243" s="1" t="s">
        <v>297</v>
      </c>
      <c r="C1243" s="1" t="s">
        <v>101</v>
      </c>
      <c r="D1243" s="3" t="s">
        <v>1</v>
      </c>
      <c r="E1243" s="3" t="s">
        <v>6</v>
      </c>
      <c r="F1243" s="6" t="s">
        <v>556</v>
      </c>
    </row>
    <row r="1244" spans="1:9">
      <c r="A1244" s="2">
        <v>23641</v>
      </c>
      <c r="B1244" s="1" t="s">
        <v>549</v>
      </c>
      <c r="C1244" s="1" t="s">
        <v>550</v>
      </c>
      <c r="D1244" s="3" t="s">
        <v>1</v>
      </c>
      <c r="E1244" s="3" t="s">
        <v>6</v>
      </c>
      <c r="F1244" s="6" t="s">
        <v>110</v>
      </c>
    </row>
    <row r="1245" spans="1:9">
      <c r="A1245" s="2">
        <v>23642</v>
      </c>
      <c r="B1245" s="1" t="s">
        <v>78</v>
      </c>
      <c r="C1245" s="1" t="s">
        <v>85</v>
      </c>
      <c r="D1245" s="3" t="s">
        <v>1</v>
      </c>
      <c r="E1245" s="3" t="s">
        <v>6</v>
      </c>
      <c r="F1245" s="6" t="s">
        <v>110</v>
      </c>
    </row>
    <row r="1246" spans="1:9">
      <c r="A1246" s="2" t="s">
        <v>555</v>
      </c>
      <c r="B1246" s="1" t="s">
        <v>372</v>
      </c>
      <c r="C1246" s="1" t="s">
        <v>378</v>
      </c>
      <c r="D1246" s="3" t="s">
        <v>1</v>
      </c>
      <c r="E1246" s="3" t="s">
        <v>6</v>
      </c>
      <c r="F1246" s="6" t="s">
        <v>110</v>
      </c>
    </row>
    <row r="1247" spans="1:9">
      <c r="A1247" s="2">
        <v>23643</v>
      </c>
      <c r="B1247" s="1" t="s">
        <v>389</v>
      </c>
      <c r="C1247" s="1" t="s">
        <v>559</v>
      </c>
      <c r="D1247" s="3" t="s">
        <v>1</v>
      </c>
      <c r="E1247" s="3" t="s">
        <v>6</v>
      </c>
      <c r="F1247" s="6" t="s">
        <v>110</v>
      </c>
    </row>
    <row r="1248" spans="1:9">
      <c r="A1248" s="2">
        <v>23643</v>
      </c>
      <c r="B1248" s="1" t="s">
        <v>558</v>
      </c>
      <c r="C1248" s="1" t="s">
        <v>560</v>
      </c>
      <c r="D1248" s="3" t="s">
        <v>1</v>
      </c>
      <c r="E1248" s="3" t="s">
        <v>6</v>
      </c>
      <c r="F1248" s="6" t="s">
        <v>110</v>
      </c>
    </row>
    <row r="1249" spans="1:9">
      <c r="A1249" s="2">
        <v>23643</v>
      </c>
      <c r="B1249" s="1" t="s">
        <v>159</v>
      </c>
      <c r="C1249" s="1" t="s">
        <v>158</v>
      </c>
      <c r="D1249" s="3" t="s">
        <v>2</v>
      </c>
      <c r="E1249" s="3" t="s">
        <v>7</v>
      </c>
      <c r="F1249" s="6" t="s">
        <v>119</v>
      </c>
    </row>
    <row r="1250" spans="1:9">
      <c r="A1250" s="2">
        <v>23643</v>
      </c>
      <c r="B1250" s="1" t="s">
        <v>90</v>
      </c>
      <c r="C1250" s="1" t="s">
        <v>91</v>
      </c>
      <c r="D1250" s="3" t="s">
        <v>2</v>
      </c>
      <c r="E1250" s="3" t="s">
        <v>7</v>
      </c>
      <c r="F1250" s="6" t="s">
        <v>119</v>
      </c>
    </row>
    <row r="1251" spans="1:9">
      <c r="A1251" s="2">
        <v>23643</v>
      </c>
      <c r="B1251" s="1" t="s">
        <v>561</v>
      </c>
      <c r="C1251" s="1" t="s">
        <v>396</v>
      </c>
      <c r="D1251" s="3" t="s">
        <v>2</v>
      </c>
      <c r="E1251" s="3" t="s">
        <v>7</v>
      </c>
      <c r="F1251" s="6" t="s">
        <v>119</v>
      </c>
    </row>
    <row r="1252" spans="1:9">
      <c r="A1252" s="2">
        <v>23643</v>
      </c>
      <c r="B1252" s="1" t="s">
        <v>12</v>
      </c>
      <c r="C1252" s="1" t="s">
        <v>26</v>
      </c>
      <c r="D1252" s="3" t="s">
        <v>2</v>
      </c>
      <c r="E1252" s="3" t="s">
        <v>7</v>
      </c>
      <c r="F1252" s="6" t="s">
        <v>119</v>
      </c>
    </row>
    <row r="1253" spans="1:9">
      <c r="A1253" s="60" t="s">
        <v>562</v>
      </c>
      <c r="B1253" s="57"/>
      <c r="C1253" s="57"/>
      <c r="D1253" s="58"/>
      <c r="E1253" s="58"/>
      <c r="F1253" s="59"/>
      <c r="G1253" s="59"/>
      <c r="H1253" s="57"/>
      <c r="I1253" s="57"/>
    </row>
    <row r="1254" spans="1:9">
      <c r="A1254" s="2">
        <v>23631</v>
      </c>
      <c r="B1254" s="1" t="s">
        <v>537</v>
      </c>
      <c r="C1254" s="1" t="s">
        <v>101</v>
      </c>
      <c r="D1254" s="3" t="s">
        <v>1</v>
      </c>
      <c r="E1254" s="3" t="s">
        <v>6</v>
      </c>
      <c r="F1254" s="6" t="s">
        <v>556</v>
      </c>
    </row>
    <row r="1255" spans="1:9">
      <c r="A1255" s="2">
        <v>23631</v>
      </c>
      <c r="B1255" s="1" t="s">
        <v>297</v>
      </c>
      <c r="C1255" s="1" t="s">
        <v>101</v>
      </c>
      <c r="D1255" s="3" t="s">
        <v>1</v>
      </c>
      <c r="E1255" s="3" t="s">
        <v>6</v>
      </c>
      <c r="F1255" s="6" t="s">
        <v>556</v>
      </c>
    </row>
    <row r="1256" spans="1:9">
      <c r="A1256" s="2">
        <v>23644</v>
      </c>
      <c r="B1256" s="1" t="s">
        <v>389</v>
      </c>
      <c r="C1256" s="1" t="s">
        <v>559</v>
      </c>
      <c r="D1256" s="3" t="s">
        <v>1</v>
      </c>
      <c r="E1256" s="3" t="s">
        <v>6</v>
      </c>
      <c r="F1256" s="6" t="s">
        <v>110</v>
      </c>
    </row>
    <row r="1257" spans="1:9">
      <c r="A1257" s="2">
        <v>23644</v>
      </c>
      <c r="B1257" s="1" t="s">
        <v>12</v>
      </c>
      <c r="C1257" s="1" t="s">
        <v>26</v>
      </c>
      <c r="D1257" s="3" t="s">
        <v>2</v>
      </c>
      <c r="E1257" s="3" t="s">
        <v>7</v>
      </c>
      <c r="F1257" s="6" t="s">
        <v>119</v>
      </c>
    </row>
    <row r="1258" spans="1:9">
      <c r="A1258" s="2">
        <v>23644</v>
      </c>
      <c r="B1258" s="1" t="s">
        <v>549</v>
      </c>
      <c r="C1258" s="1" t="s">
        <v>550</v>
      </c>
      <c r="D1258" s="3" t="s">
        <v>2</v>
      </c>
      <c r="E1258" s="3" t="s">
        <v>7</v>
      </c>
      <c r="F1258" s="6" t="s">
        <v>563</v>
      </c>
    </row>
    <row r="1259" spans="1:9">
      <c r="A1259" s="2">
        <v>23644</v>
      </c>
      <c r="B1259" s="1" t="s">
        <v>159</v>
      </c>
      <c r="C1259" s="1" t="s">
        <v>158</v>
      </c>
      <c r="D1259" s="3" t="s">
        <v>2</v>
      </c>
      <c r="E1259" s="3" t="s">
        <v>7</v>
      </c>
      <c r="F1259" s="6" t="s">
        <v>119</v>
      </c>
    </row>
    <row r="1260" spans="1:9">
      <c r="A1260" s="60" t="s">
        <v>564</v>
      </c>
      <c r="B1260" s="57"/>
      <c r="C1260" s="57"/>
      <c r="D1260" s="58"/>
      <c r="E1260" s="58"/>
      <c r="F1260" s="59"/>
      <c r="G1260" s="59"/>
      <c r="H1260" s="57"/>
      <c r="I1260" s="57"/>
    </row>
    <row r="1261" spans="1:9">
      <c r="A1261" s="2">
        <v>23631</v>
      </c>
      <c r="B1261" s="1" t="s">
        <v>537</v>
      </c>
      <c r="C1261" s="1" t="s">
        <v>101</v>
      </c>
      <c r="D1261" s="3" t="s">
        <v>1</v>
      </c>
      <c r="E1261" s="3" t="s">
        <v>6</v>
      </c>
      <c r="F1261" s="6" t="s">
        <v>556</v>
      </c>
    </row>
    <row r="1262" spans="1:9">
      <c r="A1262" s="2">
        <v>23631</v>
      </c>
      <c r="B1262" s="1" t="s">
        <v>297</v>
      </c>
      <c r="C1262" s="1" t="s">
        <v>101</v>
      </c>
      <c r="D1262" s="3" t="s">
        <v>1</v>
      </c>
      <c r="E1262" s="3" t="s">
        <v>6</v>
      </c>
      <c r="F1262" s="6" t="s">
        <v>556</v>
      </c>
    </row>
    <row r="1263" spans="1:9">
      <c r="A1263" s="2">
        <v>23645</v>
      </c>
      <c r="B1263" s="1" t="s">
        <v>94</v>
      </c>
      <c r="C1263" s="1" t="s">
        <v>32</v>
      </c>
      <c r="D1263" s="3" t="s">
        <v>1</v>
      </c>
      <c r="E1263" s="3" t="s">
        <v>6</v>
      </c>
      <c r="F1263" s="6" t="s">
        <v>110</v>
      </c>
    </row>
    <row r="1264" spans="1:9">
      <c r="A1264" s="2">
        <v>23645</v>
      </c>
      <c r="B1264" s="1" t="s">
        <v>438</v>
      </c>
      <c r="C1264" s="1" t="s">
        <v>269</v>
      </c>
      <c r="D1264" s="3" t="s">
        <v>1</v>
      </c>
      <c r="E1264" s="3" t="s">
        <v>6</v>
      </c>
      <c r="F1264" s="6" t="s">
        <v>110</v>
      </c>
    </row>
    <row r="1265" spans="1:9">
      <c r="A1265" s="2">
        <v>23645</v>
      </c>
      <c r="B1265" s="1" t="s">
        <v>242</v>
      </c>
      <c r="C1265" s="1" t="s">
        <v>246</v>
      </c>
      <c r="D1265" s="3" t="s">
        <v>2</v>
      </c>
      <c r="E1265" s="3" t="s">
        <v>7</v>
      </c>
      <c r="F1265" s="6" t="s">
        <v>119</v>
      </c>
    </row>
    <row r="1266" spans="1:9">
      <c r="A1266" s="2">
        <v>23645</v>
      </c>
      <c r="B1266" s="1" t="s">
        <v>11</v>
      </c>
      <c r="C1266" s="1" t="s">
        <v>25</v>
      </c>
      <c r="D1266" s="3" t="s">
        <v>2</v>
      </c>
      <c r="E1266" s="3" t="s">
        <v>7</v>
      </c>
      <c r="F1266" s="6" t="s">
        <v>119</v>
      </c>
    </row>
    <row r="1267" spans="1:9">
      <c r="A1267" s="2">
        <v>23645</v>
      </c>
      <c r="B1267" s="1" t="s">
        <v>74</v>
      </c>
      <c r="C1267" s="1" t="s">
        <v>83</v>
      </c>
      <c r="D1267" s="3" t="s">
        <v>2</v>
      </c>
      <c r="E1267" s="3" t="s">
        <v>7</v>
      </c>
      <c r="F1267" s="6" t="s">
        <v>119</v>
      </c>
    </row>
    <row r="1268" spans="1:9">
      <c r="A1268" s="61" t="s">
        <v>565</v>
      </c>
      <c r="B1268" s="57"/>
      <c r="C1268" s="57"/>
      <c r="D1268" s="58"/>
      <c r="E1268" s="58"/>
      <c r="F1268" s="59"/>
      <c r="G1268" s="59"/>
      <c r="H1268" s="57"/>
      <c r="I1268" s="57"/>
    </row>
    <row r="1269" spans="1:9">
      <c r="A1269" s="2">
        <v>23631</v>
      </c>
      <c r="B1269" s="1" t="s">
        <v>537</v>
      </c>
      <c r="C1269" s="1" t="s">
        <v>101</v>
      </c>
      <c r="D1269" s="3" t="s">
        <v>1</v>
      </c>
      <c r="E1269" s="3" t="s">
        <v>6</v>
      </c>
      <c r="F1269" s="6" t="s">
        <v>556</v>
      </c>
    </row>
    <row r="1270" spans="1:9">
      <c r="A1270" s="2">
        <v>23631</v>
      </c>
      <c r="B1270" s="1" t="s">
        <v>297</v>
      </c>
      <c r="C1270" s="1" t="s">
        <v>101</v>
      </c>
      <c r="D1270" s="3" t="s">
        <v>1</v>
      </c>
      <c r="E1270" s="3" t="s">
        <v>6</v>
      </c>
      <c r="F1270" s="6" t="s">
        <v>556</v>
      </c>
    </row>
    <row r="1271" spans="1:9">
      <c r="A1271" s="2">
        <v>23645</v>
      </c>
      <c r="B1271" s="1" t="s">
        <v>94</v>
      </c>
      <c r="C1271" s="1" t="s">
        <v>32</v>
      </c>
      <c r="D1271" s="3" t="s">
        <v>1</v>
      </c>
      <c r="E1271" s="3" t="s">
        <v>6</v>
      </c>
      <c r="F1271" s="6" t="s">
        <v>110</v>
      </c>
    </row>
    <row r="1272" spans="1:9">
      <c r="A1272" s="2">
        <v>23645</v>
      </c>
      <c r="B1272" s="1" t="s">
        <v>438</v>
      </c>
      <c r="C1272" s="1" t="s">
        <v>269</v>
      </c>
      <c r="D1272" s="3" t="s">
        <v>1</v>
      </c>
      <c r="E1272" s="3" t="s">
        <v>6</v>
      </c>
      <c r="F1272" s="6" t="s">
        <v>110</v>
      </c>
    </row>
    <row r="1273" spans="1:9">
      <c r="A1273" s="2" t="s">
        <v>565</v>
      </c>
      <c r="B1273" s="1" t="s">
        <v>57</v>
      </c>
      <c r="C1273" s="1" t="s">
        <v>64</v>
      </c>
      <c r="D1273" s="3" t="s">
        <v>1</v>
      </c>
      <c r="E1273" s="3" t="s">
        <v>6</v>
      </c>
      <c r="F1273" s="6" t="s">
        <v>110</v>
      </c>
    </row>
    <row r="1274" spans="1:9">
      <c r="A1274" s="2" t="s">
        <v>565</v>
      </c>
      <c r="B1274" s="1" t="s">
        <v>352</v>
      </c>
      <c r="C1274" s="1" t="s">
        <v>353</v>
      </c>
      <c r="D1274" s="3" t="s">
        <v>1</v>
      </c>
      <c r="E1274" s="3" t="s">
        <v>6</v>
      </c>
      <c r="F1274" s="6" t="s">
        <v>110</v>
      </c>
    </row>
    <row r="1275" spans="1:9">
      <c r="A1275" s="2" t="s">
        <v>565</v>
      </c>
      <c r="B1275" s="1" t="s">
        <v>165</v>
      </c>
      <c r="C1275" s="1" t="s">
        <v>127</v>
      </c>
      <c r="D1275" s="3" t="s">
        <v>1</v>
      </c>
      <c r="E1275" s="3" t="s">
        <v>6</v>
      </c>
      <c r="F1275" s="6" t="s">
        <v>110</v>
      </c>
    </row>
    <row r="1276" spans="1:9">
      <c r="A1276" s="2" t="s">
        <v>565</v>
      </c>
      <c r="B1276" s="1" t="s">
        <v>166</v>
      </c>
      <c r="C1276" s="1" t="s">
        <v>127</v>
      </c>
      <c r="D1276" s="3" t="s">
        <v>1</v>
      </c>
      <c r="E1276" s="3" t="s">
        <v>6</v>
      </c>
      <c r="F1276" s="6" t="s">
        <v>110</v>
      </c>
    </row>
    <row r="1277" spans="1:9">
      <c r="A1277" s="2" t="s">
        <v>565</v>
      </c>
      <c r="B1277" s="1" t="s">
        <v>51</v>
      </c>
      <c r="C1277" s="1" t="s">
        <v>127</v>
      </c>
      <c r="D1277" s="3" t="s">
        <v>1</v>
      </c>
      <c r="E1277" s="3" t="s">
        <v>6</v>
      </c>
      <c r="F1277" s="6" t="s">
        <v>110</v>
      </c>
    </row>
    <row r="1278" spans="1:9">
      <c r="A1278" s="2" t="s">
        <v>565</v>
      </c>
      <c r="B1278" s="1" t="s">
        <v>226</v>
      </c>
      <c r="C1278" s="1" t="s">
        <v>227</v>
      </c>
      <c r="D1278" s="3" t="s">
        <v>1</v>
      </c>
      <c r="E1278" s="3" t="s">
        <v>6</v>
      </c>
      <c r="F1278" s="6" t="s">
        <v>110</v>
      </c>
    </row>
    <row r="1279" spans="1:9">
      <c r="A1279" s="60">
        <v>23647</v>
      </c>
      <c r="B1279" s="57"/>
      <c r="C1279" s="57"/>
      <c r="D1279" s="58"/>
      <c r="E1279" s="58"/>
      <c r="F1279" s="59"/>
      <c r="G1279" s="59"/>
      <c r="H1279" s="57"/>
      <c r="I1279" s="57"/>
    </row>
    <row r="1280" spans="1:9">
      <c r="A1280" s="2">
        <v>23631</v>
      </c>
      <c r="B1280" s="1" t="s">
        <v>537</v>
      </c>
      <c r="C1280" s="1" t="s">
        <v>101</v>
      </c>
      <c r="D1280" s="3" t="s">
        <v>1</v>
      </c>
      <c r="E1280" s="3" t="s">
        <v>6</v>
      </c>
      <c r="F1280" s="6" t="s">
        <v>556</v>
      </c>
    </row>
    <row r="1281" spans="1:9">
      <c r="A1281" s="2">
        <v>23631</v>
      </c>
      <c r="B1281" s="1" t="s">
        <v>297</v>
      </c>
      <c r="C1281" s="1" t="s">
        <v>101</v>
      </c>
      <c r="D1281" s="3" t="s">
        <v>1</v>
      </c>
      <c r="E1281" s="3" t="s">
        <v>6</v>
      </c>
      <c r="F1281" s="6" t="s">
        <v>556</v>
      </c>
    </row>
    <row r="1282" spans="1:9">
      <c r="A1282" s="2" t="s">
        <v>572</v>
      </c>
      <c r="B1282" s="1" t="s">
        <v>566</v>
      </c>
      <c r="C1282" s="1" t="s">
        <v>422</v>
      </c>
      <c r="D1282" s="3" t="s">
        <v>1</v>
      </c>
      <c r="E1282" s="3" t="s">
        <v>6</v>
      </c>
      <c r="F1282" s="6" t="s">
        <v>110</v>
      </c>
    </row>
    <row r="1283" spans="1:9">
      <c r="A1283" s="2" t="s">
        <v>572</v>
      </c>
      <c r="B1283" s="1" t="s">
        <v>364</v>
      </c>
      <c r="C1283" s="1" t="s">
        <v>569</v>
      </c>
      <c r="D1283" s="3" t="s">
        <v>2</v>
      </c>
      <c r="E1283" s="3" t="s">
        <v>7</v>
      </c>
      <c r="F1283" s="6" t="s">
        <v>119</v>
      </c>
    </row>
    <row r="1284" spans="1:9">
      <c r="A1284" s="2" t="s">
        <v>572</v>
      </c>
      <c r="B1284" s="1" t="s">
        <v>567</v>
      </c>
      <c r="C1284" s="1" t="s">
        <v>570</v>
      </c>
      <c r="D1284" s="3" t="s">
        <v>2</v>
      </c>
      <c r="E1284" s="3" t="s">
        <v>7</v>
      </c>
      <c r="F1284" s="6" t="s">
        <v>119</v>
      </c>
    </row>
    <row r="1285" spans="1:9">
      <c r="A1285" s="2" t="s">
        <v>572</v>
      </c>
      <c r="B1285" s="1" t="s">
        <v>568</v>
      </c>
      <c r="C1285" s="1" t="s">
        <v>286</v>
      </c>
      <c r="D1285" s="3" t="s">
        <v>2</v>
      </c>
      <c r="E1285" s="3" t="s">
        <v>7</v>
      </c>
      <c r="F1285" s="6" t="s">
        <v>119</v>
      </c>
    </row>
    <row r="1286" spans="1:9">
      <c r="A1286" s="2" t="s">
        <v>572</v>
      </c>
      <c r="B1286" s="1" t="s">
        <v>280</v>
      </c>
      <c r="C1286" s="1" t="s">
        <v>571</v>
      </c>
      <c r="D1286" s="3" t="s">
        <v>2</v>
      </c>
      <c r="E1286" s="3" t="s">
        <v>7</v>
      </c>
      <c r="F1286" s="6" t="s">
        <v>119</v>
      </c>
    </row>
    <row r="1287" spans="1:9">
      <c r="A1287" s="60" t="s">
        <v>573</v>
      </c>
      <c r="B1287" s="57"/>
      <c r="C1287" s="57"/>
      <c r="D1287" s="58"/>
      <c r="E1287" s="58"/>
      <c r="F1287" s="59"/>
      <c r="G1287" s="59"/>
      <c r="H1287" s="57"/>
      <c r="I1287" s="57"/>
    </row>
    <row r="1288" spans="1:9">
      <c r="A1288" s="2">
        <v>23631</v>
      </c>
      <c r="B1288" s="1" t="s">
        <v>537</v>
      </c>
      <c r="C1288" s="1" t="s">
        <v>101</v>
      </c>
      <c r="D1288" s="3" t="s">
        <v>1</v>
      </c>
      <c r="E1288" s="3" t="s">
        <v>6</v>
      </c>
      <c r="F1288" s="6" t="s">
        <v>556</v>
      </c>
    </row>
    <row r="1289" spans="1:9">
      <c r="A1289" s="2">
        <v>23631</v>
      </c>
      <c r="B1289" s="1" t="s">
        <v>297</v>
      </c>
      <c r="C1289" s="1" t="s">
        <v>101</v>
      </c>
      <c r="D1289" s="3" t="s">
        <v>1</v>
      </c>
      <c r="E1289" s="3" t="s">
        <v>6</v>
      </c>
      <c r="F1289" s="6" t="s">
        <v>556</v>
      </c>
    </row>
    <row r="1290" spans="1:9">
      <c r="A1290" s="2" t="s">
        <v>572</v>
      </c>
      <c r="B1290" s="1" t="s">
        <v>566</v>
      </c>
      <c r="C1290" s="1" t="s">
        <v>422</v>
      </c>
      <c r="D1290" s="3" t="s">
        <v>1</v>
      </c>
      <c r="E1290" s="3" t="s">
        <v>6</v>
      </c>
      <c r="F1290" s="6" t="s">
        <v>110</v>
      </c>
    </row>
    <row r="1291" spans="1:9">
      <c r="A1291" s="2" t="s">
        <v>573</v>
      </c>
      <c r="B1291" s="1" t="s">
        <v>74</v>
      </c>
      <c r="C1291" s="1" t="s">
        <v>83</v>
      </c>
      <c r="D1291" s="3" t="s">
        <v>2</v>
      </c>
      <c r="E1291" s="3" t="s">
        <v>7</v>
      </c>
      <c r="F1291" s="6" t="s">
        <v>119</v>
      </c>
    </row>
    <row r="1292" spans="1:9">
      <c r="A1292" s="2" t="s">
        <v>573</v>
      </c>
      <c r="B1292" s="1" t="s">
        <v>196</v>
      </c>
      <c r="C1292" s="1" t="s">
        <v>197</v>
      </c>
      <c r="D1292" s="3" t="s">
        <v>2</v>
      </c>
      <c r="E1292" s="3" t="s">
        <v>7</v>
      </c>
      <c r="F1292" s="6" t="s">
        <v>119</v>
      </c>
    </row>
    <row r="1293" spans="1:9">
      <c r="A1293" s="61" t="s">
        <v>574</v>
      </c>
      <c r="B1293" s="57"/>
      <c r="C1293" s="57"/>
      <c r="D1293" s="58"/>
      <c r="E1293" s="58"/>
      <c r="F1293" s="59"/>
      <c r="G1293" s="59"/>
      <c r="H1293" s="57"/>
      <c r="I1293" s="57"/>
    </row>
    <row r="1294" spans="1:9">
      <c r="A1294" s="2">
        <v>23631</v>
      </c>
      <c r="B1294" s="1" t="s">
        <v>537</v>
      </c>
      <c r="C1294" s="1" t="s">
        <v>101</v>
      </c>
      <c r="D1294" s="3" t="s">
        <v>1</v>
      </c>
      <c r="E1294" s="3" t="s">
        <v>6</v>
      </c>
      <c r="F1294" s="6" t="s">
        <v>556</v>
      </c>
    </row>
    <row r="1295" spans="1:9">
      <c r="A1295" s="2">
        <v>23631</v>
      </c>
      <c r="B1295" s="1" t="s">
        <v>297</v>
      </c>
      <c r="C1295" s="1" t="s">
        <v>101</v>
      </c>
      <c r="D1295" s="3" t="s">
        <v>1</v>
      </c>
      <c r="E1295" s="3" t="s">
        <v>6</v>
      </c>
      <c r="F1295" s="6" t="s">
        <v>556</v>
      </c>
    </row>
    <row r="1296" spans="1:9">
      <c r="A1296" s="2" t="s">
        <v>572</v>
      </c>
      <c r="B1296" s="1" t="s">
        <v>566</v>
      </c>
      <c r="C1296" s="1" t="s">
        <v>422</v>
      </c>
      <c r="D1296" s="3" t="s">
        <v>1</v>
      </c>
      <c r="E1296" s="3" t="s">
        <v>6</v>
      </c>
      <c r="F1296" s="6" t="s">
        <v>110</v>
      </c>
    </row>
    <row r="1297" spans="1:9">
      <c r="A1297" s="2" t="s">
        <v>574</v>
      </c>
      <c r="B1297" s="1" t="s">
        <v>452</v>
      </c>
      <c r="C1297" s="1" t="s">
        <v>575</v>
      </c>
      <c r="D1297" s="3" t="s">
        <v>2</v>
      </c>
      <c r="E1297" s="3" t="s">
        <v>7</v>
      </c>
      <c r="F1297" s="6" t="s">
        <v>119</v>
      </c>
    </row>
    <row r="1298" spans="1:9">
      <c r="A1298" s="60" t="s">
        <v>576</v>
      </c>
      <c r="B1298" s="57"/>
      <c r="C1298" s="57"/>
      <c r="D1298" s="58"/>
      <c r="E1298" s="58"/>
      <c r="F1298" s="59"/>
      <c r="G1298" s="59"/>
      <c r="H1298" s="57"/>
      <c r="I1298" s="57"/>
    </row>
    <row r="1299" spans="1:9">
      <c r="A1299" s="2">
        <v>23631</v>
      </c>
      <c r="B1299" s="1" t="s">
        <v>537</v>
      </c>
      <c r="C1299" s="1" t="s">
        <v>101</v>
      </c>
      <c r="D1299" s="3" t="s">
        <v>1</v>
      </c>
      <c r="E1299" s="3" t="s">
        <v>6</v>
      </c>
      <c r="F1299" s="6" t="s">
        <v>556</v>
      </c>
    </row>
    <row r="1300" spans="1:9">
      <c r="A1300" s="2">
        <v>23631</v>
      </c>
      <c r="B1300" s="1" t="s">
        <v>297</v>
      </c>
      <c r="C1300" s="1" t="s">
        <v>101</v>
      </c>
      <c r="D1300" s="3" t="s">
        <v>1</v>
      </c>
      <c r="E1300" s="3" t="s">
        <v>6</v>
      </c>
      <c r="F1300" s="6" t="s">
        <v>556</v>
      </c>
    </row>
    <row r="1301" spans="1:9">
      <c r="A1301" s="2" t="s">
        <v>572</v>
      </c>
      <c r="B1301" s="1" t="s">
        <v>566</v>
      </c>
      <c r="C1301" s="1" t="s">
        <v>422</v>
      </c>
      <c r="D1301" s="3" t="s">
        <v>1</v>
      </c>
      <c r="E1301" s="3" t="s">
        <v>6</v>
      </c>
      <c r="F1301" s="6" t="s">
        <v>110</v>
      </c>
    </row>
    <row r="1302" spans="1:9">
      <c r="A1302" s="2" t="s">
        <v>576</v>
      </c>
      <c r="B1302" s="1" t="s">
        <v>136</v>
      </c>
      <c r="C1302" s="1" t="s">
        <v>137</v>
      </c>
      <c r="D1302" s="3" t="s">
        <v>2</v>
      </c>
      <c r="E1302" s="3" t="s">
        <v>7</v>
      </c>
      <c r="F1302" s="6" t="s">
        <v>119</v>
      </c>
    </row>
    <row r="1303" spans="1:9">
      <c r="A1303" s="65">
        <v>23651</v>
      </c>
      <c r="B1303" s="62"/>
      <c r="C1303" s="62"/>
      <c r="D1303" s="63"/>
      <c r="E1303" s="63"/>
      <c r="F1303" s="64"/>
      <c r="G1303" s="64"/>
      <c r="H1303" s="62"/>
      <c r="I1303" s="62"/>
    </row>
    <row r="1304" spans="1:9">
      <c r="A1304" s="2">
        <v>23631</v>
      </c>
      <c r="B1304" s="1" t="s">
        <v>537</v>
      </c>
      <c r="C1304" s="1" t="s">
        <v>101</v>
      </c>
      <c r="D1304" s="3" t="s">
        <v>1</v>
      </c>
      <c r="E1304" s="3" t="s">
        <v>6</v>
      </c>
      <c r="F1304" s="6" t="s">
        <v>556</v>
      </c>
    </row>
    <row r="1305" spans="1:9">
      <c r="A1305" s="2">
        <v>23631</v>
      </c>
      <c r="B1305" s="1" t="s">
        <v>297</v>
      </c>
      <c r="C1305" s="1" t="s">
        <v>101</v>
      </c>
      <c r="D1305" s="3" t="s">
        <v>1</v>
      </c>
      <c r="E1305" s="3" t="s">
        <v>6</v>
      </c>
      <c r="F1305" s="6" t="s">
        <v>556</v>
      </c>
    </row>
    <row r="1306" spans="1:9">
      <c r="A1306" s="2" t="s">
        <v>572</v>
      </c>
      <c r="B1306" s="1" t="s">
        <v>566</v>
      </c>
      <c r="C1306" s="1" t="s">
        <v>422</v>
      </c>
      <c r="D1306" s="3" t="s">
        <v>1</v>
      </c>
      <c r="E1306" s="3" t="s">
        <v>6</v>
      </c>
      <c r="F1306" s="6" t="s">
        <v>110</v>
      </c>
    </row>
    <row r="1307" spans="1:9">
      <c r="A1307" s="2" t="s">
        <v>576</v>
      </c>
      <c r="B1307" s="1" t="s">
        <v>136</v>
      </c>
      <c r="C1307" s="1" t="s">
        <v>137</v>
      </c>
      <c r="D1307" s="3" t="s">
        <v>2</v>
      </c>
      <c r="E1307" s="3" t="s">
        <v>7</v>
      </c>
      <c r="F1307" s="6" t="s">
        <v>119</v>
      </c>
    </row>
    <row r="1308" spans="1:9">
      <c r="A1308" s="2">
        <v>23651</v>
      </c>
      <c r="B1308" s="1" t="s">
        <v>577</v>
      </c>
      <c r="C1308" s="1" t="s">
        <v>578</v>
      </c>
      <c r="D1308" s="3" t="s">
        <v>2</v>
      </c>
      <c r="E1308" s="3" t="s">
        <v>7</v>
      </c>
      <c r="F1308" s="6" t="s">
        <v>119</v>
      </c>
    </row>
    <row r="1309" spans="1:9">
      <c r="A1309" s="2">
        <v>23651</v>
      </c>
      <c r="B1309" s="1" t="s">
        <v>380</v>
      </c>
      <c r="C1309" s="1" t="s">
        <v>579</v>
      </c>
      <c r="D1309" s="3" t="s">
        <v>2</v>
      </c>
      <c r="E1309" s="3" t="s">
        <v>7</v>
      </c>
      <c r="F1309" s="6" t="s">
        <v>119</v>
      </c>
    </row>
    <row r="1310" spans="1:9">
      <c r="A1310" s="65">
        <v>44471</v>
      </c>
      <c r="B1310" s="62"/>
      <c r="C1310" s="62"/>
      <c r="D1310" s="63"/>
      <c r="E1310" s="63"/>
      <c r="F1310" s="64"/>
      <c r="G1310" s="64"/>
      <c r="H1310" s="62"/>
      <c r="I1310" s="62"/>
    </row>
    <row r="1311" spans="1:9">
      <c r="A1311" s="2">
        <v>23631</v>
      </c>
      <c r="B1311" s="1" t="s">
        <v>537</v>
      </c>
      <c r="C1311" s="1" t="s">
        <v>101</v>
      </c>
      <c r="D1311" s="3" t="s">
        <v>1</v>
      </c>
      <c r="E1311" s="3" t="s">
        <v>6</v>
      </c>
      <c r="F1311" s="6" t="s">
        <v>556</v>
      </c>
    </row>
    <row r="1312" spans="1:9">
      <c r="A1312" s="2">
        <v>23631</v>
      </c>
      <c r="B1312" s="1" t="s">
        <v>297</v>
      </c>
      <c r="C1312" s="1" t="s">
        <v>101</v>
      </c>
      <c r="D1312" s="3" t="s">
        <v>1</v>
      </c>
      <c r="E1312" s="3" t="s">
        <v>6</v>
      </c>
      <c r="F1312" s="6" t="s">
        <v>556</v>
      </c>
    </row>
    <row r="1313" spans="1:9">
      <c r="A1313" s="2">
        <v>23652</v>
      </c>
      <c r="B1313" s="1" t="s">
        <v>78</v>
      </c>
      <c r="C1313" s="1" t="s">
        <v>85</v>
      </c>
      <c r="D1313" s="3" t="s">
        <v>1</v>
      </c>
      <c r="E1313" s="3" t="s">
        <v>6</v>
      </c>
      <c r="F1313" s="6" t="s">
        <v>110</v>
      </c>
    </row>
    <row r="1314" spans="1:9">
      <c r="A1314" s="2">
        <v>23652</v>
      </c>
      <c r="B1314" s="1" t="s">
        <v>112</v>
      </c>
      <c r="C1314" s="1" t="s">
        <v>118</v>
      </c>
      <c r="D1314" s="3" t="s">
        <v>1</v>
      </c>
      <c r="E1314" s="3" t="s">
        <v>6</v>
      </c>
      <c r="F1314" s="6" t="s">
        <v>110</v>
      </c>
    </row>
    <row r="1315" spans="1:9">
      <c r="A1315" s="2">
        <v>23652</v>
      </c>
      <c r="B1315" s="1" t="s">
        <v>120</v>
      </c>
      <c r="C1315" s="1" t="s">
        <v>123</v>
      </c>
      <c r="D1315" s="3" t="s">
        <v>1</v>
      </c>
      <c r="E1315" s="3" t="s">
        <v>6</v>
      </c>
      <c r="F1315" s="6" t="s">
        <v>110</v>
      </c>
    </row>
    <row r="1316" spans="1:9">
      <c r="A1316" s="2">
        <v>23652</v>
      </c>
      <c r="B1316" s="1" t="s">
        <v>136</v>
      </c>
      <c r="C1316" s="1" t="s">
        <v>137</v>
      </c>
      <c r="D1316" s="3" t="s">
        <v>2</v>
      </c>
      <c r="E1316" s="3" t="s">
        <v>7</v>
      </c>
      <c r="F1316" s="6" t="s">
        <v>119</v>
      </c>
    </row>
    <row r="1317" spans="1:9">
      <c r="A1317" s="2">
        <v>23652</v>
      </c>
      <c r="B1317" s="1" t="s">
        <v>580</v>
      </c>
      <c r="C1317" s="1" t="s">
        <v>581</v>
      </c>
      <c r="D1317" s="3" t="s">
        <v>2</v>
      </c>
      <c r="E1317" s="3" t="s">
        <v>7</v>
      </c>
      <c r="F1317" s="6" t="s">
        <v>119</v>
      </c>
    </row>
    <row r="1318" spans="1:9">
      <c r="A1318" s="65">
        <v>23653</v>
      </c>
      <c r="B1318" s="62"/>
      <c r="C1318" s="62"/>
      <c r="D1318" s="63"/>
      <c r="E1318" s="63"/>
      <c r="F1318" s="64"/>
      <c r="G1318" s="64"/>
      <c r="H1318" s="62"/>
      <c r="I1318" s="62"/>
    </row>
    <row r="1319" spans="1:9">
      <c r="A1319" s="2">
        <v>23631</v>
      </c>
      <c r="B1319" s="1" t="s">
        <v>537</v>
      </c>
      <c r="C1319" s="1" t="s">
        <v>101</v>
      </c>
      <c r="D1319" s="3" t="s">
        <v>1</v>
      </c>
      <c r="E1319" s="3" t="s">
        <v>6</v>
      </c>
      <c r="F1319" s="6" t="s">
        <v>556</v>
      </c>
    </row>
    <row r="1320" spans="1:9">
      <c r="A1320" s="2">
        <v>23631</v>
      </c>
      <c r="B1320" s="1" t="s">
        <v>297</v>
      </c>
      <c r="C1320" s="1" t="s">
        <v>101</v>
      </c>
      <c r="D1320" s="3" t="s">
        <v>1</v>
      </c>
      <c r="E1320" s="3" t="s">
        <v>6</v>
      </c>
      <c r="F1320" s="6" t="s">
        <v>556</v>
      </c>
    </row>
    <row r="1321" spans="1:9">
      <c r="A1321" s="2">
        <v>23652</v>
      </c>
      <c r="B1321" s="1" t="s">
        <v>78</v>
      </c>
      <c r="C1321" s="1" t="s">
        <v>85</v>
      </c>
      <c r="D1321" s="3" t="s">
        <v>1</v>
      </c>
      <c r="E1321" s="3" t="s">
        <v>6</v>
      </c>
      <c r="F1321" s="6" t="s">
        <v>110</v>
      </c>
    </row>
    <row r="1322" spans="1:9">
      <c r="A1322" s="2">
        <v>23653</v>
      </c>
      <c r="B1322" s="1" t="s">
        <v>432</v>
      </c>
      <c r="C1322" s="1" t="s">
        <v>434</v>
      </c>
      <c r="D1322" s="3" t="s">
        <v>1</v>
      </c>
      <c r="E1322" s="3" t="s">
        <v>6</v>
      </c>
      <c r="F1322" s="6" t="s">
        <v>110</v>
      </c>
    </row>
    <row r="1323" spans="1:9">
      <c r="A1323" s="2">
        <v>23653</v>
      </c>
      <c r="B1323" s="1" t="s">
        <v>120</v>
      </c>
      <c r="C1323" s="1" t="s">
        <v>123</v>
      </c>
      <c r="D1323" s="3" t="s">
        <v>1</v>
      </c>
      <c r="E1323" s="3" t="s">
        <v>6</v>
      </c>
      <c r="F1323" s="6" t="s">
        <v>110</v>
      </c>
    </row>
    <row r="1324" spans="1:9">
      <c r="A1324" s="2">
        <v>23653</v>
      </c>
      <c r="B1324" s="1" t="s">
        <v>144</v>
      </c>
      <c r="C1324" s="1" t="s">
        <v>143</v>
      </c>
      <c r="D1324" s="3" t="s">
        <v>1</v>
      </c>
      <c r="E1324" s="3" t="s">
        <v>6</v>
      </c>
      <c r="F1324" s="6" t="s">
        <v>110</v>
      </c>
    </row>
    <row r="1325" spans="1:9">
      <c r="A1325" s="65">
        <v>23654</v>
      </c>
      <c r="B1325" s="62"/>
      <c r="C1325" s="62"/>
      <c r="D1325" s="63"/>
      <c r="E1325" s="63"/>
      <c r="F1325" s="64"/>
      <c r="G1325" s="64"/>
      <c r="H1325" s="62"/>
      <c r="I1325" s="62"/>
    </row>
    <row r="1326" spans="1:9">
      <c r="A1326" s="2">
        <v>23631</v>
      </c>
      <c r="B1326" s="1" t="s">
        <v>537</v>
      </c>
      <c r="C1326" s="1" t="s">
        <v>101</v>
      </c>
      <c r="D1326" s="3" t="s">
        <v>1</v>
      </c>
      <c r="E1326" s="3" t="s">
        <v>6</v>
      </c>
      <c r="F1326" s="6" t="s">
        <v>556</v>
      </c>
    </row>
    <row r="1327" spans="1:9">
      <c r="A1327" s="2">
        <v>23631</v>
      </c>
      <c r="B1327" s="1" t="s">
        <v>297</v>
      </c>
      <c r="C1327" s="1" t="s">
        <v>101</v>
      </c>
      <c r="D1327" s="3" t="s">
        <v>1</v>
      </c>
      <c r="E1327" s="3" t="s">
        <v>6</v>
      </c>
      <c r="F1327" s="6" t="s">
        <v>556</v>
      </c>
    </row>
    <row r="1328" spans="1:9">
      <c r="A1328" s="2">
        <v>23652</v>
      </c>
      <c r="B1328" s="1" t="s">
        <v>78</v>
      </c>
      <c r="C1328" s="1" t="s">
        <v>85</v>
      </c>
      <c r="D1328" s="3" t="s">
        <v>1</v>
      </c>
      <c r="E1328" s="3" t="s">
        <v>6</v>
      </c>
      <c r="F1328" s="6" t="s">
        <v>110</v>
      </c>
    </row>
    <row r="1329" spans="1:9">
      <c r="A1329" s="2">
        <v>23653</v>
      </c>
      <c r="B1329" s="1" t="s">
        <v>432</v>
      </c>
      <c r="C1329" s="1" t="s">
        <v>434</v>
      </c>
      <c r="D1329" s="3" t="s">
        <v>1</v>
      </c>
      <c r="E1329" s="3" t="s">
        <v>6</v>
      </c>
      <c r="F1329" s="6" t="s">
        <v>110</v>
      </c>
    </row>
    <row r="1330" spans="1:9">
      <c r="A1330" s="2">
        <v>23653</v>
      </c>
      <c r="B1330" s="1" t="s">
        <v>120</v>
      </c>
      <c r="C1330" s="1" t="s">
        <v>123</v>
      </c>
      <c r="D1330" s="3" t="s">
        <v>1</v>
      </c>
      <c r="E1330" s="3" t="s">
        <v>6</v>
      </c>
      <c r="F1330" s="6" t="s">
        <v>110</v>
      </c>
    </row>
    <row r="1331" spans="1:9">
      <c r="A1331" s="2">
        <v>23653</v>
      </c>
      <c r="B1331" s="1" t="s">
        <v>144</v>
      </c>
      <c r="C1331" s="1" t="s">
        <v>143</v>
      </c>
      <c r="D1331" s="3" t="s">
        <v>1</v>
      </c>
      <c r="E1331" s="3" t="s">
        <v>6</v>
      </c>
      <c r="F1331" s="6" t="s">
        <v>110</v>
      </c>
    </row>
    <row r="1332" spans="1:9">
      <c r="A1332" s="2">
        <v>23654</v>
      </c>
      <c r="B1332" s="1" t="s">
        <v>57</v>
      </c>
      <c r="C1332" s="1" t="s">
        <v>64</v>
      </c>
      <c r="D1332" s="3" t="s">
        <v>1</v>
      </c>
      <c r="E1332" s="3" t="s">
        <v>6</v>
      </c>
      <c r="F1332" s="6" t="s">
        <v>110</v>
      </c>
    </row>
    <row r="1333" spans="1:9">
      <c r="A1333" s="2">
        <v>23654</v>
      </c>
      <c r="B1333" s="1" t="s">
        <v>128</v>
      </c>
      <c r="C1333" s="1" t="s">
        <v>129</v>
      </c>
      <c r="D1333" s="3" t="s">
        <v>2</v>
      </c>
      <c r="E1333" s="3" t="s">
        <v>7</v>
      </c>
      <c r="F1333" s="6" t="s">
        <v>119</v>
      </c>
    </row>
    <row r="1334" spans="1:9">
      <c r="A1334" s="2">
        <v>23654</v>
      </c>
      <c r="B1334" s="1" t="s">
        <v>577</v>
      </c>
      <c r="C1334" s="1" t="s">
        <v>582</v>
      </c>
      <c r="D1334" s="3" t="s">
        <v>2</v>
      </c>
      <c r="E1334" s="3" t="s">
        <v>7</v>
      </c>
      <c r="F1334" s="6" t="s">
        <v>119</v>
      </c>
    </row>
    <row r="1335" spans="1:9">
      <c r="A1335" s="66">
        <v>23655</v>
      </c>
      <c r="B1335" s="62"/>
      <c r="C1335" s="62"/>
      <c r="D1335" s="63"/>
      <c r="E1335" s="63"/>
      <c r="F1335" s="64"/>
      <c r="G1335" s="64"/>
      <c r="H1335" s="62"/>
      <c r="I1335" s="62"/>
    </row>
    <row r="1336" spans="1:9">
      <c r="A1336" s="2">
        <v>23652</v>
      </c>
      <c r="B1336" s="1" t="s">
        <v>78</v>
      </c>
      <c r="C1336" s="1" t="s">
        <v>85</v>
      </c>
      <c r="D1336" s="3" t="s">
        <v>1</v>
      </c>
      <c r="E1336" s="3" t="s">
        <v>6</v>
      </c>
      <c r="F1336" s="6" t="s">
        <v>110</v>
      </c>
    </row>
    <row r="1337" spans="1:9">
      <c r="A1337" s="2">
        <v>23653</v>
      </c>
      <c r="B1337" s="1" t="s">
        <v>120</v>
      </c>
      <c r="C1337" s="1" t="s">
        <v>123</v>
      </c>
      <c r="D1337" s="3" t="s">
        <v>1</v>
      </c>
      <c r="E1337" s="3" t="s">
        <v>6</v>
      </c>
      <c r="F1337" s="6" t="s">
        <v>110</v>
      </c>
    </row>
    <row r="1338" spans="1:9">
      <c r="A1338" s="2">
        <v>23653</v>
      </c>
      <c r="B1338" s="1" t="s">
        <v>144</v>
      </c>
      <c r="C1338" s="1" t="s">
        <v>143</v>
      </c>
      <c r="D1338" s="3" t="s">
        <v>1</v>
      </c>
      <c r="E1338" s="3" t="s">
        <v>6</v>
      </c>
      <c r="F1338" s="6" t="s">
        <v>110</v>
      </c>
    </row>
    <row r="1339" spans="1:9">
      <c r="A1339" s="2">
        <v>23655</v>
      </c>
      <c r="B1339" s="1" t="s">
        <v>128</v>
      </c>
      <c r="C1339" s="1" t="s">
        <v>129</v>
      </c>
      <c r="D1339" s="3" t="s">
        <v>2</v>
      </c>
      <c r="E1339" s="3" t="s">
        <v>7</v>
      </c>
      <c r="F1339" s="6" t="s">
        <v>119</v>
      </c>
    </row>
    <row r="1340" spans="1:9">
      <c r="A1340" s="66">
        <v>23656</v>
      </c>
      <c r="B1340" s="62"/>
      <c r="C1340" s="62"/>
      <c r="D1340" s="63"/>
      <c r="E1340" s="63"/>
      <c r="F1340" s="64"/>
      <c r="G1340" s="64"/>
      <c r="H1340" s="62"/>
      <c r="I1340" s="62"/>
    </row>
    <row r="1341" spans="1:9">
      <c r="A1341" s="2">
        <v>23656</v>
      </c>
      <c r="B1341" s="1" t="s">
        <v>460</v>
      </c>
      <c r="C1341" s="1" t="s">
        <v>586</v>
      </c>
      <c r="D1341" s="3" t="s">
        <v>1</v>
      </c>
      <c r="E1341" s="3" t="s">
        <v>6</v>
      </c>
      <c r="F1341" s="6" t="s">
        <v>110</v>
      </c>
    </row>
    <row r="1342" spans="1:9">
      <c r="A1342" s="2">
        <v>23656</v>
      </c>
      <c r="B1342" s="1" t="s">
        <v>585</v>
      </c>
      <c r="C1342" s="1" t="s">
        <v>587</v>
      </c>
      <c r="D1342" s="3" t="s">
        <v>1</v>
      </c>
      <c r="E1342" s="3" t="s">
        <v>6</v>
      </c>
      <c r="F1342" s="6" t="s">
        <v>110</v>
      </c>
    </row>
    <row r="1343" spans="1:9">
      <c r="A1343" s="2">
        <v>23656</v>
      </c>
      <c r="B1343" s="1" t="s">
        <v>352</v>
      </c>
      <c r="C1343" s="1" t="s">
        <v>353</v>
      </c>
      <c r="D1343" s="3" t="s">
        <v>1</v>
      </c>
      <c r="E1343" s="3" t="s">
        <v>6</v>
      </c>
      <c r="F1343" s="6" t="s">
        <v>110</v>
      </c>
    </row>
    <row r="1344" spans="1:9">
      <c r="A1344" s="2">
        <v>23656</v>
      </c>
      <c r="B1344" s="1" t="s">
        <v>128</v>
      </c>
      <c r="C1344" s="1" t="s">
        <v>129</v>
      </c>
      <c r="D1344" s="3" t="s">
        <v>2</v>
      </c>
      <c r="E1344" s="3" t="s">
        <v>7</v>
      </c>
      <c r="F1344" s="6" t="s">
        <v>119</v>
      </c>
      <c r="H1344" s="6"/>
    </row>
    <row r="1345" spans="1:9">
      <c r="A1345" s="2">
        <v>23656</v>
      </c>
      <c r="B1345" s="1" t="s">
        <v>588</v>
      </c>
      <c r="C1345" s="1" t="s">
        <v>589</v>
      </c>
      <c r="D1345" s="3" t="s">
        <v>2</v>
      </c>
      <c r="E1345" s="3" t="s">
        <v>7</v>
      </c>
      <c r="F1345" s="6" t="s">
        <v>119</v>
      </c>
    </row>
    <row r="1346" spans="1:9">
      <c r="A1346" s="2">
        <v>23656</v>
      </c>
      <c r="B1346" s="1" t="s">
        <v>583</v>
      </c>
      <c r="C1346" s="1" t="s">
        <v>584</v>
      </c>
      <c r="D1346" s="3" t="s">
        <v>2</v>
      </c>
      <c r="E1346" s="3" t="s">
        <v>7</v>
      </c>
      <c r="F1346" s="6" t="s">
        <v>119</v>
      </c>
    </row>
    <row r="1347" spans="1:9">
      <c r="A1347" s="65">
        <v>23657</v>
      </c>
      <c r="B1347" s="62"/>
      <c r="C1347" s="62"/>
      <c r="D1347" s="63"/>
      <c r="E1347" s="63"/>
      <c r="F1347" s="64"/>
      <c r="G1347" s="64"/>
      <c r="H1347" s="62"/>
      <c r="I1347" s="62"/>
    </row>
    <row r="1348" spans="1:9">
      <c r="A1348" s="2">
        <v>23656</v>
      </c>
      <c r="B1348" s="1" t="s">
        <v>585</v>
      </c>
      <c r="C1348" s="1" t="s">
        <v>587</v>
      </c>
      <c r="D1348" s="3" t="s">
        <v>1</v>
      </c>
      <c r="E1348" s="3" t="s">
        <v>6</v>
      </c>
      <c r="F1348" s="6" t="s">
        <v>590</v>
      </c>
    </row>
    <row r="1349" spans="1:9">
      <c r="A1349" s="2">
        <v>23657</v>
      </c>
      <c r="B1349" s="1" t="s">
        <v>462</v>
      </c>
      <c r="C1349" s="1" t="s">
        <v>251</v>
      </c>
      <c r="D1349" s="3" t="s">
        <v>1</v>
      </c>
      <c r="E1349" s="3" t="s">
        <v>6</v>
      </c>
      <c r="F1349" s="6" t="s">
        <v>110</v>
      </c>
    </row>
    <row r="1350" spans="1:9">
      <c r="A1350" s="66">
        <v>23658</v>
      </c>
      <c r="B1350" s="62"/>
      <c r="C1350" s="62"/>
      <c r="D1350" s="63"/>
      <c r="E1350" s="63"/>
      <c r="F1350" s="64"/>
      <c r="G1350" s="64"/>
      <c r="H1350" s="62"/>
      <c r="I1350" s="62"/>
    </row>
    <row r="1351" spans="1:9">
      <c r="A1351" s="2">
        <v>23656</v>
      </c>
      <c r="B1351" s="1" t="s">
        <v>585</v>
      </c>
      <c r="C1351" s="1" t="s">
        <v>587</v>
      </c>
      <c r="D1351" s="3" t="s">
        <v>1</v>
      </c>
      <c r="E1351" s="3" t="s">
        <v>6</v>
      </c>
      <c r="F1351" s="6" t="s">
        <v>590</v>
      </c>
    </row>
    <row r="1352" spans="1:9">
      <c r="A1352" s="2">
        <v>23658</v>
      </c>
      <c r="B1352" s="1" t="s">
        <v>128</v>
      </c>
      <c r="C1352" s="1" t="s">
        <v>591</v>
      </c>
      <c r="D1352" s="3" t="s">
        <v>2</v>
      </c>
      <c r="E1352" s="3" t="s">
        <v>7</v>
      </c>
      <c r="F1352" s="6" t="s">
        <v>119</v>
      </c>
    </row>
    <row r="1353" spans="1:9">
      <c r="A1353" s="2">
        <v>23658</v>
      </c>
      <c r="B1353" s="1" t="s">
        <v>122</v>
      </c>
      <c r="C1353" s="1" t="s">
        <v>592</v>
      </c>
      <c r="D1353" s="3" t="s">
        <v>2</v>
      </c>
      <c r="E1353" s="3" t="s">
        <v>7</v>
      </c>
      <c r="F1353" s="6" t="s">
        <v>119</v>
      </c>
    </row>
    <row r="1354" spans="1:9">
      <c r="A1354" s="2">
        <v>23658</v>
      </c>
      <c r="B1354" s="1" t="s">
        <v>577</v>
      </c>
      <c r="C1354" s="1" t="s">
        <v>593</v>
      </c>
      <c r="D1354" s="3" t="s">
        <v>2</v>
      </c>
      <c r="E1354" s="3" t="s">
        <v>7</v>
      </c>
      <c r="F1354" s="6" t="s">
        <v>119</v>
      </c>
    </row>
    <row r="1355" spans="1:9">
      <c r="A1355" s="66">
        <v>23659</v>
      </c>
      <c r="B1355" s="62"/>
      <c r="C1355" s="62"/>
      <c r="D1355" s="63"/>
      <c r="E1355" s="63"/>
      <c r="F1355" s="64"/>
      <c r="G1355" s="64"/>
      <c r="H1355" s="62"/>
      <c r="I1355" s="62"/>
    </row>
    <row r="1356" spans="1:9">
      <c r="A1356" s="2">
        <v>23656</v>
      </c>
      <c r="B1356" s="1" t="s">
        <v>585</v>
      </c>
      <c r="C1356" s="1" t="s">
        <v>587</v>
      </c>
      <c r="D1356" s="3" t="s">
        <v>1</v>
      </c>
      <c r="E1356" s="3" t="s">
        <v>6</v>
      </c>
      <c r="F1356" s="6" t="s">
        <v>590</v>
      </c>
    </row>
    <row r="1357" spans="1:9">
      <c r="A1357" s="2">
        <v>23659</v>
      </c>
      <c r="B1357" s="1" t="s">
        <v>352</v>
      </c>
      <c r="C1357" s="1" t="s">
        <v>353</v>
      </c>
      <c r="D1357" s="3" t="s">
        <v>1</v>
      </c>
      <c r="E1357" s="3" t="s">
        <v>6</v>
      </c>
      <c r="F1357" s="6" t="s">
        <v>110</v>
      </c>
    </row>
    <row r="1358" spans="1:9">
      <c r="A1358" s="2">
        <v>23659</v>
      </c>
      <c r="B1358" s="1" t="s">
        <v>11</v>
      </c>
      <c r="C1358" s="1" t="s">
        <v>25</v>
      </c>
      <c r="D1358" s="3" t="s">
        <v>1</v>
      </c>
      <c r="E1358" s="3" t="s">
        <v>6</v>
      </c>
      <c r="F1358" s="6" t="s">
        <v>110</v>
      </c>
    </row>
    <row r="1359" spans="1:9">
      <c r="A1359" s="2">
        <v>23659</v>
      </c>
      <c r="B1359" s="1" t="s">
        <v>472</v>
      </c>
      <c r="C1359" s="1" t="s">
        <v>25</v>
      </c>
      <c r="D1359" s="3" t="s">
        <v>1</v>
      </c>
      <c r="E1359" s="3" t="s">
        <v>6</v>
      </c>
      <c r="F1359" s="6" t="s">
        <v>110</v>
      </c>
    </row>
    <row r="1360" spans="1:9">
      <c r="A1360" s="2">
        <v>23659</v>
      </c>
      <c r="B1360" s="1" t="s">
        <v>436</v>
      </c>
      <c r="C1360" s="1" t="s">
        <v>25</v>
      </c>
      <c r="D1360" s="3" t="s">
        <v>1</v>
      </c>
      <c r="E1360" s="3" t="s">
        <v>6</v>
      </c>
      <c r="F1360" s="6" t="s">
        <v>110</v>
      </c>
    </row>
    <row r="1361" spans="1:9">
      <c r="A1361" s="2">
        <v>23659</v>
      </c>
      <c r="B1361" s="1" t="s">
        <v>594</v>
      </c>
      <c r="C1361" s="1" t="s">
        <v>315</v>
      </c>
      <c r="D1361" s="3" t="s">
        <v>1</v>
      </c>
      <c r="E1361" s="3" t="s">
        <v>6</v>
      </c>
      <c r="F1361" s="6" t="s">
        <v>110</v>
      </c>
    </row>
    <row r="1362" spans="1:9">
      <c r="A1362" s="2">
        <v>23659</v>
      </c>
      <c r="B1362" s="1" t="s">
        <v>577</v>
      </c>
      <c r="C1362" s="1" t="s">
        <v>593</v>
      </c>
      <c r="D1362" s="3" t="s">
        <v>2</v>
      </c>
      <c r="E1362" s="3" t="s">
        <v>7</v>
      </c>
      <c r="F1362" s="6" t="s">
        <v>595</v>
      </c>
    </row>
    <row r="1363" spans="1:9">
      <c r="A1363" s="2">
        <v>23659</v>
      </c>
      <c r="B1363" s="1" t="s">
        <v>398</v>
      </c>
      <c r="C1363" s="1" t="s">
        <v>402</v>
      </c>
      <c r="D1363" s="3" t="s">
        <v>2</v>
      </c>
      <c r="E1363" s="3" t="s">
        <v>7</v>
      </c>
      <c r="F1363" s="6" t="s">
        <v>595</v>
      </c>
    </row>
    <row r="1364" spans="1:9">
      <c r="A1364" s="2">
        <v>23659</v>
      </c>
      <c r="B1364" s="1" t="s">
        <v>170</v>
      </c>
      <c r="C1364" s="1" t="s">
        <v>187</v>
      </c>
      <c r="D1364" s="3" t="s">
        <v>2</v>
      </c>
      <c r="E1364" s="3" t="s">
        <v>7</v>
      </c>
      <c r="F1364" s="6" t="s">
        <v>595</v>
      </c>
    </row>
    <row r="1365" spans="1:9">
      <c r="A1365" s="2">
        <v>23659</v>
      </c>
      <c r="B1365" s="1" t="s">
        <v>503</v>
      </c>
      <c r="C1365" s="1" t="s">
        <v>505</v>
      </c>
      <c r="D1365" s="3" t="s">
        <v>2</v>
      </c>
      <c r="E1365" s="3" t="s">
        <v>7</v>
      </c>
      <c r="F1365" s="6" t="s">
        <v>595</v>
      </c>
    </row>
    <row r="1366" spans="1:9">
      <c r="A1366" s="66">
        <v>23660</v>
      </c>
      <c r="B1366" s="62"/>
      <c r="C1366" s="62"/>
      <c r="D1366" s="63"/>
      <c r="E1366" s="63"/>
      <c r="F1366" s="64"/>
      <c r="G1366" s="64"/>
      <c r="H1366" s="62"/>
      <c r="I1366" s="62"/>
    </row>
    <row r="1367" spans="1:9">
      <c r="A1367" s="2">
        <v>23656</v>
      </c>
      <c r="B1367" s="1" t="s">
        <v>585</v>
      </c>
      <c r="C1367" s="1" t="s">
        <v>587</v>
      </c>
      <c r="D1367" s="3" t="s">
        <v>1</v>
      </c>
      <c r="E1367" s="3" t="s">
        <v>6</v>
      </c>
      <c r="F1367" s="6" t="s">
        <v>590</v>
      </c>
    </row>
    <row r="1368" spans="1:9">
      <c r="A1368" s="2">
        <v>23659</v>
      </c>
      <c r="B1368" s="1" t="s">
        <v>594</v>
      </c>
      <c r="C1368" s="1" t="s">
        <v>315</v>
      </c>
      <c r="D1368" s="3" t="s">
        <v>1</v>
      </c>
      <c r="E1368" s="3" t="s">
        <v>6</v>
      </c>
      <c r="F1368" s="6" t="s">
        <v>110</v>
      </c>
    </row>
    <row r="1369" spans="1:9">
      <c r="A1369" s="66">
        <v>23661</v>
      </c>
      <c r="B1369" s="62"/>
      <c r="C1369" s="62"/>
      <c r="D1369" s="63"/>
      <c r="E1369" s="63"/>
      <c r="F1369" s="64"/>
      <c r="G1369" s="64"/>
      <c r="H1369" s="62"/>
      <c r="I1369" s="62"/>
    </row>
    <row r="1370" spans="1:9">
      <c r="A1370" s="2">
        <v>23656</v>
      </c>
      <c r="B1370" s="1" t="s">
        <v>585</v>
      </c>
      <c r="C1370" s="1" t="s">
        <v>587</v>
      </c>
      <c r="D1370" s="3" t="s">
        <v>1</v>
      </c>
      <c r="E1370" s="3" t="s">
        <v>6</v>
      </c>
      <c r="F1370" s="6" t="s">
        <v>590</v>
      </c>
    </row>
    <row r="1371" spans="1:9">
      <c r="A1371" s="2">
        <v>23660</v>
      </c>
      <c r="B1371" s="1" t="s">
        <v>11</v>
      </c>
      <c r="C1371" s="1" t="s">
        <v>25</v>
      </c>
      <c r="D1371" s="3" t="s">
        <v>1</v>
      </c>
      <c r="E1371" s="3" t="s">
        <v>6</v>
      </c>
      <c r="F1371" s="6" t="s">
        <v>110</v>
      </c>
    </row>
    <row r="1372" spans="1:9">
      <c r="A1372" s="2">
        <v>23660</v>
      </c>
      <c r="B1372" s="1" t="s">
        <v>472</v>
      </c>
      <c r="C1372" s="1" t="s">
        <v>25</v>
      </c>
      <c r="D1372" s="3" t="s">
        <v>1</v>
      </c>
      <c r="E1372" s="3" t="s">
        <v>6</v>
      </c>
      <c r="F1372" s="6" t="s">
        <v>110</v>
      </c>
    </row>
    <row r="1373" spans="1:9">
      <c r="A1373" s="2">
        <v>23660</v>
      </c>
      <c r="B1373" s="1" t="s">
        <v>436</v>
      </c>
      <c r="C1373" s="1" t="s">
        <v>25</v>
      </c>
      <c r="D1373" s="3" t="s">
        <v>1</v>
      </c>
      <c r="E1373" s="3" t="s">
        <v>6</v>
      </c>
      <c r="F1373" s="6" t="s">
        <v>110</v>
      </c>
    </row>
    <row r="1374" spans="1:9">
      <c r="A1374" s="2">
        <v>23660</v>
      </c>
      <c r="B1374" s="1" t="s">
        <v>596</v>
      </c>
      <c r="C1374" s="1" t="s">
        <v>597</v>
      </c>
      <c r="D1374" s="3" t="s">
        <v>2</v>
      </c>
      <c r="E1374" s="3" t="s">
        <v>7</v>
      </c>
      <c r="F1374" s="6" t="s">
        <v>595</v>
      </c>
    </row>
    <row r="1375" spans="1:9">
      <c r="A1375" s="65">
        <v>23662</v>
      </c>
      <c r="B1375" s="62"/>
      <c r="C1375" s="62"/>
      <c r="D1375" s="63"/>
      <c r="E1375" s="63"/>
      <c r="F1375" s="64"/>
      <c r="G1375" s="64"/>
      <c r="H1375" s="62"/>
      <c r="I1375" s="62"/>
    </row>
    <row r="1376" spans="1:9">
      <c r="A1376" s="2">
        <v>23656</v>
      </c>
      <c r="B1376" s="1" t="s">
        <v>585</v>
      </c>
      <c r="C1376" s="1" t="s">
        <v>587</v>
      </c>
      <c r="D1376" s="3" t="s">
        <v>1</v>
      </c>
      <c r="E1376" s="3" t="s">
        <v>6</v>
      </c>
      <c r="F1376" s="6" t="s">
        <v>590</v>
      </c>
    </row>
    <row r="1377" spans="1:9">
      <c r="A1377" s="2">
        <v>23662</v>
      </c>
      <c r="B1377" s="1" t="s">
        <v>11</v>
      </c>
      <c r="C1377" s="1" t="s">
        <v>25</v>
      </c>
      <c r="D1377" s="3" t="s">
        <v>1</v>
      </c>
      <c r="E1377" s="3" t="s">
        <v>6</v>
      </c>
      <c r="F1377" s="6" t="s">
        <v>110</v>
      </c>
    </row>
    <row r="1378" spans="1:9">
      <c r="A1378" s="2">
        <v>23662</v>
      </c>
      <c r="B1378" s="1" t="s">
        <v>472</v>
      </c>
      <c r="C1378" s="1" t="s">
        <v>25</v>
      </c>
      <c r="D1378" s="3" t="s">
        <v>1</v>
      </c>
      <c r="E1378" s="3" t="s">
        <v>6</v>
      </c>
      <c r="F1378" s="6" t="s">
        <v>110</v>
      </c>
    </row>
    <row r="1379" spans="1:9">
      <c r="A1379" s="2">
        <v>23662</v>
      </c>
      <c r="B1379" s="1" t="s">
        <v>436</v>
      </c>
      <c r="C1379" s="1" t="s">
        <v>25</v>
      </c>
      <c r="D1379" s="3" t="s">
        <v>1</v>
      </c>
      <c r="E1379" s="3" t="s">
        <v>6</v>
      </c>
      <c r="F1379" s="6" t="s">
        <v>110</v>
      </c>
    </row>
    <row r="1380" spans="1:9">
      <c r="A1380" s="2">
        <v>23662</v>
      </c>
      <c r="B1380" s="1" t="s">
        <v>596</v>
      </c>
      <c r="C1380" s="1" t="s">
        <v>597</v>
      </c>
      <c r="D1380" s="3" t="s">
        <v>2</v>
      </c>
      <c r="E1380" s="3" t="s">
        <v>7</v>
      </c>
      <c r="F1380" s="6" t="s">
        <v>595</v>
      </c>
    </row>
    <row r="1381" spans="1:9">
      <c r="A1381" s="2">
        <v>23662</v>
      </c>
      <c r="B1381" s="1" t="s">
        <v>149</v>
      </c>
      <c r="C1381" s="1" t="s">
        <v>147</v>
      </c>
      <c r="D1381" s="3" t="s">
        <v>2</v>
      </c>
      <c r="E1381" s="3" t="s">
        <v>7</v>
      </c>
      <c r="F1381" s="6" t="s">
        <v>595</v>
      </c>
    </row>
    <row r="1382" spans="1:9">
      <c r="A1382" s="2">
        <v>23662</v>
      </c>
      <c r="B1382" s="1" t="s">
        <v>598</v>
      </c>
      <c r="C1382" s="1" t="s">
        <v>355</v>
      </c>
      <c r="D1382" s="3" t="s">
        <v>2</v>
      </c>
      <c r="E1382" s="3" t="s">
        <v>7</v>
      </c>
      <c r="F1382" s="6" t="s">
        <v>595</v>
      </c>
    </row>
    <row r="1383" spans="1:9">
      <c r="A1383" s="2">
        <v>23662</v>
      </c>
      <c r="B1383" s="1" t="s">
        <v>226</v>
      </c>
      <c r="C1383" s="1" t="s">
        <v>227</v>
      </c>
      <c r="D1383" s="3" t="s">
        <v>2</v>
      </c>
      <c r="E1383" s="3" t="s">
        <v>7</v>
      </c>
      <c r="F1383" s="6" t="s">
        <v>595</v>
      </c>
    </row>
    <row r="1384" spans="1:9">
      <c r="A1384" s="65">
        <v>23663</v>
      </c>
      <c r="B1384" s="62"/>
      <c r="C1384" s="62"/>
      <c r="D1384" s="63"/>
      <c r="E1384" s="63"/>
      <c r="F1384" s="64"/>
      <c r="G1384" s="64"/>
      <c r="H1384" s="62"/>
      <c r="I1384" s="62"/>
    </row>
    <row r="1385" spans="1:9">
      <c r="A1385" s="2">
        <v>23656</v>
      </c>
      <c r="B1385" s="1" t="s">
        <v>585</v>
      </c>
      <c r="C1385" s="1" t="s">
        <v>587</v>
      </c>
      <c r="D1385" s="3" t="s">
        <v>1</v>
      </c>
      <c r="E1385" s="3" t="s">
        <v>6</v>
      </c>
      <c r="F1385" s="6" t="s">
        <v>590</v>
      </c>
    </row>
    <row r="1386" spans="1:9">
      <c r="A1386" s="2">
        <v>23662</v>
      </c>
      <c r="B1386" s="1" t="s">
        <v>11</v>
      </c>
      <c r="C1386" s="1" t="s">
        <v>25</v>
      </c>
      <c r="D1386" s="3" t="s">
        <v>1</v>
      </c>
      <c r="E1386" s="3" t="s">
        <v>6</v>
      </c>
      <c r="F1386" s="6" t="s">
        <v>110</v>
      </c>
    </row>
    <row r="1387" spans="1:9">
      <c r="A1387" s="2">
        <v>23662</v>
      </c>
      <c r="B1387" s="1" t="s">
        <v>472</v>
      </c>
      <c r="C1387" s="1" t="s">
        <v>25</v>
      </c>
      <c r="D1387" s="3" t="s">
        <v>1</v>
      </c>
      <c r="E1387" s="3" t="s">
        <v>6</v>
      </c>
      <c r="F1387" s="6" t="s">
        <v>110</v>
      </c>
    </row>
    <row r="1388" spans="1:9">
      <c r="A1388" s="2">
        <v>23662</v>
      </c>
      <c r="B1388" s="1" t="s">
        <v>436</v>
      </c>
      <c r="C1388" s="1" t="s">
        <v>25</v>
      </c>
      <c r="D1388" s="3" t="s">
        <v>1</v>
      </c>
      <c r="E1388" s="3" t="s">
        <v>6</v>
      </c>
      <c r="F1388" s="6" t="s">
        <v>110</v>
      </c>
    </row>
    <row r="1389" spans="1:9">
      <c r="A1389" s="2">
        <v>23663</v>
      </c>
      <c r="B1389" s="1" t="s">
        <v>75</v>
      </c>
      <c r="C1389" s="1" t="s">
        <v>84</v>
      </c>
      <c r="D1389" s="3" t="s">
        <v>2</v>
      </c>
      <c r="E1389" s="3" t="s">
        <v>7</v>
      </c>
      <c r="F1389" s="6" t="s">
        <v>595</v>
      </c>
    </row>
    <row r="1390" spans="1:9">
      <c r="A1390" s="66">
        <v>23664</v>
      </c>
      <c r="B1390" s="62"/>
      <c r="C1390" s="62"/>
      <c r="D1390" s="63"/>
      <c r="E1390" s="63"/>
      <c r="F1390" s="64"/>
      <c r="G1390" s="64"/>
      <c r="H1390" s="62"/>
      <c r="I1390" s="62"/>
    </row>
    <row r="1391" spans="1:9">
      <c r="A1391" s="2">
        <v>23656</v>
      </c>
      <c r="B1391" s="1" t="s">
        <v>585</v>
      </c>
      <c r="C1391" s="1" t="s">
        <v>587</v>
      </c>
      <c r="D1391" s="3" t="s">
        <v>1</v>
      </c>
      <c r="E1391" s="3" t="s">
        <v>6</v>
      </c>
      <c r="F1391" s="6" t="s">
        <v>590</v>
      </c>
    </row>
    <row r="1392" spans="1:9">
      <c r="A1392" s="2">
        <v>23662</v>
      </c>
      <c r="B1392" s="1" t="s">
        <v>11</v>
      </c>
      <c r="C1392" s="1" t="s">
        <v>25</v>
      </c>
      <c r="D1392" s="3" t="s">
        <v>1</v>
      </c>
      <c r="E1392" s="3" t="s">
        <v>6</v>
      </c>
      <c r="F1392" s="6" t="s">
        <v>599</v>
      </c>
    </row>
    <row r="1393" spans="1:9">
      <c r="A1393" s="2">
        <v>23662</v>
      </c>
      <c r="B1393" s="1" t="s">
        <v>472</v>
      </c>
      <c r="C1393" s="1" t="s">
        <v>25</v>
      </c>
      <c r="D1393" s="3" t="s">
        <v>1</v>
      </c>
      <c r="E1393" s="3" t="s">
        <v>6</v>
      </c>
      <c r="F1393" s="6" t="s">
        <v>599</v>
      </c>
    </row>
    <row r="1394" spans="1:9">
      <c r="A1394" s="2">
        <v>23662</v>
      </c>
      <c r="B1394" s="1" t="s">
        <v>436</v>
      </c>
      <c r="C1394" s="1" t="s">
        <v>25</v>
      </c>
      <c r="D1394" s="3" t="s">
        <v>1</v>
      </c>
      <c r="E1394" s="3" t="s">
        <v>6</v>
      </c>
      <c r="F1394" s="6" t="s">
        <v>599</v>
      </c>
    </row>
    <row r="1395" spans="1:9">
      <c r="A1395" s="2">
        <v>23663</v>
      </c>
      <c r="B1395" s="1" t="s">
        <v>75</v>
      </c>
      <c r="C1395" s="1" t="s">
        <v>84</v>
      </c>
      <c r="D1395" s="3" t="s">
        <v>2</v>
      </c>
      <c r="E1395" s="3" t="s">
        <v>7</v>
      </c>
      <c r="F1395" s="6" t="s">
        <v>595</v>
      </c>
    </row>
    <row r="1396" spans="1:9">
      <c r="A1396" s="2">
        <v>23664</v>
      </c>
      <c r="B1396" s="1" t="s">
        <v>149</v>
      </c>
      <c r="C1396" s="1" t="s">
        <v>177</v>
      </c>
      <c r="D1396" s="3" t="s">
        <v>2</v>
      </c>
      <c r="E1396" s="3" t="s">
        <v>7</v>
      </c>
      <c r="F1396" s="6" t="s">
        <v>595</v>
      </c>
    </row>
    <row r="1397" spans="1:9">
      <c r="A1397" s="66">
        <v>23665</v>
      </c>
      <c r="B1397" s="62"/>
      <c r="C1397" s="62"/>
      <c r="D1397" s="63"/>
      <c r="E1397" s="63"/>
      <c r="F1397" s="64"/>
      <c r="G1397" s="64"/>
      <c r="H1397" s="62"/>
      <c r="I1397" s="62"/>
    </row>
    <row r="1398" spans="1:9">
      <c r="A1398" s="2">
        <v>23656</v>
      </c>
      <c r="B1398" s="1" t="s">
        <v>585</v>
      </c>
      <c r="C1398" s="1" t="s">
        <v>587</v>
      </c>
      <c r="D1398" s="3" t="s">
        <v>1</v>
      </c>
      <c r="E1398" s="3" t="s">
        <v>6</v>
      </c>
      <c r="F1398" s="6" t="s">
        <v>590</v>
      </c>
    </row>
    <row r="1399" spans="1:9">
      <c r="A1399" s="2">
        <v>23662</v>
      </c>
      <c r="B1399" s="1" t="s">
        <v>11</v>
      </c>
      <c r="C1399" s="1" t="s">
        <v>25</v>
      </c>
      <c r="D1399" s="3" t="s">
        <v>1</v>
      </c>
      <c r="E1399" s="3" t="s">
        <v>6</v>
      </c>
      <c r="F1399" s="6" t="s">
        <v>599</v>
      </c>
    </row>
    <row r="1400" spans="1:9">
      <c r="A1400" s="2">
        <v>23662</v>
      </c>
      <c r="B1400" s="1" t="s">
        <v>472</v>
      </c>
      <c r="C1400" s="1" t="s">
        <v>25</v>
      </c>
      <c r="D1400" s="3" t="s">
        <v>1</v>
      </c>
      <c r="E1400" s="3" t="s">
        <v>6</v>
      </c>
      <c r="F1400" s="6" t="s">
        <v>599</v>
      </c>
    </row>
    <row r="1401" spans="1:9">
      <c r="A1401" s="2">
        <v>23662</v>
      </c>
      <c r="B1401" s="1" t="s">
        <v>436</v>
      </c>
      <c r="C1401" s="1" t="s">
        <v>25</v>
      </c>
      <c r="D1401" s="3" t="s">
        <v>1</v>
      </c>
      <c r="E1401" s="3" t="s">
        <v>6</v>
      </c>
      <c r="F1401" s="6" t="s">
        <v>599</v>
      </c>
    </row>
    <row r="1402" spans="1:9">
      <c r="A1402" s="2">
        <v>23665</v>
      </c>
      <c r="B1402" s="1" t="s">
        <v>226</v>
      </c>
      <c r="C1402" s="1" t="s">
        <v>605</v>
      </c>
      <c r="D1402" s="3" t="s">
        <v>1</v>
      </c>
      <c r="E1402" s="3" t="s">
        <v>6</v>
      </c>
      <c r="F1402" s="6" t="s">
        <v>110</v>
      </c>
    </row>
    <row r="1403" spans="1:9">
      <c r="A1403" s="2">
        <v>23665</v>
      </c>
      <c r="B1403" s="1" t="s">
        <v>219</v>
      </c>
      <c r="C1403" s="1" t="s">
        <v>218</v>
      </c>
      <c r="D1403" s="3" t="s">
        <v>1</v>
      </c>
      <c r="E1403" s="3" t="s">
        <v>6</v>
      </c>
      <c r="F1403" s="6" t="s">
        <v>110</v>
      </c>
    </row>
    <row r="1404" spans="1:9">
      <c r="A1404" s="2">
        <v>23665</v>
      </c>
      <c r="B1404" s="1" t="s">
        <v>10</v>
      </c>
      <c r="C1404" s="1" t="s">
        <v>113</v>
      </c>
      <c r="D1404" s="3" t="s">
        <v>1</v>
      </c>
      <c r="E1404" s="3" t="s">
        <v>6</v>
      </c>
      <c r="F1404" s="6" t="s">
        <v>110</v>
      </c>
    </row>
    <row r="1405" spans="1:9">
      <c r="A1405" s="2">
        <v>23665</v>
      </c>
      <c r="B1405" s="1" t="s">
        <v>460</v>
      </c>
      <c r="C1405" s="1" t="s">
        <v>463</v>
      </c>
      <c r="D1405" s="3" t="s">
        <v>1</v>
      </c>
      <c r="E1405" s="3" t="s">
        <v>6</v>
      </c>
      <c r="F1405" s="6" t="s">
        <v>110</v>
      </c>
    </row>
    <row r="1406" spans="1:9">
      <c r="A1406" s="2">
        <v>23664</v>
      </c>
      <c r="B1406" s="1" t="s">
        <v>149</v>
      </c>
      <c r="C1406" s="1" t="s">
        <v>177</v>
      </c>
      <c r="D1406" s="3" t="s">
        <v>2</v>
      </c>
      <c r="E1406" s="3" t="s">
        <v>7</v>
      </c>
      <c r="F1406" s="6" t="s">
        <v>595</v>
      </c>
    </row>
    <row r="1407" spans="1:9">
      <c r="A1407" s="2">
        <v>23665</v>
      </c>
      <c r="B1407" s="1" t="s">
        <v>600</v>
      </c>
      <c r="C1407" s="1" t="s">
        <v>330</v>
      </c>
      <c r="D1407" s="3" t="s">
        <v>2</v>
      </c>
      <c r="E1407" s="3" t="s">
        <v>7</v>
      </c>
      <c r="F1407" s="6" t="s">
        <v>595</v>
      </c>
    </row>
    <row r="1408" spans="1:9">
      <c r="A1408" s="2">
        <v>23665</v>
      </c>
      <c r="B1408" s="1" t="s">
        <v>601</v>
      </c>
      <c r="C1408" s="1" t="s">
        <v>602</v>
      </c>
      <c r="D1408" s="3" t="s">
        <v>2</v>
      </c>
      <c r="E1408" s="3" t="s">
        <v>7</v>
      </c>
      <c r="F1408" s="6" t="s">
        <v>595</v>
      </c>
    </row>
    <row r="1409" spans="1:9">
      <c r="A1409" s="2">
        <v>23665</v>
      </c>
      <c r="B1409" s="1" t="s">
        <v>199</v>
      </c>
      <c r="C1409" s="1" t="s">
        <v>603</v>
      </c>
      <c r="D1409" s="3" t="s">
        <v>2</v>
      </c>
      <c r="E1409" s="3" t="s">
        <v>7</v>
      </c>
      <c r="F1409" s="6" t="s">
        <v>595</v>
      </c>
    </row>
    <row r="1410" spans="1:9">
      <c r="A1410" s="2">
        <v>23665</v>
      </c>
      <c r="B1410" s="1" t="s">
        <v>352</v>
      </c>
      <c r="C1410" s="1" t="s">
        <v>604</v>
      </c>
      <c r="D1410" s="3" t="s">
        <v>2</v>
      </c>
      <c r="E1410" s="3" t="s">
        <v>7</v>
      </c>
      <c r="F1410" s="6" t="s">
        <v>595</v>
      </c>
    </row>
    <row r="1411" spans="1:9">
      <c r="A1411" s="66">
        <v>23666</v>
      </c>
      <c r="B1411" s="62"/>
      <c r="C1411" s="62"/>
      <c r="D1411" s="63"/>
      <c r="E1411" s="63"/>
      <c r="F1411" s="64"/>
      <c r="G1411" s="64"/>
      <c r="H1411" s="62"/>
      <c r="I1411" s="62"/>
    </row>
    <row r="1412" spans="1:9">
      <c r="A1412" s="2">
        <v>23662</v>
      </c>
      <c r="B1412" s="1" t="s">
        <v>11</v>
      </c>
      <c r="C1412" s="1" t="s">
        <v>25</v>
      </c>
      <c r="D1412" s="3" t="s">
        <v>1</v>
      </c>
      <c r="E1412" s="3" t="s">
        <v>6</v>
      </c>
      <c r="F1412" s="6" t="s">
        <v>599</v>
      </c>
    </row>
    <row r="1413" spans="1:9">
      <c r="A1413" s="2">
        <v>23662</v>
      </c>
      <c r="B1413" s="1" t="s">
        <v>472</v>
      </c>
      <c r="C1413" s="1" t="s">
        <v>25</v>
      </c>
      <c r="D1413" s="3" t="s">
        <v>1</v>
      </c>
      <c r="E1413" s="3" t="s">
        <v>6</v>
      </c>
      <c r="F1413" s="6" t="s">
        <v>599</v>
      </c>
    </row>
    <row r="1414" spans="1:9">
      <c r="A1414" s="2">
        <v>23662</v>
      </c>
      <c r="B1414" s="1" t="s">
        <v>436</v>
      </c>
      <c r="C1414" s="1" t="s">
        <v>25</v>
      </c>
      <c r="D1414" s="3" t="s">
        <v>1</v>
      </c>
      <c r="E1414" s="3" t="s">
        <v>6</v>
      </c>
      <c r="F1414" s="6" t="s">
        <v>599</v>
      </c>
    </row>
    <row r="1415" spans="1:9">
      <c r="A1415" s="2">
        <v>23665</v>
      </c>
      <c r="B1415" s="1" t="s">
        <v>219</v>
      </c>
      <c r="C1415" s="1" t="s">
        <v>218</v>
      </c>
      <c r="D1415" s="3" t="s">
        <v>1</v>
      </c>
      <c r="E1415" s="3" t="s">
        <v>6</v>
      </c>
      <c r="F1415" s="6" t="s">
        <v>110</v>
      </c>
    </row>
    <row r="1416" spans="1:9">
      <c r="A1416" s="2">
        <v>23665</v>
      </c>
      <c r="B1416" s="1" t="s">
        <v>10</v>
      </c>
      <c r="C1416" s="1" t="s">
        <v>113</v>
      </c>
      <c r="D1416" s="3" t="s">
        <v>1</v>
      </c>
      <c r="E1416" s="3" t="s">
        <v>6</v>
      </c>
      <c r="F1416" s="6" t="s">
        <v>110</v>
      </c>
    </row>
    <row r="1417" spans="1:9">
      <c r="A1417" s="2">
        <v>23665</v>
      </c>
      <c r="B1417" s="1" t="s">
        <v>460</v>
      </c>
      <c r="C1417" s="1" t="s">
        <v>463</v>
      </c>
      <c r="D1417" s="3" t="s">
        <v>1</v>
      </c>
      <c r="E1417" s="3" t="s">
        <v>6</v>
      </c>
      <c r="F1417" s="6" t="s">
        <v>110</v>
      </c>
    </row>
    <row r="1418" spans="1:9">
      <c r="A1418" s="2">
        <v>23666</v>
      </c>
      <c r="B1418" s="1" t="s">
        <v>371</v>
      </c>
      <c r="C1418" s="1" t="s">
        <v>377</v>
      </c>
      <c r="D1418" s="3" t="s">
        <v>1</v>
      </c>
      <c r="E1418" s="3" t="s">
        <v>6</v>
      </c>
      <c r="F1418" s="6" t="s">
        <v>110</v>
      </c>
    </row>
    <row r="1419" spans="1:9">
      <c r="A1419" s="2">
        <v>23666</v>
      </c>
      <c r="B1419" s="1" t="s">
        <v>121</v>
      </c>
      <c r="C1419" s="1" t="s">
        <v>28</v>
      </c>
      <c r="D1419" s="3" t="s">
        <v>1</v>
      </c>
      <c r="E1419" s="3" t="s">
        <v>6</v>
      </c>
      <c r="F1419" s="6" t="s">
        <v>110</v>
      </c>
    </row>
    <row r="1420" spans="1:9">
      <c r="A1420" s="66">
        <v>23667</v>
      </c>
      <c r="B1420" s="62"/>
      <c r="C1420" s="62"/>
      <c r="D1420" s="63"/>
      <c r="E1420" s="63"/>
      <c r="F1420" s="64"/>
      <c r="G1420" s="64"/>
      <c r="H1420" s="62"/>
      <c r="I1420" s="62"/>
    </row>
    <row r="1421" spans="1:9">
      <c r="A1421" s="2">
        <v>23662</v>
      </c>
      <c r="B1421" s="1" t="s">
        <v>11</v>
      </c>
      <c r="C1421" s="1" t="s">
        <v>25</v>
      </c>
      <c r="D1421" s="3" t="s">
        <v>1</v>
      </c>
      <c r="E1421" s="3" t="s">
        <v>6</v>
      </c>
      <c r="F1421" s="6" t="s">
        <v>599</v>
      </c>
      <c r="G1421" s="6" t="s">
        <v>610</v>
      </c>
    </row>
    <row r="1422" spans="1:9">
      <c r="A1422" s="2">
        <v>23662</v>
      </c>
      <c r="B1422" s="1" t="s">
        <v>472</v>
      </c>
      <c r="C1422" s="1" t="s">
        <v>25</v>
      </c>
      <c r="D1422" s="3" t="s">
        <v>1</v>
      </c>
      <c r="E1422" s="3" t="s">
        <v>6</v>
      </c>
      <c r="F1422" s="6" t="s">
        <v>599</v>
      </c>
    </row>
    <row r="1423" spans="1:9">
      <c r="A1423" s="2">
        <v>23662</v>
      </c>
      <c r="B1423" s="1" t="s">
        <v>436</v>
      </c>
      <c r="C1423" s="1" t="s">
        <v>25</v>
      </c>
      <c r="D1423" s="3" t="s">
        <v>1</v>
      </c>
      <c r="E1423" s="3" t="s">
        <v>6</v>
      </c>
      <c r="F1423" s="6" t="s">
        <v>599</v>
      </c>
    </row>
    <row r="1424" spans="1:9">
      <c r="A1424" s="2">
        <v>23667</v>
      </c>
      <c r="B1424" s="1" t="s">
        <v>10</v>
      </c>
      <c r="C1424" s="1" t="s">
        <v>113</v>
      </c>
      <c r="D1424" s="3" t="s">
        <v>1</v>
      </c>
      <c r="E1424" s="3" t="s">
        <v>6</v>
      </c>
      <c r="F1424" s="6" t="s">
        <v>110</v>
      </c>
    </row>
    <row r="1425" spans="1:9">
      <c r="A1425" s="2">
        <v>23667</v>
      </c>
      <c r="B1425" s="1" t="s">
        <v>371</v>
      </c>
      <c r="C1425" s="1" t="s">
        <v>377</v>
      </c>
      <c r="D1425" s="3" t="s">
        <v>1</v>
      </c>
      <c r="E1425" s="3" t="s">
        <v>6</v>
      </c>
      <c r="F1425" s="6" t="s">
        <v>110</v>
      </c>
    </row>
    <row r="1426" spans="1:9">
      <c r="A1426" s="2">
        <v>23667</v>
      </c>
      <c r="B1426" s="1" t="s">
        <v>460</v>
      </c>
      <c r="C1426" s="1" t="s">
        <v>463</v>
      </c>
      <c r="D1426" s="3" t="s">
        <v>1</v>
      </c>
      <c r="E1426" s="3" t="s">
        <v>6</v>
      </c>
      <c r="F1426" s="6" t="s">
        <v>110</v>
      </c>
    </row>
    <row r="1427" spans="1:9">
      <c r="A1427" s="2">
        <v>23667</v>
      </c>
      <c r="B1427" s="1" t="s">
        <v>606</v>
      </c>
      <c r="C1427" s="1" t="s">
        <v>607</v>
      </c>
      <c r="D1427" s="3" t="s">
        <v>1</v>
      </c>
      <c r="E1427" s="3" t="s">
        <v>6</v>
      </c>
      <c r="F1427" s="6" t="s">
        <v>110</v>
      </c>
    </row>
    <row r="1428" spans="1:9">
      <c r="A1428" s="2">
        <v>23667</v>
      </c>
      <c r="B1428" s="1" t="s">
        <v>352</v>
      </c>
      <c r="C1428" s="1" t="s">
        <v>353</v>
      </c>
      <c r="D1428" s="3" t="s">
        <v>1</v>
      </c>
      <c r="E1428" s="3" t="s">
        <v>6</v>
      </c>
      <c r="F1428" s="6" t="s">
        <v>110</v>
      </c>
    </row>
    <row r="1429" spans="1:9">
      <c r="A1429" s="2">
        <v>23667</v>
      </c>
      <c r="B1429" s="1" t="s">
        <v>608</v>
      </c>
      <c r="C1429" s="1" t="s">
        <v>609</v>
      </c>
      <c r="D1429" s="3" t="s">
        <v>2</v>
      </c>
      <c r="E1429" s="3" t="s">
        <v>7</v>
      </c>
      <c r="F1429" s="6" t="s">
        <v>595</v>
      </c>
    </row>
    <row r="1430" spans="1:9">
      <c r="A1430" s="66">
        <v>23668</v>
      </c>
      <c r="B1430" s="62"/>
      <c r="C1430" s="62"/>
      <c r="D1430" s="63"/>
      <c r="E1430" s="63"/>
      <c r="F1430" s="64"/>
      <c r="G1430" s="64"/>
      <c r="H1430" s="62"/>
      <c r="I1430" s="62"/>
    </row>
    <row r="1431" spans="1:9">
      <c r="A1431" s="2">
        <v>23667</v>
      </c>
      <c r="B1431" s="1" t="s">
        <v>11</v>
      </c>
      <c r="C1431" s="1" t="s">
        <v>25</v>
      </c>
      <c r="D1431" s="3" t="s">
        <v>1</v>
      </c>
      <c r="E1431" s="3" t="s">
        <v>6</v>
      </c>
      <c r="F1431" s="6" t="s">
        <v>599</v>
      </c>
    </row>
    <row r="1432" spans="1:9">
      <c r="A1432" s="2">
        <v>23667</v>
      </c>
      <c r="B1432" s="1" t="s">
        <v>472</v>
      </c>
      <c r="C1432" s="1" t="s">
        <v>25</v>
      </c>
      <c r="D1432" s="3" t="s">
        <v>1</v>
      </c>
      <c r="E1432" s="3" t="s">
        <v>6</v>
      </c>
      <c r="F1432" s="6" t="s">
        <v>599</v>
      </c>
    </row>
    <row r="1433" spans="1:9">
      <c r="A1433" s="2">
        <v>23667</v>
      </c>
      <c r="B1433" s="1" t="s">
        <v>436</v>
      </c>
      <c r="C1433" s="1" t="s">
        <v>25</v>
      </c>
      <c r="D1433" s="3" t="s">
        <v>1</v>
      </c>
      <c r="E1433" s="3" t="s">
        <v>6</v>
      </c>
      <c r="F1433" s="6" t="s">
        <v>599</v>
      </c>
    </row>
    <row r="1434" spans="1:9">
      <c r="A1434" s="2">
        <v>23667</v>
      </c>
      <c r="B1434" s="1" t="s">
        <v>52</v>
      </c>
      <c r="C1434" s="1" t="s">
        <v>61</v>
      </c>
      <c r="D1434" s="3" t="s">
        <v>1</v>
      </c>
      <c r="E1434" s="3" t="s">
        <v>6</v>
      </c>
      <c r="F1434" s="6" t="s">
        <v>110</v>
      </c>
    </row>
    <row r="1435" spans="1:9">
      <c r="A1435" s="2">
        <v>23668</v>
      </c>
      <c r="B1435" s="1" t="s">
        <v>437</v>
      </c>
      <c r="C1435" s="1" t="s">
        <v>299</v>
      </c>
      <c r="D1435" s="3" t="s">
        <v>1</v>
      </c>
      <c r="E1435" s="3" t="s">
        <v>6</v>
      </c>
      <c r="F1435" s="6" t="s">
        <v>110</v>
      </c>
    </row>
    <row r="1436" spans="1:9">
      <c r="A1436" s="2">
        <v>23668</v>
      </c>
      <c r="B1436" s="1" t="s">
        <v>460</v>
      </c>
      <c r="C1436" s="1" t="s">
        <v>463</v>
      </c>
      <c r="D1436" s="3" t="s">
        <v>1</v>
      </c>
      <c r="E1436" s="3" t="s">
        <v>6</v>
      </c>
      <c r="F1436" s="6" t="s">
        <v>110</v>
      </c>
    </row>
    <row r="1437" spans="1:9">
      <c r="A1437" s="2">
        <v>23668</v>
      </c>
      <c r="B1437" s="1" t="s">
        <v>611</v>
      </c>
      <c r="C1437" s="1" t="s">
        <v>607</v>
      </c>
      <c r="D1437" s="3" t="s">
        <v>1</v>
      </c>
      <c r="E1437" s="3" t="s">
        <v>6</v>
      </c>
      <c r="F1437" s="6" t="s">
        <v>110</v>
      </c>
    </row>
    <row r="1438" spans="1:9">
      <c r="A1438" s="2">
        <v>23668</v>
      </c>
      <c r="B1438" s="1" t="s">
        <v>207</v>
      </c>
      <c r="C1438" s="1" t="s">
        <v>235</v>
      </c>
      <c r="D1438" s="3" t="s">
        <v>2</v>
      </c>
      <c r="E1438" s="3" t="s">
        <v>7</v>
      </c>
      <c r="F1438" s="6" t="s">
        <v>490</v>
      </c>
    </row>
    <row r="1439" spans="1:9">
      <c r="A1439" s="2">
        <v>23668</v>
      </c>
      <c r="B1439" s="1" t="s">
        <v>612</v>
      </c>
      <c r="C1439" s="1" t="s">
        <v>285</v>
      </c>
      <c r="D1439" s="3" t="s">
        <v>2</v>
      </c>
      <c r="E1439" s="3" t="s">
        <v>7</v>
      </c>
      <c r="F1439" s="6" t="s">
        <v>490</v>
      </c>
    </row>
    <row r="1440" spans="1:9">
      <c r="A1440" s="2">
        <v>23668</v>
      </c>
      <c r="B1440" s="1" t="s">
        <v>613</v>
      </c>
      <c r="C1440" s="1" t="s">
        <v>614</v>
      </c>
      <c r="D1440" s="3" t="s">
        <v>2</v>
      </c>
      <c r="E1440" s="3" t="s">
        <v>7</v>
      </c>
      <c r="F1440" s="6" t="s">
        <v>490</v>
      </c>
    </row>
    <row r="1441" spans="1:9">
      <c r="A1441" s="2">
        <v>23668</v>
      </c>
      <c r="B1441" s="1" t="s">
        <v>601</v>
      </c>
      <c r="C1441" s="1" t="s">
        <v>602</v>
      </c>
      <c r="D1441" s="3" t="s">
        <v>2</v>
      </c>
      <c r="E1441" s="3" t="s">
        <v>7</v>
      </c>
      <c r="F1441" s="6" t="s">
        <v>490</v>
      </c>
    </row>
    <row r="1442" spans="1:9">
      <c r="A1442" s="65">
        <v>23669</v>
      </c>
      <c r="B1442" s="62"/>
      <c r="C1442" s="62"/>
      <c r="D1442" s="63"/>
      <c r="E1442" s="63"/>
      <c r="F1442" s="64"/>
      <c r="G1442" s="64"/>
      <c r="H1442" s="62"/>
      <c r="I1442" s="62"/>
    </row>
    <row r="1443" spans="1:9">
      <c r="A1443" s="2">
        <v>23669</v>
      </c>
      <c r="B1443" s="1" t="s">
        <v>372</v>
      </c>
      <c r="C1443" s="1" t="s">
        <v>378</v>
      </c>
      <c r="D1443" s="3" t="s">
        <v>1</v>
      </c>
      <c r="E1443" s="3" t="s">
        <v>6</v>
      </c>
      <c r="F1443" s="6" t="s">
        <v>110</v>
      </c>
    </row>
    <row r="1444" spans="1:9">
      <c r="A1444" s="2">
        <v>23669</v>
      </c>
      <c r="B1444" s="1" t="s">
        <v>11</v>
      </c>
      <c r="C1444" s="1" t="s">
        <v>25</v>
      </c>
      <c r="D1444" s="3" t="s">
        <v>2</v>
      </c>
      <c r="E1444" s="3" t="s">
        <v>7</v>
      </c>
      <c r="F1444" s="6" t="s">
        <v>490</v>
      </c>
    </row>
    <row r="1445" spans="1:9">
      <c r="A1445" s="2">
        <v>23669</v>
      </c>
      <c r="B1445" s="1" t="s">
        <v>257</v>
      </c>
      <c r="C1445" s="1" t="s">
        <v>258</v>
      </c>
      <c r="D1445" s="3" t="s">
        <v>2</v>
      </c>
      <c r="E1445" s="3" t="s">
        <v>7</v>
      </c>
      <c r="F1445" s="6" t="s">
        <v>490</v>
      </c>
    </row>
    <row r="1446" spans="1:9">
      <c r="A1446" s="65">
        <v>23670</v>
      </c>
      <c r="B1446" s="62"/>
      <c r="C1446" s="62"/>
      <c r="D1446" s="63"/>
      <c r="E1446" s="63"/>
      <c r="F1446" s="64"/>
      <c r="G1446" s="64"/>
      <c r="H1446" s="62"/>
      <c r="I1446" s="62"/>
    </row>
    <row r="1447" spans="1:9">
      <c r="A1447" s="2">
        <v>23670</v>
      </c>
      <c r="B1447" s="1" t="s">
        <v>359</v>
      </c>
      <c r="C1447" s="1" t="s">
        <v>194</v>
      </c>
      <c r="D1447" s="3" t="s">
        <v>1</v>
      </c>
      <c r="E1447" s="3" t="s">
        <v>6</v>
      </c>
      <c r="F1447" s="6" t="s">
        <v>110</v>
      </c>
    </row>
    <row r="1448" spans="1:9">
      <c r="A1448" s="2">
        <v>23670</v>
      </c>
      <c r="B1448" s="1" t="s">
        <v>102</v>
      </c>
      <c r="C1448" s="1" t="s">
        <v>96</v>
      </c>
      <c r="D1448" s="3" t="s">
        <v>2</v>
      </c>
      <c r="E1448" s="3" t="s">
        <v>7</v>
      </c>
      <c r="F1448" s="6" t="s">
        <v>490</v>
      </c>
    </row>
    <row r="1449" spans="1:9">
      <c r="A1449" s="2">
        <v>23670</v>
      </c>
      <c r="B1449" s="1" t="s">
        <v>480</v>
      </c>
      <c r="C1449" s="1" t="s">
        <v>481</v>
      </c>
      <c r="D1449" s="3" t="s">
        <v>2</v>
      </c>
      <c r="E1449" s="3" t="s">
        <v>7</v>
      </c>
      <c r="F1449" s="6" t="s">
        <v>490</v>
      </c>
    </row>
    <row r="1450" spans="1:9">
      <c r="A1450" s="65">
        <v>23671</v>
      </c>
      <c r="B1450" s="62"/>
      <c r="C1450" s="62"/>
      <c r="D1450" s="63"/>
      <c r="E1450" s="63"/>
      <c r="F1450" s="64"/>
      <c r="G1450" s="64"/>
      <c r="H1450" s="62"/>
      <c r="I1450" s="62"/>
    </row>
    <row r="1451" spans="1:9">
      <c r="A1451" s="2">
        <v>23671</v>
      </c>
      <c r="B1451" s="1" t="s">
        <v>608</v>
      </c>
      <c r="C1451" s="1" t="s">
        <v>609</v>
      </c>
      <c r="D1451" s="3" t="s">
        <v>1</v>
      </c>
      <c r="E1451" s="3" t="s">
        <v>6</v>
      </c>
      <c r="F1451" s="6" t="s">
        <v>110</v>
      </c>
    </row>
    <row r="1452" spans="1:9">
      <c r="A1452" s="2">
        <v>23671</v>
      </c>
      <c r="B1452" s="1" t="s">
        <v>159</v>
      </c>
      <c r="C1452" s="1" t="s">
        <v>158</v>
      </c>
      <c r="D1452" s="3" t="s">
        <v>1</v>
      </c>
      <c r="E1452" s="3" t="s">
        <v>6</v>
      </c>
      <c r="F1452" s="6" t="s">
        <v>110</v>
      </c>
    </row>
    <row r="1453" spans="1:9">
      <c r="A1453" s="2">
        <v>23671</v>
      </c>
      <c r="B1453" s="1" t="s">
        <v>352</v>
      </c>
      <c r="C1453" s="1" t="s">
        <v>353</v>
      </c>
      <c r="D1453" s="3" t="s">
        <v>1</v>
      </c>
      <c r="E1453" s="3" t="s">
        <v>6</v>
      </c>
      <c r="F1453" s="6" t="s">
        <v>110</v>
      </c>
    </row>
    <row r="1454" spans="1:9">
      <c r="A1454" s="2">
        <v>23671</v>
      </c>
      <c r="B1454" s="1" t="s">
        <v>102</v>
      </c>
      <c r="C1454" s="1" t="s">
        <v>96</v>
      </c>
      <c r="D1454" s="3" t="s">
        <v>2</v>
      </c>
      <c r="E1454" s="3" t="s">
        <v>7</v>
      </c>
      <c r="F1454" s="6" t="s">
        <v>490</v>
      </c>
    </row>
    <row r="1455" spans="1:9">
      <c r="A1455" s="2">
        <v>23671</v>
      </c>
      <c r="B1455" s="1" t="s">
        <v>365</v>
      </c>
      <c r="C1455" s="1" t="s">
        <v>368</v>
      </c>
      <c r="D1455" s="3" t="s">
        <v>2</v>
      </c>
      <c r="E1455" s="3" t="s">
        <v>7</v>
      </c>
      <c r="F1455" s="6" t="s">
        <v>490</v>
      </c>
    </row>
    <row r="1456" spans="1:9">
      <c r="A1456" s="65">
        <v>23672</v>
      </c>
      <c r="B1456" s="62"/>
      <c r="C1456" s="62"/>
      <c r="D1456" s="63"/>
      <c r="E1456" s="63"/>
      <c r="F1456" s="64"/>
      <c r="G1456" s="64"/>
      <c r="H1456" s="62"/>
      <c r="I1456" s="62"/>
    </row>
    <row r="1457" spans="1:9">
      <c r="A1457" s="2">
        <v>23672</v>
      </c>
      <c r="B1457" s="1" t="s">
        <v>112</v>
      </c>
      <c r="C1457" s="1" t="s">
        <v>113</v>
      </c>
      <c r="D1457" s="3" t="s">
        <v>1</v>
      </c>
      <c r="E1457" s="3" t="s">
        <v>6</v>
      </c>
      <c r="F1457" s="6" t="s">
        <v>110</v>
      </c>
    </row>
    <row r="1458" spans="1:9">
      <c r="A1458" s="2">
        <v>23672</v>
      </c>
      <c r="B1458" s="1" t="s">
        <v>182</v>
      </c>
      <c r="C1458" s="1" t="s">
        <v>615</v>
      </c>
      <c r="D1458" s="3" t="s">
        <v>2</v>
      </c>
      <c r="E1458" s="3" t="s">
        <v>7</v>
      </c>
      <c r="F1458" s="6" t="s">
        <v>490</v>
      </c>
    </row>
    <row r="1459" spans="1:9">
      <c r="A1459" s="2">
        <v>23672</v>
      </c>
      <c r="B1459" s="1" t="s">
        <v>92</v>
      </c>
      <c r="C1459" s="1" t="s">
        <v>91</v>
      </c>
      <c r="D1459" s="3" t="s">
        <v>2</v>
      </c>
      <c r="E1459" s="3" t="s">
        <v>7</v>
      </c>
      <c r="F1459" s="6" t="s">
        <v>490</v>
      </c>
    </row>
    <row r="1460" spans="1:9">
      <c r="A1460" s="65">
        <v>23673</v>
      </c>
      <c r="B1460" s="62"/>
      <c r="C1460" s="62"/>
      <c r="D1460" s="63"/>
      <c r="E1460" s="63"/>
      <c r="F1460" s="64"/>
      <c r="G1460" s="64"/>
      <c r="H1460" s="62"/>
      <c r="I1460" s="62"/>
    </row>
    <row r="1461" spans="1:9">
      <c r="A1461" s="2">
        <v>23673</v>
      </c>
      <c r="B1461" s="1" t="s">
        <v>577</v>
      </c>
      <c r="C1461" s="1" t="s">
        <v>582</v>
      </c>
      <c r="D1461" s="3" t="s">
        <v>2</v>
      </c>
      <c r="E1461" s="3" t="s">
        <v>7</v>
      </c>
      <c r="F1461" s="6" t="s">
        <v>119</v>
      </c>
    </row>
    <row r="1462" spans="1:9">
      <c r="A1462" s="65">
        <v>23674</v>
      </c>
      <c r="B1462" s="62"/>
      <c r="C1462" s="62"/>
      <c r="D1462" s="63"/>
      <c r="E1462" s="63"/>
      <c r="F1462" s="64"/>
      <c r="G1462" s="64"/>
      <c r="H1462" s="62"/>
      <c r="I1462" s="62"/>
    </row>
    <row r="1463" spans="1:9">
      <c r="A1463" s="2">
        <v>23674</v>
      </c>
      <c r="B1463" s="1" t="s">
        <v>616</v>
      </c>
      <c r="C1463" s="1" t="s">
        <v>84</v>
      </c>
      <c r="D1463" s="3" t="s">
        <v>1</v>
      </c>
      <c r="E1463" s="3" t="s">
        <v>6</v>
      </c>
      <c r="F1463" s="6" t="s">
        <v>110</v>
      </c>
    </row>
    <row r="1464" spans="1:9">
      <c r="A1464" s="65">
        <v>23675</v>
      </c>
      <c r="B1464" s="62"/>
      <c r="C1464" s="62"/>
      <c r="D1464" s="63"/>
      <c r="E1464" s="63"/>
      <c r="F1464" s="64"/>
      <c r="G1464" s="64"/>
      <c r="H1464" s="62"/>
      <c r="I1464" s="62"/>
    </row>
    <row r="1465" spans="1:9">
      <c r="A1465" s="2">
        <v>23674</v>
      </c>
      <c r="B1465" s="1" t="s">
        <v>616</v>
      </c>
      <c r="C1465" s="1" t="s">
        <v>84</v>
      </c>
      <c r="D1465" s="3" t="s">
        <v>1</v>
      </c>
      <c r="E1465" s="3" t="s">
        <v>6</v>
      </c>
      <c r="F1465" s="6" t="s">
        <v>110</v>
      </c>
    </row>
    <row r="1466" spans="1:9">
      <c r="A1466" s="2">
        <v>23675</v>
      </c>
      <c r="B1466" s="1" t="s">
        <v>257</v>
      </c>
      <c r="C1466" s="1" t="s">
        <v>258</v>
      </c>
      <c r="D1466" s="3" t="s">
        <v>1</v>
      </c>
      <c r="E1466" s="3" t="s">
        <v>6</v>
      </c>
      <c r="F1466" s="6" t="s">
        <v>110</v>
      </c>
    </row>
    <row r="1467" spans="1:9">
      <c r="A1467" s="2">
        <v>23675</v>
      </c>
      <c r="B1467" s="1" t="s">
        <v>388</v>
      </c>
      <c r="C1467" s="1" t="s">
        <v>267</v>
      </c>
      <c r="D1467" s="3" t="s">
        <v>2</v>
      </c>
      <c r="E1467" s="3" t="s">
        <v>7</v>
      </c>
      <c r="F1467" s="6" t="s">
        <v>119</v>
      </c>
    </row>
    <row r="1468" spans="1:9">
      <c r="A1468" s="65">
        <v>23676</v>
      </c>
      <c r="B1468" s="62"/>
      <c r="C1468" s="62"/>
      <c r="D1468" s="63"/>
      <c r="E1468" s="63"/>
      <c r="F1468" s="64"/>
      <c r="G1468" s="64"/>
      <c r="H1468" s="62"/>
      <c r="I1468" s="62"/>
    </row>
    <row r="1469" spans="1:9">
      <c r="A1469" s="2">
        <v>23674</v>
      </c>
      <c r="B1469" s="1" t="s">
        <v>616</v>
      </c>
      <c r="C1469" s="1" t="s">
        <v>84</v>
      </c>
      <c r="D1469" s="3" t="s">
        <v>1</v>
      </c>
      <c r="E1469" s="3" t="s">
        <v>6</v>
      </c>
      <c r="F1469" s="6" t="s">
        <v>110</v>
      </c>
    </row>
    <row r="1470" spans="1:9">
      <c r="A1470" s="2">
        <v>23676</v>
      </c>
      <c r="B1470" s="1" t="s">
        <v>90</v>
      </c>
      <c r="C1470" s="1" t="s">
        <v>516</v>
      </c>
      <c r="D1470" s="3" t="s">
        <v>1</v>
      </c>
      <c r="E1470" s="3" t="s">
        <v>6</v>
      </c>
      <c r="F1470" s="6" t="s">
        <v>110</v>
      </c>
    </row>
    <row r="1471" spans="1:9">
      <c r="A1471" s="2">
        <v>23676</v>
      </c>
      <c r="B1471" s="1" t="s">
        <v>92</v>
      </c>
      <c r="C1471" s="1" t="s">
        <v>516</v>
      </c>
      <c r="D1471" s="3" t="s">
        <v>1</v>
      </c>
      <c r="E1471" s="3" t="s">
        <v>6</v>
      </c>
      <c r="F1471" s="6" t="s">
        <v>110</v>
      </c>
    </row>
    <row r="1472" spans="1:9">
      <c r="A1472" s="2">
        <v>23676</v>
      </c>
      <c r="B1472" s="1" t="s">
        <v>617</v>
      </c>
      <c r="C1472" s="1" t="s">
        <v>516</v>
      </c>
      <c r="D1472" s="3" t="s">
        <v>1</v>
      </c>
      <c r="E1472" s="3" t="s">
        <v>6</v>
      </c>
      <c r="F1472" s="6" t="s">
        <v>110</v>
      </c>
    </row>
    <row r="1473" spans="1:9">
      <c r="A1473" s="2">
        <v>23676</v>
      </c>
      <c r="B1473" s="1" t="s">
        <v>521</v>
      </c>
      <c r="C1473" s="1" t="s">
        <v>224</v>
      </c>
      <c r="D1473" s="3" t="s">
        <v>2</v>
      </c>
      <c r="E1473" s="3" t="s">
        <v>6</v>
      </c>
      <c r="F1473" s="6" t="s">
        <v>119</v>
      </c>
    </row>
    <row r="1474" spans="1:9">
      <c r="A1474" s="2">
        <v>23676</v>
      </c>
      <c r="B1474" s="1" t="s">
        <v>543</v>
      </c>
      <c r="C1474" s="1" t="s">
        <v>618</v>
      </c>
      <c r="D1474" s="3" t="s">
        <v>2</v>
      </c>
      <c r="E1474" s="3" t="s">
        <v>6</v>
      </c>
      <c r="F1474" s="6" t="s">
        <v>119</v>
      </c>
    </row>
    <row r="1475" spans="1:9">
      <c r="A1475" s="66">
        <v>23679</v>
      </c>
      <c r="B1475" s="62"/>
      <c r="C1475" s="62"/>
      <c r="D1475" s="63"/>
      <c r="E1475" s="63"/>
      <c r="F1475" s="64"/>
      <c r="G1475" s="64"/>
      <c r="H1475" s="62"/>
      <c r="I1475" s="62"/>
    </row>
    <row r="1476" spans="1:9">
      <c r="A1476" s="2">
        <v>23679</v>
      </c>
      <c r="B1476" s="1" t="s">
        <v>369</v>
      </c>
      <c r="C1476" s="1" t="s">
        <v>421</v>
      </c>
      <c r="D1476" s="3" t="s">
        <v>1</v>
      </c>
      <c r="E1476" s="3" t="s">
        <v>6</v>
      </c>
      <c r="F1476" s="6" t="s">
        <v>110</v>
      </c>
    </row>
    <row r="1477" spans="1:9">
      <c r="A1477" s="2">
        <v>23679</v>
      </c>
      <c r="B1477" s="1" t="s">
        <v>521</v>
      </c>
      <c r="C1477" s="1" t="s">
        <v>224</v>
      </c>
      <c r="D1477" s="3" t="s">
        <v>2</v>
      </c>
      <c r="E1477" s="3" t="s">
        <v>7</v>
      </c>
      <c r="F1477" s="6" t="s">
        <v>119</v>
      </c>
    </row>
    <row r="1478" spans="1:9">
      <c r="A1478" s="66">
        <v>23680</v>
      </c>
      <c r="B1478" s="62"/>
      <c r="C1478" s="62"/>
      <c r="D1478" s="63"/>
      <c r="E1478" s="63"/>
      <c r="F1478" s="64"/>
      <c r="G1478" s="64"/>
      <c r="H1478" s="62"/>
      <c r="I1478" s="62"/>
    </row>
    <row r="1479" spans="1:9">
      <c r="B1479" s="1" t="s">
        <v>619</v>
      </c>
    </row>
    <row r="1480" spans="1:9">
      <c r="A1480" s="65">
        <v>23681</v>
      </c>
      <c r="B1480" s="62"/>
      <c r="C1480" s="62"/>
      <c r="D1480" s="63"/>
      <c r="E1480" s="63"/>
      <c r="F1480" s="64"/>
      <c r="G1480" s="64"/>
      <c r="H1480" s="62"/>
      <c r="I1480" s="62"/>
    </row>
    <row r="1481" spans="1:9">
      <c r="A1481" s="2">
        <v>23681</v>
      </c>
      <c r="B1481" s="1" t="s">
        <v>54</v>
      </c>
      <c r="C1481" s="1" t="s">
        <v>422</v>
      </c>
      <c r="D1481" s="3" t="s">
        <v>1</v>
      </c>
      <c r="E1481" s="3" t="s">
        <v>6</v>
      </c>
      <c r="F1481" s="6" t="s">
        <v>110</v>
      </c>
    </row>
    <row r="1482" spans="1:9">
      <c r="A1482" s="2">
        <v>23681</v>
      </c>
      <c r="B1482" s="1" t="s">
        <v>419</v>
      </c>
      <c r="C1482" s="1" t="s">
        <v>426</v>
      </c>
      <c r="D1482" s="3" t="s">
        <v>1</v>
      </c>
      <c r="E1482" s="3" t="s">
        <v>6</v>
      </c>
      <c r="F1482" s="6" t="s">
        <v>110</v>
      </c>
    </row>
    <row r="1483" spans="1:9">
      <c r="A1483" s="2">
        <v>23681</v>
      </c>
      <c r="B1483" s="1" t="s">
        <v>405</v>
      </c>
      <c r="C1483" s="1" t="s">
        <v>426</v>
      </c>
      <c r="D1483" s="3" t="s">
        <v>1</v>
      </c>
      <c r="E1483" s="3" t="s">
        <v>6</v>
      </c>
      <c r="F1483" s="6" t="s">
        <v>110</v>
      </c>
    </row>
    <row r="1484" spans="1:9">
      <c r="A1484" s="67">
        <v>23683</v>
      </c>
      <c r="B1484" s="7"/>
      <c r="C1484" s="7"/>
      <c r="D1484" s="8"/>
      <c r="E1484" s="8"/>
      <c r="F1484" s="9"/>
      <c r="G1484" s="9"/>
      <c r="H1484" s="7"/>
      <c r="I1484" s="7"/>
    </row>
    <row r="1485" spans="1:9">
      <c r="A1485" s="2">
        <v>23681</v>
      </c>
      <c r="B1485" s="1" t="s">
        <v>54</v>
      </c>
      <c r="C1485" s="1" t="s">
        <v>422</v>
      </c>
      <c r="D1485" s="3" t="s">
        <v>1</v>
      </c>
      <c r="E1485" s="3" t="s">
        <v>6</v>
      </c>
      <c r="F1485" s="6" t="s">
        <v>110</v>
      </c>
    </row>
    <row r="1486" spans="1:9">
      <c r="A1486" s="2">
        <v>23683</v>
      </c>
      <c r="B1486" s="1" t="s">
        <v>460</v>
      </c>
      <c r="C1486" s="1" t="s">
        <v>463</v>
      </c>
      <c r="D1486" s="3" t="s">
        <v>1</v>
      </c>
      <c r="E1486" s="3" t="s">
        <v>6</v>
      </c>
      <c r="F1486" s="6" t="s">
        <v>110</v>
      </c>
    </row>
    <row r="1487" spans="1:9">
      <c r="A1487" s="2">
        <v>23683</v>
      </c>
      <c r="B1487" s="1" t="s">
        <v>620</v>
      </c>
      <c r="C1487" s="1" t="s">
        <v>621</v>
      </c>
      <c r="D1487" s="3" t="s">
        <v>2</v>
      </c>
      <c r="E1487" s="3" t="s">
        <v>7</v>
      </c>
      <c r="F1487" s="6" t="s">
        <v>119</v>
      </c>
    </row>
    <row r="1488" spans="1:9">
      <c r="A1488" s="2">
        <v>23683</v>
      </c>
      <c r="B1488" s="1" t="s">
        <v>196</v>
      </c>
      <c r="C1488" s="1" t="s">
        <v>622</v>
      </c>
      <c r="D1488" s="3" t="s">
        <v>2</v>
      </c>
      <c r="E1488" s="3" t="s">
        <v>7</v>
      </c>
      <c r="F1488" s="6" t="s">
        <v>119</v>
      </c>
    </row>
    <row r="1489" spans="1:9">
      <c r="A1489" s="2">
        <v>23683</v>
      </c>
      <c r="B1489" s="1" t="s">
        <v>193</v>
      </c>
      <c r="C1489" s="1" t="s">
        <v>623</v>
      </c>
      <c r="D1489" s="3" t="s">
        <v>2</v>
      </c>
      <c r="E1489" s="3" t="s">
        <v>7</v>
      </c>
      <c r="F1489" s="6" t="s">
        <v>119</v>
      </c>
    </row>
    <row r="1490" spans="1:9">
      <c r="A1490" s="2">
        <v>23683</v>
      </c>
      <c r="B1490" s="1" t="s">
        <v>159</v>
      </c>
      <c r="C1490" s="1" t="s">
        <v>415</v>
      </c>
      <c r="D1490" s="3" t="s">
        <v>2</v>
      </c>
      <c r="E1490" s="3" t="s">
        <v>7</v>
      </c>
      <c r="F1490" s="6" t="s">
        <v>119</v>
      </c>
    </row>
    <row r="1491" spans="1:9">
      <c r="A1491" s="2">
        <v>23683</v>
      </c>
      <c r="B1491" s="1" t="s">
        <v>529</v>
      </c>
      <c r="C1491" s="1" t="s">
        <v>624</v>
      </c>
      <c r="D1491" s="3" t="s">
        <v>2</v>
      </c>
      <c r="E1491" s="3" t="s">
        <v>7</v>
      </c>
      <c r="F1491" s="6" t="s">
        <v>119</v>
      </c>
    </row>
    <row r="1492" spans="1:9">
      <c r="A1492" s="68">
        <v>23684</v>
      </c>
      <c r="B1492" s="69"/>
      <c r="C1492" s="69"/>
      <c r="D1492" s="70"/>
      <c r="E1492" s="70"/>
      <c r="F1492" s="71"/>
      <c r="G1492" s="71"/>
      <c r="H1492" s="69"/>
      <c r="I1492" s="69"/>
    </row>
    <row r="1493" spans="1:9">
      <c r="A1493" s="2">
        <v>23684</v>
      </c>
      <c r="B1493" s="1" t="s">
        <v>611</v>
      </c>
      <c r="C1493" s="1" t="s">
        <v>626</v>
      </c>
      <c r="D1493" s="3" t="s">
        <v>1</v>
      </c>
      <c r="E1493" s="3" t="s">
        <v>6</v>
      </c>
      <c r="F1493" s="6" t="s">
        <v>110</v>
      </c>
    </row>
    <row r="1494" spans="1:9">
      <c r="A1494" s="2">
        <v>23684</v>
      </c>
      <c r="B1494" s="1" t="s">
        <v>437</v>
      </c>
      <c r="C1494" s="1" t="s">
        <v>625</v>
      </c>
      <c r="D1494" s="3" t="s">
        <v>1</v>
      </c>
      <c r="E1494" s="3" t="s">
        <v>6</v>
      </c>
      <c r="F1494" s="6" t="s">
        <v>110</v>
      </c>
    </row>
    <row r="1495" spans="1:9">
      <c r="A1495" s="2">
        <v>23684</v>
      </c>
      <c r="B1495" s="1" t="s">
        <v>226</v>
      </c>
      <c r="C1495" s="1" t="s">
        <v>227</v>
      </c>
      <c r="D1495" s="3" t="s">
        <v>1</v>
      </c>
      <c r="E1495" s="3" t="s">
        <v>6</v>
      </c>
      <c r="F1495" s="6" t="s">
        <v>110</v>
      </c>
    </row>
    <row r="1496" spans="1:9">
      <c r="A1496" s="2">
        <v>23684</v>
      </c>
      <c r="B1496" s="1" t="s">
        <v>318</v>
      </c>
      <c r="C1496" s="1" t="s">
        <v>320</v>
      </c>
      <c r="D1496" s="3" t="s">
        <v>1</v>
      </c>
      <c r="E1496" s="3" t="s">
        <v>6</v>
      </c>
      <c r="F1496" s="6" t="s">
        <v>110</v>
      </c>
    </row>
    <row r="1497" spans="1:9">
      <c r="A1497" s="2">
        <v>23684</v>
      </c>
      <c r="B1497" s="1" t="s">
        <v>221</v>
      </c>
      <c r="C1497" s="1" t="s">
        <v>376</v>
      </c>
      <c r="D1497" s="3" t="s">
        <v>2</v>
      </c>
      <c r="E1497" s="3" t="s">
        <v>7</v>
      </c>
      <c r="F1497" s="6" t="s">
        <v>119</v>
      </c>
    </row>
    <row r="1498" spans="1:9">
      <c r="A1498" s="2">
        <v>23684</v>
      </c>
      <c r="B1498" s="1" t="s">
        <v>167</v>
      </c>
      <c r="C1498" s="1" t="s">
        <v>629</v>
      </c>
      <c r="D1498" s="3" t="s">
        <v>2</v>
      </c>
      <c r="E1498" s="3" t="s">
        <v>7</v>
      </c>
      <c r="F1498" s="6" t="s">
        <v>119</v>
      </c>
    </row>
    <row r="1499" spans="1:9">
      <c r="A1499" s="2">
        <v>23684</v>
      </c>
      <c r="B1499" s="1" t="s">
        <v>462</v>
      </c>
      <c r="C1499" s="1" t="s">
        <v>251</v>
      </c>
      <c r="D1499" s="3" t="s">
        <v>2</v>
      </c>
      <c r="E1499" s="3" t="s">
        <v>7</v>
      </c>
      <c r="F1499" s="6" t="s">
        <v>119</v>
      </c>
    </row>
    <row r="1500" spans="1:9">
      <c r="A1500" s="2">
        <v>23684</v>
      </c>
      <c r="B1500" s="1" t="s">
        <v>627</v>
      </c>
      <c r="C1500" s="1" t="s">
        <v>628</v>
      </c>
      <c r="D1500" s="3" t="s">
        <v>2</v>
      </c>
      <c r="E1500" s="3" t="s">
        <v>7</v>
      </c>
      <c r="F1500" s="6" t="s">
        <v>119</v>
      </c>
    </row>
    <row r="1501" spans="1:9">
      <c r="A1501" s="2">
        <v>23684</v>
      </c>
      <c r="B1501" s="1" t="s">
        <v>616</v>
      </c>
      <c r="C1501" s="1" t="s">
        <v>84</v>
      </c>
      <c r="D1501" s="3" t="s">
        <v>2</v>
      </c>
      <c r="E1501" s="3" t="s">
        <v>7</v>
      </c>
      <c r="F1501" s="6" t="s">
        <v>119</v>
      </c>
    </row>
    <row r="1502" spans="1:9">
      <c r="A1502" s="68">
        <v>23685</v>
      </c>
      <c r="B1502" s="69"/>
      <c r="C1502" s="69"/>
      <c r="D1502" s="70"/>
      <c r="E1502" s="70"/>
      <c r="F1502" s="71"/>
      <c r="G1502" s="71"/>
      <c r="H1502" s="69"/>
      <c r="I1502" s="69"/>
    </row>
    <row r="1503" spans="1:9">
      <c r="A1503" s="2">
        <v>23685</v>
      </c>
      <c r="B1503" s="1" t="s">
        <v>529</v>
      </c>
      <c r="C1503" s="1" t="s">
        <v>624</v>
      </c>
      <c r="D1503" s="3" t="s">
        <v>2</v>
      </c>
      <c r="E1503" s="3" t="s">
        <v>7</v>
      </c>
      <c r="F1503" s="6" t="s">
        <v>119</v>
      </c>
    </row>
    <row r="1504" spans="1:9">
      <c r="A1504" s="2">
        <v>23685</v>
      </c>
      <c r="B1504" s="1" t="s">
        <v>630</v>
      </c>
      <c r="C1504" s="1" t="s">
        <v>197</v>
      </c>
      <c r="D1504" s="3" t="s">
        <v>2</v>
      </c>
      <c r="E1504" s="3" t="s">
        <v>7</v>
      </c>
      <c r="F1504" s="6" t="s">
        <v>119</v>
      </c>
    </row>
    <row r="1505" spans="1:9">
      <c r="A1505" s="68">
        <v>23686</v>
      </c>
      <c r="B1505" s="69"/>
      <c r="C1505" s="69"/>
      <c r="D1505" s="70"/>
      <c r="E1505" s="70"/>
      <c r="F1505" s="71"/>
      <c r="G1505" s="71"/>
      <c r="H1505" s="69"/>
      <c r="I1505" s="69"/>
    </row>
    <row r="1506" spans="1:9">
      <c r="A1506" s="2">
        <v>23686</v>
      </c>
      <c r="B1506" s="1" t="s">
        <v>631</v>
      </c>
      <c r="C1506" s="1" t="s">
        <v>632</v>
      </c>
      <c r="D1506" s="3" t="s">
        <v>1</v>
      </c>
      <c r="E1506" s="3" t="s">
        <v>6</v>
      </c>
      <c r="F1506" s="6" t="s">
        <v>110</v>
      </c>
    </row>
    <row r="1507" spans="1:9">
      <c r="A1507" s="2">
        <v>23686</v>
      </c>
      <c r="B1507" s="1" t="s">
        <v>208</v>
      </c>
      <c r="C1507" s="1" t="s">
        <v>212</v>
      </c>
      <c r="D1507" s="3" t="s">
        <v>2</v>
      </c>
      <c r="E1507" s="3" t="s">
        <v>7</v>
      </c>
      <c r="F1507" s="6" t="s">
        <v>119</v>
      </c>
    </row>
    <row r="1508" spans="1:9">
      <c r="A1508" s="2">
        <v>23686</v>
      </c>
      <c r="B1508" s="1" t="s">
        <v>199</v>
      </c>
      <c r="C1508" s="1" t="s">
        <v>633</v>
      </c>
      <c r="D1508" s="3" t="s">
        <v>2</v>
      </c>
      <c r="E1508" s="3" t="s">
        <v>7</v>
      </c>
      <c r="F1508" s="6" t="s">
        <v>119</v>
      </c>
    </row>
    <row r="1509" spans="1:9">
      <c r="A1509" s="2">
        <v>23686</v>
      </c>
      <c r="B1509" s="1" t="s">
        <v>627</v>
      </c>
      <c r="C1509" s="1" t="s">
        <v>634</v>
      </c>
      <c r="D1509" s="3" t="s">
        <v>2</v>
      </c>
      <c r="E1509" s="3" t="s">
        <v>7</v>
      </c>
      <c r="F1509" s="6" t="s">
        <v>119</v>
      </c>
    </row>
    <row r="1510" spans="1:9">
      <c r="A1510" s="68">
        <v>23687</v>
      </c>
      <c r="B1510" s="69"/>
      <c r="C1510" s="69"/>
      <c r="D1510" s="70"/>
      <c r="E1510" s="70"/>
      <c r="F1510" s="71"/>
      <c r="G1510" s="71"/>
      <c r="H1510" s="69"/>
      <c r="I1510" s="69"/>
    </row>
    <row r="1511" spans="1:9">
      <c r="A1511" s="2">
        <v>23687</v>
      </c>
      <c r="B1511" s="1" t="s">
        <v>58</v>
      </c>
      <c r="C1511" s="1" t="s">
        <v>214</v>
      </c>
      <c r="D1511" s="3" t="s">
        <v>1</v>
      </c>
      <c r="E1511" s="3" t="s">
        <v>6</v>
      </c>
      <c r="F1511" s="6" t="s">
        <v>110</v>
      </c>
    </row>
    <row r="1512" spans="1:9">
      <c r="A1512" s="2">
        <v>23687</v>
      </c>
      <c r="B1512" s="1" t="s">
        <v>480</v>
      </c>
      <c r="C1512" s="1" t="s">
        <v>481</v>
      </c>
      <c r="D1512" s="3" t="s">
        <v>1</v>
      </c>
      <c r="E1512" s="3" t="s">
        <v>6</v>
      </c>
      <c r="F1512" s="6" t="s">
        <v>110</v>
      </c>
    </row>
    <row r="1513" spans="1:9">
      <c r="A1513" s="2">
        <v>23687</v>
      </c>
      <c r="B1513" s="1" t="s">
        <v>228</v>
      </c>
      <c r="C1513" s="1" t="s">
        <v>235</v>
      </c>
      <c r="D1513" s="3" t="s">
        <v>1</v>
      </c>
      <c r="E1513" s="3" t="s">
        <v>6</v>
      </c>
      <c r="F1513" s="6" t="s">
        <v>110</v>
      </c>
    </row>
    <row r="1514" spans="1:9">
      <c r="A1514" s="2">
        <v>23687</v>
      </c>
      <c r="B1514" s="1" t="s">
        <v>635</v>
      </c>
      <c r="C1514" s="1" t="s">
        <v>636</v>
      </c>
      <c r="D1514" s="3" t="s">
        <v>2</v>
      </c>
      <c r="E1514" s="3" t="s">
        <v>7</v>
      </c>
      <c r="F1514" s="6" t="s">
        <v>119</v>
      </c>
    </row>
    <row r="1515" spans="1:9">
      <c r="A1515" s="2">
        <v>23687</v>
      </c>
      <c r="B1515" s="1" t="s">
        <v>167</v>
      </c>
      <c r="C1515" s="1" t="s">
        <v>173</v>
      </c>
      <c r="D1515" s="3" t="s">
        <v>2</v>
      </c>
      <c r="E1515" s="3" t="s">
        <v>7</v>
      </c>
      <c r="F1515" s="6" t="s">
        <v>119</v>
      </c>
    </row>
    <row r="1516" spans="1:9">
      <c r="A1516" s="68">
        <v>23688</v>
      </c>
      <c r="B1516" s="69"/>
      <c r="C1516" s="69"/>
      <c r="D1516" s="70"/>
      <c r="E1516" s="70"/>
      <c r="F1516" s="71"/>
      <c r="G1516" s="71"/>
      <c r="H1516" s="69"/>
      <c r="I1516" s="69"/>
    </row>
    <row r="1517" spans="1:9">
      <c r="A1517" s="2">
        <v>23687</v>
      </c>
      <c r="B1517" s="1" t="s">
        <v>58</v>
      </c>
      <c r="C1517" s="1" t="s">
        <v>214</v>
      </c>
      <c r="D1517" s="3" t="s">
        <v>1</v>
      </c>
      <c r="E1517" s="3" t="s">
        <v>6</v>
      </c>
      <c r="F1517" s="6" t="s">
        <v>110</v>
      </c>
    </row>
    <row r="1518" spans="1:9">
      <c r="A1518" s="2">
        <v>23687</v>
      </c>
      <c r="B1518" s="1" t="s">
        <v>480</v>
      </c>
      <c r="C1518" s="1" t="s">
        <v>481</v>
      </c>
      <c r="D1518" s="3" t="s">
        <v>1</v>
      </c>
      <c r="E1518" s="3" t="s">
        <v>6</v>
      </c>
      <c r="F1518" s="6" t="s">
        <v>110</v>
      </c>
    </row>
    <row r="1519" spans="1:9">
      <c r="A1519" s="2">
        <v>23687</v>
      </c>
      <c r="B1519" s="1" t="s">
        <v>228</v>
      </c>
      <c r="C1519" s="1" t="s">
        <v>235</v>
      </c>
      <c r="D1519" s="3" t="s">
        <v>1</v>
      </c>
      <c r="E1519" s="3" t="s">
        <v>6</v>
      </c>
      <c r="F1519" s="6" t="s">
        <v>110</v>
      </c>
    </row>
    <row r="1520" spans="1:9">
      <c r="A1520" s="2">
        <v>23688</v>
      </c>
      <c r="B1520" s="1" t="s">
        <v>208</v>
      </c>
      <c r="C1520" s="1" t="s">
        <v>342</v>
      </c>
      <c r="D1520" s="3" t="s">
        <v>1</v>
      </c>
      <c r="E1520" s="3" t="s">
        <v>6</v>
      </c>
      <c r="F1520" s="6" t="s">
        <v>110</v>
      </c>
    </row>
    <row r="1521" spans="1:9">
      <c r="A1521" s="2">
        <v>23687</v>
      </c>
      <c r="B1521" s="1" t="s">
        <v>635</v>
      </c>
      <c r="C1521" s="1" t="s">
        <v>636</v>
      </c>
      <c r="D1521" s="3" t="s">
        <v>2</v>
      </c>
      <c r="E1521" s="3" t="s">
        <v>7</v>
      </c>
      <c r="F1521" s="6" t="s">
        <v>119</v>
      </c>
    </row>
    <row r="1522" spans="1:9">
      <c r="A1522" s="2">
        <v>23688</v>
      </c>
      <c r="B1522" s="1" t="s">
        <v>329</v>
      </c>
      <c r="C1522" s="1" t="s">
        <v>331</v>
      </c>
      <c r="D1522" s="3" t="s">
        <v>2</v>
      </c>
      <c r="E1522" s="3" t="s">
        <v>7</v>
      </c>
      <c r="F1522" s="6" t="s">
        <v>119</v>
      </c>
    </row>
    <row r="1523" spans="1:9">
      <c r="A1523" s="68">
        <v>23689</v>
      </c>
      <c r="B1523" s="69"/>
      <c r="C1523" s="69"/>
      <c r="D1523" s="70"/>
      <c r="E1523" s="70"/>
      <c r="F1523" s="71"/>
      <c r="G1523" s="71"/>
      <c r="H1523" s="69"/>
      <c r="I1523" s="69"/>
    </row>
    <row r="1524" spans="1:9">
      <c r="A1524" s="2">
        <v>23689</v>
      </c>
      <c r="B1524" s="1" t="s">
        <v>438</v>
      </c>
      <c r="C1524" s="1" t="s">
        <v>269</v>
      </c>
      <c r="D1524" s="3" t="s">
        <v>1</v>
      </c>
      <c r="E1524" s="3" t="s">
        <v>6</v>
      </c>
      <c r="F1524" s="6" t="s">
        <v>110</v>
      </c>
    </row>
    <row r="1525" spans="1:9">
      <c r="A1525" s="2">
        <v>23687</v>
      </c>
      <c r="B1525" s="1" t="s">
        <v>635</v>
      </c>
      <c r="C1525" s="1" t="s">
        <v>636</v>
      </c>
      <c r="D1525" s="3" t="s">
        <v>2</v>
      </c>
      <c r="E1525" s="3" t="s">
        <v>7</v>
      </c>
      <c r="F1525" s="6" t="s">
        <v>119</v>
      </c>
    </row>
    <row r="1526" spans="1:9">
      <c r="A1526" s="2">
        <v>23688</v>
      </c>
      <c r="B1526" s="1" t="s">
        <v>329</v>
      </c>
      <c r="C1526" s="1" t="s">
        <v>331</v>
      </c>
      <c r="D1526" s="3" t="s">
        <v>2</v>
      </c>
      <c r="E1526" s="3" t="s">
        <v>7</v>
      </c>
      <c r="F1526" s="6" t="s">
        <v>119</v>
      </c>
    </row>
    <row r="1527" spans="1:9">
      <c r="A1527" s="2">
        <v>23689</v>
      </c>
      <c r="B1527" s="1" t="s">
        <v>11</v>
      </c>
      <c r="C1527" s="1" t="s">
        <v>25</v>
      </c>
      <c r="D1527" s="3" t="s">
        <v>2</v>
      </c>
      <c r="E1527" s="3" t="s">
        <v>7</v>
      </c>
      <c r="F1527" s="6" t="s">
        <v>119</v>
      </c>
    </row>
    <row r="1528" spans="1:9">
      <c r="A1528" s="2">
        <v>23689</v>
      </c>
      <c r="B1528" s="1" t="s">
        <v>529</v>
      </c>
      <c r="C1528" s="1" t="s">
        <v>531</v>
      </c>
      <c r="D1528" s="3" t="s">
        <v>2</v>
      </c>
      <c r="E1528" s="3" t="s">
        <v>7</v>
      </c>
      <c r="F1528" s="6" t="s">
        <v>119</v>
      </c>
    </row>
    <row r="1529" spans="1:9">
      <c r="A1529" s="68">
        <v>23690</v>
      </c>
      <c r="B1529" s="69"/>
      <c r="C1529" s="69"/>
      <c r="D1529" s="70"/>
      <c r="E1529" s="70"/>
      <c r="F1529" s="71"/>
      <c r="G1529" s="71"/>
      <c r="H1529" s="69"/>
      <c r="I1529" s="69"/>
    </row>
    <row r="1530" spans="1:9">
      <c r="A1530" s="2">
        <v>23690</v>
      </c>
      <c r="B1530" s="1" t="s">
        <v>167</v>
      </c>
      <c r="C1530" s="1" t="s">
        <v>173</v>
      </c>
      <c r="D1530" s="3" t="s">
        <v>1</v>
      </c>
      <c r="E1530" s="3" t="s">
        <v>6</v>
      </c>
      <c r="F1530" s="6" t="s">
        <v>110</v>
      </c>
    </row>
    <row r="1531" spans="1:9">
      <c r="A1531" s="2">
        <v>23690</v>
      </c>
      <c r="B1531" s="1" t="s">
        <v>480</v>
      </c>
      <c r="C1531" s="1" t="s">
        <v>481</v>
      </c>
      <c r="D1531" s="3" t="s">
        <v>1</v>
      </c>
      <c r="E1531" s="3" t="s">
        <v>6</v>
      </c>
      <c r="F1531" s="6" t="s">
        <v>110</v>
      </c>
    </row>
    <row r="1532" spans="1:9">
      <c r="A1532" s="2">
        <v>23690</v>
      </c>
      <c r="B1532" s="1" t="s">
        <v>322</v>
      </c>
      <c r="C1532" s="1" t="s">
        <v>637</v>
      </c>
      <c r="D1532" s="3" t="s">
        <v>2</v>
      </c>
      <c r="E1532" s="3" t="s">
        <v>7</v>
      </c>
      <c r="F1532" s="6" t="s">
        <v>119</v>
      </c>
    </row>
    <row r="1533" spans="1:9">
      <c r="A1533" s="68">
        <v>23693</v>
      </c>
      <c r="B1533" s="69"/>
      <c r="C1533" s="69"/>
      <c r="D1533" s="70"/>
      <c r="E1533" s="70"/>
      <c r="F1533" s="71"/>
      <c r="G1533" s="71"/>
      <c r="H1533" s="69"/>
      <c r="I1533" s="69"/>
    </row>
    <row r="1534" spans="1:9">
      <c r="A1534" s="2">
        <v>23690</v>
      </c>
      <c r="B1534" s="1" t="s">
        <v>167</v>
      </c>
      <c r="C1534" s="1" t="s">
        <v>173</v>
      </c>
      <c r="D1534" s="3" t="s">
        <v>1</v>
      </c>
      <c r="E1534" s="3" t="s">
        <v>6</v>
      </c>
      <c r="F1534" s="6" t="s">
        <v>110</v>
      </c>
    </row>
    <row r="1535" spans="1:9">
      <c r="A1535" s="68">
        <v>23694</v>
      </c>
      <c r="B1535" s="69"/>
      <c r="C1535" s="69"/>
      <c r="D1535" s="70"/>
      <c r="E1535" s="70"/>
      <c r="F1535" s="71"/>
      <c r="G1535" s="71"/>
      <c r="H1535" s="69"/>
      <c r="I1535" s="69"/>
    </row>
    <row r="1536" spans="1:9">
      <c r="A1536" s="2">
        <v>23694</v>
      </c>
      <c r="B1536" s="1" t="s">
        <v>371</v>
      </c>
      <c r="C1536" s="1" t="s">
        <v>430</v>
      </c>
      <c r="D1536" s="3" t="s">
        <v>1</v>
      </c>
      <c r="E1536" s="3" t="s">
        <v>6</v>
      </c>
      <c r="F1536" s="6" t="s">
        <v>110</v>
      </c>
    </row>
    <row r="1537" spans="1:9">
      <c r="A1537" s="2">
        <v>23694</v>
      </c>
      <c r="B1537" s="1" t="s">
        <v>159</v>
      </c>
      <c r="C1537" s="1" t="s">
        <v>158</v>
      </c>
      <c r="D1537" s="3" t="s">
        <v>1</v>
      </c>
      <c r="E1537" s="3" t="s">
        <v>6</v>
      </c>
      <c r="F1537" s="6" t="s">
        <v>110</v>
      </c>
    </row>
    <row r="1538" spans="1:9">
      <c r="A1538" s="2">
        <v>23694</v>
      </c>
      <c r="B1538" s="1" t="s">
        <v>219</v>
      </c>
      <c r="C1538" s="1" t="s">
        <v>638</v>
      </c>
      <c r="D1538" s="3" t="s">
        <v>1</v>
      </c>
      <c r="E1538" s="3" t="s">
        <v>6</v>
      </c>
      <c r="F1538" s="6" t="s">
        <v>110</v>
      </c>
    </row>
    <row r="1539" spans="1:9">
      <c r="A1539" s="2">
        <v>23694</v>
      </c>
      <c r="B1539" s="1" t="s">
        <v>300</v>
      </c>
      <c r="C1539" s="1" t="s">
        <v>639</v>
      </c>
      <c r="D1539" s="3" t="s">
        <v>2</v>
      </c>
      <c r="E1539" s="3" t="s">
        <v>7</v>
      </c>
      <c r="F1539" s="6" t="s">
        <v>119</v>
      </c>
    </row>
    <row r="1540" spans="1:9">
      <c r="A1540" s="68">
        <v>44515</v>
      </c>
      <c r="B1540" s="69"/>
      <c r="C1540" s="69"/>
      <c r="D1540" s="70"/>
      <c r="E1540" s="70"/>
      <c r="F1540" s="71"/>
      <c r="G1540" s="71"/>
      <c r="H1540" s="69"/>
      <c r="I1540" s="69"/>
    </row>
    <row r="1541" spans="1:9">
      <c r="A1541" s="2">
        <v>23694</v>
      </c>
      <c r="B1541" s="1" t="s">
        <v>159</v>
      </c>
      <c r="C1541" s="1" t="s">
        <v>158</v>
      </c>
      <c r="D1541" s="3" t="s">
        <v>1</v>
      </c>
      <c r="E1541" s="3" t="s">
        <v>6</v>
      </c>
      <c r="F1541" s="6" t="s">
        <v>110</v>
      </c>
    </row>
    <row r="1542" spans="1:9">
      <c r="A1542" s="2">
        <v>44515</v>
      </c>
      <c r="B1542" s="1" t="s">
        <v>420</v>
      </c>
      <c r="C1542" s="1" t="s">
        <v>224</v>
      </c>
      <c r="D1542" s="3" t="s">
        <v>1</v>
      </c>
      <c r="E1542" s="3" t="s">
        <v>6</v>
      </c>
      <c r="F1542" s="6" t="s">
        <v>110</v>
      </c>
    </row>
    <row r="1543" spans="1:9">
      <c r="A1543" s="2">
        <v>44515</v>
      </c>
      <c r="B1543" s="1" t="s">
        <v>521</v>
      </c>
      <c r="C1543" s="1" t="s">
        <v>224</v>
      </c>
      <c r="D1543" s="3" t="s">
        <v>1</v>
      </c>
      <c r="E1543" s="3" t="s">
        <v>6</v>
      </c>
      <c r="F1543" s="6" t="s">
        <v>110</v>
      </c>
    </row>
    <row r="1544" spans="1:9">
      <c r="A1544" s="2">
        <v>44515</v>
      </c>
      <c r="B1544" s="1" t="s">
        <v>640</v>
      </c>
      <c r="C1544" s="1" t="s">
        <v>642</v>
      </c>
      <c r="D1544" s="3" t="s">
        <v>1</v>
      </c>
      <c r="E1544" s="3" t="s">
        <v>6</v>
      </c>
      <c r="F1544" s="6" t="s">
        <v>110</v>
      </c>
    </row>
    <row r="1545" spans="1:9">
      <c r="A1545" s="2">
        <v>44515</v>
      </c>
      <c r="B1545" s="1" t="s">
        <v>451</v>
      </c>
      <c r="C1545" s="1" t="s">
        <v>104</v>
      </c>
      <c r="D1545" s="3" t="s">
        <v>1</v>
      </c>
      <c r="E1545" s="3" t="s">
        <v>6</v>
      </c>
      <c r="F1545" s="6" t="s">
        <v>110</v>
      </c>
    </row>
    <row r="1546" spans="1:9">
      <c r="A1546" s="2">
        <v>44515</v>
      </c>
      <c r="B1546" s="1" t="s">
        <v>300</v>
      </c>
      <c r="C1546" s="1" t="s">
        <v>639</v>
      </c>
      <c r="D1546" s="3" t="s">
        <v>2</v>
      </c>
      <c r="E1546" s="3" t="s">
        <v>7</v>
      </c>
      <c r="F1546" s="6" t="s">
        <v>119</v>
      </c>
    </row>
    <row r="1547" spans="1:9">
      <c r="A1547" s="2">
        <v>44515</v>
      </c>
      <c r="B1547" s="1" t="s">
        <v>641</v>
      </c>
      <c r="C1547" s="1" t="s">
        <v>124</v>
      </c>
      <c r="D1547" s="3" t="s">
        <v>2</v>
      </c>
      <c r="E1547" s="3" t="s">
        <v>7</v>
      </c>
      <c r="F1547" s="6" t="s">
        <v>119</v>
      </c>
    </row>
    <row r="1548" spans="1:9">
      <c r="A1548" s="2">
        <v>44515</v>
      </c>
      <c r="B1548" s="1" t="s">
        <v>136</v>
      </c>
      <c r="C1548" s="1" t="s">
        <v>137</v>
      </c>
      <c r="D1548" s="3" t="s">
        <v>2</v>
      </c>
      <c r="E1548" s="3" t="s">
        <v>7</v>
      </c>
      <c r="F1548" s="6" t="s">
        <v>119</v>
      </c>
    </row>
    <row r="1549" spans="1:9">
      <c r="A1549" s="68">
        <v>23697</v>
      </c>
      <c r="B1549" s="69"/>
      <c r="C1549" s="69"/>
      <c r="D1549" s="70"/>
      <c r="E1549" s="70"/>
      <c r="F1549" s="71"/>
      <c r="G1549" s="71"/>
      <c r="H1549" s="69"/>
      <c r="I1549" s="69"/>
    </row>
    <row r="1550" spans="1:9">
      <c r="A1550" s="2">
        <v>23694</v>
      </c>
      <c r="B1550" s="1" t="s">
        <v>159</v>
      </c>
      <c r="C1550" s="1" t="s">
        <v>158</v>
      </c>
      <c r="D1550" s="3" t="s">
        <v>1</v>
      </c>
      <c r="E1550" s="3" t="s">
        <v>6</v>
      </c>
      <c r="F1550" s="6" t="s">
        <v>643</v>
      </c>
    </row>
    <row r="1551" spans="1:9">
      <c r="A1551" s="2">
        <v>44515</v>
      </c>
      <c r="B1551" s="1" t="s">
        <v>451</v>
      </c>
      <c r="C1551" s="1" t="s">
        <v>104</v>
      </c>
      <c r="D1551" s="3" t="s">
        <v>2</v>
      </c>
      <c r="E1551" s="3" t="s">
        <v>7</v>
      </c>
      <c r="F1551" s="6" t="s">
        <v>119</v>
      </c>
    </row>
    <row r="1552" spans="1:9">
      <c r="A1552" s="2">
        <v>44516</v>
      </c>
      <c r="B1552" s="1" t="s">
        <v>300</v>
      </c>
      <c r="C1552" s="1" t="s">
        <v>639</v>
      </c>
      <c r="D1552" s="3" t="s">
        <v>2</v>
      </c>
      <c r="E1552" s="3" t="s">
        <v>7</v>
      </c>
      <c r="F1552" s="6" t="s">
        <v>119</v>
      </c>
    </row>
    <row r="1553" spans="1:9">
      <c r="A1553" s="2">
        <v>44516</v>
      </c>
      <c r="B1553" s="1" t="s">
        <v>303</v>
      </c>
      <c r="C1553" s="1" t="s">
        <v>185</v>
      </c>
      <c r="D1553" s="3" t="s">
        <v>2</v>
      </c>
      <c r="E1553" s="3" t="s">
        <v>7</v>
      </c>
      <c r="F1553" s="6" t="s">
        <v>119</v>
      </c>
    </row>
    <row r="1554" spans="1:9">
      <c r="A1554" s="2">
        <v>44516</v>
      </c>
      <c r="B1554" s="1" t="s">
        <v>644</v>
      </c>
      <c r="C1554" s="1" t="s">
        <v>124</v>
      </c>
      <c r="D1554" s="3" t="s">
        <v>2</v>
      </c>
      <c r="E1554" s="3" t="s">
        <v>7</v>
      </c>
      <c r="F1554" s="6" t="s">
        <v>119</v>
      </c>
    </row>
    <row r="1555" spans="1:9">
      <c r="A1555" s="68">
        <v>23698</v>
      </c>
      <c r="B1555" s="69"/>
      <c r="C1555" s="69"/>
      <c r="D1555" s="70"/>
      <c r="E1555" s="70"/>
      <c r="F1555" s="71"/>
      <c r="G1555" s="71"/>
      <c r="H1555" s="69"/>
      <c r="I1555" s="69"/>
    </row>
    <row r="1556" spans="1:9">
      <c r="A1556" s="2">
        <v>23694</v>
      </c>
      <c r="B1556" s="1" t="s">
        <v>159</v>
      </c>
      <c r="C1556" s="1" t="s">
        <v>158</v>
      </c>
      <c r="D1556" s="3" t="s">
        <v>1</v>
      </c>
      <c r="E1556" s="3" t="s">
        <v>6</v>
      </c>
      <c r="F1556" s="6" t="s">
        <v>643</v>
      </c>
    </row>
    <row r="1557" spans="1:9">
      <c r="A1557" s="2">
        <v>23698</v>
      </c>
      <c r="B1557" s="1" t="s">
        <v>57</v>
      </c>
      <c r="C1557" s="1" t="s">
        <v>64</v>
      </c>
      <c r="D1557" s="3" t="s">
        <v>1</v>
      </c>
      <c r="E1557" s="3" t="s">
        <v>6</v>
      </c>
      <c r="F1557" s="6" t="s">
        <v>110</v>
      </c>
    </row>
    <row r="1558" spans="1:9">
      <c r="A1558" s="2">
        <v>23698</v>
      </c>
      <c r="B1558" s="1" t="s">
        <v>167</v>
      </c>
      <c r="C1558" s="1" t="s">
        <v>173</v>
      </c>
      <c r="D1558" s="3" t="s">
        <v>1</v>
      </c>
      <c r="E1558" s="3" t="s">
        <v>6</v>
      </c>
      <c r="F1558" s="6" t="s">
        <v>110</v>
      </c>
    </row>
    <row r="1559" spans="1:9">
      <c r="A1559" s="2">
        <v>23698</v>
      </c>
      <c r="B1559" s="1" t="s">
        <v>446</v>
      </c>
      <c r="C1559" s="1" t="s">
        <v>448</v>
      </c>
      <c r="D1559" s="3" t="s">
        <v>1</v>
      </c>
      <c r="E1559" s="3" t="s">
        <v>6</v>
      </c>
      <c r="F1559" s="6" t="s">
        <v>110</v>
      </c>
    </row>
    <row r="1560" spans="1:9">
      <c r="A1560" s="2">
        <v>23698</v>
      </c>
      <c r="B1560" s="1" t="s">
        <v>447</v>
      </c>
      <c r="C1560" s="1" t="s">
        <v>448</v>
      </c>
      <c r="D1560" s="3" t="s">
        <v>1</v>
      </c>
      <c r="E1560" s="3" t="s">
        <v>6</v>
      </c>
      <c r="F1560" s="6" t="s">
        <v>110</v>
      </c>
    </row>
    <row r="1561" spans="1:9">
      <c r="A1561" s="2">
        <v>23698</v>
      </c>
      <c r="B1561" s="1" t="s">
        <v>219</v>
      </c>
      <c r="C1561" s="1" t="s">
        <v>218</v>
      </c>
      <c r="D1561" s="3" t="s">
        <v>1</v>
      </c>
      <c r="E1561" s="3" t="s">
        <v>6</v>
      </c>
      <c r="F1561" s="6" t="s">
        <v>110</v>
      </c>
    </row>
    <row r="1562" spans="1:9">
      <c r="A1562" s="68">
        <v>23699</v>
      </c>
      <c r="B1562" s="69"/>
      <c r="C1562" s="69"/>
      <c r="D1562" s="70"/>
      <c r="E1562" s="70"/>
      <c r="F1562" s="71"/>
      <c r="G1562" s="71"/>
      <c r="H1562" s="69"/>
      <c r="I1562" s="69"/>
    </row>
    <row r="1563" spans="1:9">
      <c r="A1563" s="2">
        <v>44518</v>
      </c>
      <c r="B1563" s="1" t="s">
        <v>451</v>
      </c>
      <c r="C1563" s="1" t="s">
        <v>104</v>
      </c>
      <c r="D1563" s="3" t="s">
        <v>2</v>
      </c>
      <c r="E1563" s="3" t="s">
        <v>7</v>
      </c>
      <c r="F1563" s="6" t="s">
        <v>119</v>
      </c>
    </row>
    <row r="1564" spans="1:9">
      <c r="A1564" s="2">
        <v>44518</v>
      </c>
      <c r="B1564" s="1" t="s">
        <v>11</v>
      </c>
      <c r="C1564" s="1" t="s">
        <v>25</v>
      </c>
      <c r="D1564" s="3" t="s">
        <v>2</v>
      </c>
      <c r="E1564" s="3" t="s">
        <v>7</v>
      </c>
      <c r="F1564" s="6" t="s">
        <v>119</v>
      </c>
    </row>
    <row r="1565" spans="1:9">
      <c r="A1565" s="2">
        <v>44518</v>
      </c>
      <c r="B1565" s="1" t="s">
        <v>568</v>
      </c>
      <c r="C1565" s="1" t="s">
        <v>645</v>
      </c>
      <c r="D1565" s="3" t="s">
        <v>2</v>
      </c>
      <c r="E1565" s="3" t="s">
        <v>7</v>
      </c>
      <c r="F1565" s="6" t="s">
        <v>119</v>
      </c>
    </row>
    <row r="1566" spans="1:9">
      <c r="A1566" s="2">
        <v>44518</v>
      </c>
      <c r="B1566" s="1" t="s">
        <v>438</v>
      </c>
      <c r="C1566" s="1" t="s">
        <v>269</v>
      </c>
      <c r="D1566" s="3" t="s">
        <v>2</v>
      </c>
      <c r="E1566" s="3" t="s">
        <v>7</v>
      </c>
      <c r="F1566" s="6" t="s">
        <v>119</v>
      </c>
    </row>
    <row r="1567" spans="1:9">
      <c r="A1567" s="68">
        <v>23700</v>
      </c>
      <c r="B1567" s="69"/>
      <c r="C1567" s="69"/>
      <c r="D1567" s="70"/>
      <c r="E1567" s="70"/>
      <c r="F1567" s="71"/>
      <c r="G1567" s="71"/>
      <c r="H1567" s="69"/>
      <c r="I1567" s="69"/>
    </row>
    <row r="1568" spans="1:9">
      <c r="A1568" s="2">
        <v>23700</v>
      </c>
      <c r="B1568" s="1" t="s">
        <v>646</v>
      </c>
      <c r="C1568" s="1" t="s">
        <v>524</v>
      </c>
      <c r="D1568" s="3" t="s">
        <v>2</v>
      </c>
      <c r="E1568" s="3" t="s">
        <v>7</v>
      </c>
      <c r="F1568" s="6" t="s">
        <v>119</v>
      </c>
    </row>
    <row r="1569" spans="1:9">
      <c r="A1569" s="2">
        <v>23700</v>
      </c>
      <c r="B1569" s="1" t="s">
        <v>140</v>
      </c>
      <c r="C1569" s="1" t="s">
        <v>139</v>
      </c>
      <c r="D1569" s="3" t="s">
        <v>2</v>
      </c>
      <c r="E1569" s="3" t="s">
        <v>7</v>
      </c>
      <c r="F1569" s="6" t="s">
        <v>119</v>
      </c>
    </row>
    <row r="1570" spans="1:9">
      <c r="A1570" s="68">
        <v>23703</v>
      </c>
      <c r="B1570" s="69"/>
      <c r="C1570" s="69"/>
      <c r="D1570" s="70"/>
      <c r="E1570" s="70"/>
      <c r="F1570" s="71"/>
      <c r="G1570" s="71"/>
      <c r="H1570" s="69"/>
      <c r="I1570" s="69"/>
    </row>
    <row r="1571" spans="1:9">
      <c r="A1571" s="2">
        <v>23702</v>
      </c>
      <c r="B1571" s="1" t="s">
        <v>78</v>
      </c>
      <c r="C1571" s="1" t="s">
        <v>85</v>
      </c>
      <c r="D1571" s="3" t="s">
        <v>1</v>
      </c>
      <c r="E1571" s="3" t="s">
        <v>6</v>
      </c>
      <c r="F1571" s="6" t="s">
        <v>110</v>
      </c>
    </row>
    <row r="1572" spans="1:9">
      <c r="A1572" s="2">
        <v>23702</v>
      </c>
      <c r="B1572" s="1" t="s">
        <v>427</v>
      </c>
      <c r="C1572" s="1" t="s">
        <v>213</v>
      </c>
      <c r="D1572" s="3" t="s">
        <v>1</v>
      </c>
      <c r="E1572" s="3" t="s">
        <v>6</v>
      </c>
      <c r="F1572" s="6" t="s">
        <v>110</v>
      </c>
    </row>
    <row r="1573" spans="1:9">
      <c r="A1573" s="2">
        <v>23702</v>
      </c>
      <c r="B1573" s="1" t="s">
        <v>209</v>
      </c>
      <c r="C1573" s="1" t="s">
        <v>213</v>
      </c>
      <c r="D1573" s="3" t="s">
        <v>1</v>
      </c>
      <c r="E1573" s="3" t="s">
        <v>6</v>
      </c>
      <c r="F1573" s="6" t="s">
        <v>110</v>
      </c>
    </row>
    <row r="1574" spans="1:9">
      <c r="A1574" s="68">
        <v>23704</v>
      </c>
      <c r="B1574" s="69"/>
      <c r="C1574" s="69"/>
      <c r="D1574" s="70"/>
      <c r="E1574" s="70"/>
      <c r="F1574" s="71"/>
      <c r="G1574" s="71"/>
      <c r="H1574" s="69"/>
      <c r="I1574" s="69"/>
    </row>
    <row r="1575" spans="1:9">
      <c r="A1575" s="2">
        <v>23702</v>
      </c>
      <c r="B1575" s="1" t="s">
        <v>78</v>
      </c>
      <c r="C1575" s="1" t="s">
        <v>85</v>
      </c>
      <c r="D1575" s="3" t="s">
        <v>1</v>
      </c>
      <c r="E1575" s="3" t="s">
        <v>6</v>
      </c>
      <c r="F1575" s="6" t="s">
        <v>110</v>
      </c>
    </row>
    <row r="1576" spans="1:9">
      <c r="A1576" s="2">
        <v>23702</v>
      </c>
      <c r="B1576" s="1" t="s">
        <v>427</v>
      </c>
      <c r="C1576" s="1" t="s">
        <v>213</v>
      </c>
      <c r="D1576" s="3" t="s">
        <v>1</v>
      </c>
      <c r="E1576" s="3" t="s">
        <v>6</v>
      </c>
      <c r="F1576" s="6" t="s">
        <v>110</v>
      </c>
    </row>
    <row r="1577" spans="1:9">
      <c r="A1577" s="2">
        <v>23702</v>
      </c>
      <c r="B1577" s="1" t="s">
        <v>209</v>
      </c>
      <c r="C1577" s="1" t="s">
        <v>213</v>
      </c>
      <c r="D1577" s="3" t="s">
        <v>1</v>
      </c>
      <c r="E1577" s="3" t="s">
        <v>6</v>
      </c>
      <c r="F1577" s="6" t="s">
        <v>110</v>
      </c>
    </row>
    <row r="1578" spans="1:9">
      <c r="A1578" s="2">
        <v>23704</v>
      </c>
      <c r="B1578" s="1" t="s">
        <v>233</v>
      </c>
      <c r="C1578" s="1" t="s">
        <v>408</v>
      </c>
      <c r="D1578" s="3" t="s">
        <v>2</v>
      </c>
      <c r="E1578" s="3" t="s">
        <v>7</v>
      </c>
      <c r="F1578" s="6" t="s">
        <v>649</v>
      </c>
    </row>
    <row r="1579" spans="1:9">
      <c r="A1579" s="2">
        <v>23704</v>
      </c>
      <c r="B1579" s="1" t="s">
        <v>647</v>
      </c>
      <c r="C1579" s="1" t="s">
        <v>648</v>
      </c>
      <c r="D1579" s="3" t="s">
        <v>2</v>
      </c>
      <c r="E1579" s="3" t="s">
        <v>7</v>
      </c>
      <c r="F1579" s="6" t="s">
        <v>649</v>
      </c>
    </row>
    <row r="1580" spans="1:9">
      <c r="A1580" s="68">
        <v>23705</v>
      </c>
      <c r="B1580" s="69"/>
      <c r="C1580" s="69"/>
      <c r="D1580" s="70"/>
      <c r="E1580" s="70"/>
      <c r="F1580" s="71"/>
      <c r="G1580" s="71"/>
      <c r="H1580" s="69"/>
      <c r="I1580" s="69"/>
    </row>
    <row r="1581" spans="1:9">
      <c r="A1581" s="2">
        <v>23705</v>
      </c>
      <c r="B1581" s="1" t="s">
        <v>529</v>
      </c>
      <c r="C1581" s="1" t="s">
        <v>531</v>
      </c>
      <c r="D1581" s="3" t="s">
        <v>2</v>
      </c>
      <c r="E1581" s="3" t="s">
        <v>7</v>
      </c>
      <c r="F1581" s="6" t="s">
        <v>119</v>
      </c>
    </row>
    <row r="1582" spans="1:9">
      <c r="A1582" s="2">
        <v>23705</v>
      </c>
      <c r="B1582" s="1" t="s">
        <v>196</v>
      </c>
      <c r="C1582" s="1" t="s">
        <v>312</v>
      </c>
      <c r="D1582" s="3" t="s">
        <v>2</v>
      </c>
      <c r="E1582" s="3" t="s">
        <v>7</v>
      </c>
      <c r="F1582" s="6" t="s">
        <v>119</v>
      </c>
    </row>
    <row r="1583" spans="1:9">
      <c r="A1583" s="2">
        <v>23705</v>
      </c>
      <c r="B1583" s="1" t="s">
        <v>302</v>
      </c>
      <c r="C1583" s="1" t="s">
        <v>127</v>
      </c>
      <c r="D1583" s="3" t="s">
        <v>2</v>
      </c>
      <c r="E1583" s="3" t="s">
        <v>7</v>
      </c>
      <c r="F1583" s="6" t="s">
        <v>119</v>
      </c>
    </row>
    <row r="1584" spans="1:9">
      <c r="A1584" s="2">
        <v>23705</v>
      </c>
      <c r="B1584" s="1" t="s">
        <v>78</v>
      </c>
      <c r="C1584" s="1" t="s">
        <v>85</v>
      </c>
      <c r="D1584" s="3" t="s">
        <v>2</v>
      </c>
      <c r="E1584" s="3" t="s">
        <v>7</v>
      </c>
      <c r="F1584" s="6" t="s">
        <v>119</v>
      </c>
    </row>
    <row r="1585" spans="1:9">
      <c r="A1585" s="2">
        <v>23705</v>
      </c>
      <c r="B1585" s="1" t="s">
        <v>93</v>
      </c>
      <c r="C1585" s="1" t="s">
        <v>91</v>
      </c>
      <c r="D1585" s="3" t="s">
        <v>2</v>
      </c>
      <c r="E1585" s="3" t="s">
        <v>7</v>
      </c>
      <c r="F1585" s="6" t="s">
        <v>119</v>
      </c>
    </row>
    <row r="1586" spans="1:9">
      <c r="A1586" s="68">
        <v>23706</v>
      </c>
      <c r="B1586" s="69"/>
      <c r="C1586" s="69"/>
      <c r="D1586" s="70"/>
      <c r="E1586" s="70"/>
      <c r="F1586" s="71"/>
      <c r="G1586" s="71"/>
      <c r="H1586" s="69"/>
      <c r="I1586" s="69"/>
    </row>
    <row r="1587" spans="1:9">
      <c r="A1587" s="2">
        <v>23706</v>
      </c>
      <c r="B1587" s="1" t="s">
        <v>438</v>
      </c>
      <c r="C1587" s="1" t="s">
        <v>269</v>
      </c>
      <c r="D1587" s="3" t="s">
        <v>2</v>
      </c>
      <c r="E1587" s="3" t="s">
        <v>7</v>
      </c>
      <c r="F1587" s="6" t="s">
        <v>119</v>
      </c>
    </row>
    <row r="1588" spans="1:9">
      <c r="A1588" s="68">
        <v>23708</v>
      </c>
      <c r="B1588" s="69"/>
      <c r="C1588" s="69"/>
      <c r="D1588" s="70"/>
      <c r="E1588" s="70"/>
      <c r="F1588" s="71"/>
      <c r="G1588" s="71"/>
      <c r="H1588" s="69"/>
      <c r="I1588" s="69"/>
    </row>
    <row r="1589" spans="1:9">
      <c r="A1589" s="2">
        <v>23708</v>
      </c>
      <c r="B1589" s="1" t="s">
        <v>650</v>
      </c>
      <c r="C1589" s="1" t="s">
        <v>652</v>
      </c>
      <c r="D1589" s="3" t="s">
        <v>2</v>
      </c>
      <c r="E1589" s="3" t="s">
        <v>7</v>
      </c>
      <c r="F1589" s="6" t="s">
        <v>119</v>
      </c>
    </row>
    <row r="1590" spans="1:9">
      <c r="A1590" s="2">
        <v>23708</v>
      </c>
      <c r="B1590" s="1" t="s">
        <v>651</v>
      </c>
      <c r="C1590" s="1" t="s">
        <v>653</v>
      </c>
      <c r="D1590" s="3" t="s">
        <v>2</v>
      </c>
      <c r="E1590" s="3" t="s">
        <v>7</v>
      </c>
      <c r="F1590" s="6" t="s">
        <v>119</v>
      </c>
    </row>
    <row r="1591" spans="1:9">
      <c r="A1591" s="2">
        <v>23708</v>
      </c>
      <c r="B1591" s="1" t="s">
        <v>10</v>
      </c>
      <c r="C1591" s="1" t="s">
        <v>118</v>
      </c>
      <c r="D1591" s="3" t="s">
        <v>2</v>
      </c>
      <c r="E1591" s="3" t="s">
        <v>7</v>
      </c>
      <c r="F1591" s="6" t="s">
        <v>119</v>
      </c>
    </row>
    <row r="1592" spans="1:9">
      <c r="A1592" s="68">
        <v>23710</v>
      </c>
      <c r="B1592" s="69"/>
      <c r="C1592" s="69"/>
      <c r="D1592" s="70"/>
      <c r="E1592" s="70"/>
      <c r="F1592" s="71"/>
      <c r="G1592" s="71"/>
      <c r="H1592" s="69"/>
      <c r="I1592" s="69"/>
    </row>
    <row r="1593" spans="1:9">
      <c r="A1593" s="2">
        <v>23709</v>
      </c>
      <c r="B1593" s="1" t="s">
        <v>654</v>
      </c>
      <c r="C1593" s="1" t="s">
        <v>653</v>
      </c>
      <c r="D1593" s="3" t="s">
        <v>1</v>
      </c>
      <c r="E1593" s="3" t="s">
        <v>6</v>
      </c>
      <c r="F1593" s="6" t="s">
        <v>110</v>
      </c>
    </row>
    <row r="1594" spans="1:9">
      <c r="A1594" s="2">
        <v>23709</v>
      </c>
      <c r="B1594" s="1" t="s">
        <v>208</v>
      </c>
      <c r="C1594" s="1" t="s">
        <v>212</v>
      </c>
      <c r="D1594" s="3" t="s">
        <v>1</v>
      </c>
      <c r="E1594" s="3" t="s">
        <v>6</v>
      </c>
      <c r="F1594" s="6" t="s">
        <v>110</v>
      </c>
    </row>
    <row r="1595" spans="1:9">
      <c r="A1595" s="2">
        <v>23710</v>
      </c>
      <c r="B1595" s="1" t="s">
        <v>371</v>
      </c>
      <c r="C1595" s="1" t="s">
        <v>377</v>
      </c>
      <c r="D1595" s="3" t="s">
        <v>1</v>
      </c>
      <c r="E1595" s="3" t="s">
        <v>6</v>
      </c>
      <c r="F1595" s="6" t="s">
        <v>110</v>
      </c>
    </row>
    <row r="1596" spans="1:9">
      <c r="A1596" s="2">
        <v>23710</v>
      </c>
      <c r="B1596" s="1" t="s">
        <v>10</v>
      </c>
      <c r="C1596" s="1" t="s">
        <v>118</v>
      </c>
      <c r="D1596" s="3" t="s">
        <v>2</v>
      </c>
      <c r="E1596" s="3" t="s">
        <v>7</v>
      </c>
      <c r="F1596" s="6" t="s">
        <v>119</v>
      </c>
    </row>
    <row r="1597" spans="1:9">
      <c r="A1597" s="2">
        <v>23710</v>
      </c>
      <c r="B1597" s="1" t="s">
        <v>655</v>
      </c>
      <c r="C1597" s="1" t="s">
        <v>657</v>
      </c>
      <c r="D1597" s="3" t="s">
        <v>2</v>
      </c>
      <c r="E1597" s="3" t="s">
        <v>7</v>
      </c>
      <c r="F1597" s="6" t="s">
        <v>119</v>
      </c>
    </row>
    <row r="1598" spans="1:9">
      <c r="A1598" s="2">
        <v>23710</v>
      </c>
      <c r="B1598" s="1" t="s">
        <v>650</v>
      </c>
      <c r="C1598" s="1" t="s">
        <v>658</v>
      </c>
      <c r="D1598" s="3" t="s">
        <v>2</v>
      </c>
      <c r="E1598" s="3" t="s">
        <v>7</v>
      </c>
      <c r="F1598" s="6" t="s">
        <v>119</v>
      </c>
    </row>
    <row r="1599" spans="1:9">
      <c r="A1599" s="2">
        <v>23710</v>
      </c>
      <c r="B1599" s="1" t="s">
        <v>651</v>
      </c>
      <c r="C1599" s="1" t="s">
        <v>659</v>
      </c>
      <c r="D1599" s="3" t="s">
        <v>2</v>
      </c>
      <c r="E1599" s="3" t="s">
        <v>7</v>
      </c>
      <c r="F1599" s="6" t="s">
        <v>119</v>
      </c>
    </row>
    <row r="1600" spans="1:9">
      <c r="A1600" s="2">
        <v>23710</v>
      </c>
      <c r="B1600" s="1" t="s">
        <v>539</v>
      </c>
      <c r="C1600" s="1" t="s">
        <v>540</v>
      </c>
      <c r="D1600" s="3" t="s">
        <v>2</v>
      </c>
      <c r="E1600" s="3" t="s">
        <v>7</v>
      </c>
      <c r="F1600" s="6" t="s">
        <v>119</v>
      </c>
    </row>
    <row r="1601" spans="1:9">
      <c r="A1601" s="2">
        <v>23710</v>
      </c>
      <c r="B1601" s="1" t="s">
        <v>136</v>
      </c>
      <c r="C1601" s="1" t="s">
        <v>137</v>
      </c>
      <c r="D1601" s="3" t="s">
        <v>2</v>
      </c>
      <c r="E1601" s="3" t="s">
        <v>7</v>
      </c>
      <c r="F1601" s="6" t="s">
        <v>119</v>
      </c>
    </row>
    <row r="1602" spans="1:9">
      <c r="A1602" s="2">
        <v>23710</v>
      </c>
      <c r="B1602" s="1" t="s">
        <v>199</v>
      </c>
      <c r="C1602" s="1" t="s">
        <v>200</v>
      </c>
      <c r="D1602" s="3" t="s">
        <v>2</v>
      </c>
      <c r="E1602" s="3" t="s">
        <v>7</v>
      </c>
      <c r="F1602" s="6" t="s">
        <v>119</v>
      </c>
    </row>
    <row r="1603" spans="1:9">
      <c r="A1603" s="2">
        <v>23710</v>
      </c>
      <c r="B1603" s="1" t="s">
        <v>301</v>
      </c>
      <c r="C1603" s="1" t="s">
        <v>127</v>
      </c>
      <c r="D1603" s="3" t="s">
        <v>2</v>
      </c>
      <c r="E1603" s="3" t="s">
        <v>7</v>
      </c>
      <c r="F1603" s="6" t="s">
        <v>119</v>
      </c>
    </row>
    <row r="1604" spans="1:9">
      <c r="A1604" s="2">
        <v>23710</v>
      </c>
      <c r="B1604" s="1" t="s">
        <v>656</v>
      </c>
      <c r="C1604" s="1" t="s">
        <v>660</v>
      </c>
      <c r="D1604" s="3" t="s">
        <v>2</v>
      </c>
      <c r="E1604" s="3" t="s">
        <v>7</v>
      </c>
      <c r="F1604" s="6" t="s">
        <v>119</v>
      </c>
    </row>
    <row r="1605" spans="1:9">
      <c r="A1605" s="68">
        <v>23711</v>
      </c>
      <c r="B1605" s="69"/>
      <c r="C1605" s="69"/>
      <c r="D1605" s="70"/>
      <c r="E1605" s="70"/>
      <c r="F1605" s="71"/>
      <c r="G1605" s="71"/>
      <c r="H1605" s="69"/>
      <c r="I1605" s="69"/>
    </row>
    <row r="1606" spans="1:9">
      <c r="A1606" s="2">
        <v>23711</v>
      </c>
      <c r="B1606" s="1" t="s">
        <v>10</v>
      </c>
      <c r="C1606" s="1" t="s">
        <v>661</v>
      </c>
      <c r="D1606" s="3" t="s">
        <v>2</v>
      </c>
      <c r="E1606" s="3" t="s">
        <v>7</v>
      </c>
      <c r="F1606" s="6" t="s">
        <v>119</v>
      </c>
    </row>
    <row r="1607" spans="1:9">
      <c r="A1607" s="2">
        <v>23711</v>
      </c>
      <c r="B1607" s="1" t="s">
        <v>650</v>
      </c>
      <c r="C1607" s="1" t="s">
        <v>662</v>
      </c>
      <c r="D1607" s="3" t="s">
        <v>2</v>
      </c>
      <c r="E1607" s="3" t="s">
        <v>7</v>
      </c>
      <c r="F1607" s="6" t="s">
        <v>119</v>
      </c>
    </row>
    <row r="1608" spans="1:9">
      <c r="A1608" s="2">
        <v>23711</v>
      </c>
      <c r="B1608" s="1" t="s">
        <v>654</v>
      </c>
      <c r="C1608" s="1" t="s">
        <v>653</v>
      </c>
      <c r="D1608" s="3" t="s">
        <v>2</v>
      </c>
      <c r="E1608" s="3" t="s">
        <v>7</v>
      </c>
      <c r="F1608" s="6" t="s">
        <v>119</v>
      </c>
    </row>
    <row r="1609" spans="1:9">
      <c r="A1609" s="2">
        <v>23711</v>
      </c>
      <c r="B1609" s="1" t="s">
        <v>651</v>
      </c>
      <c r="C1609" s="1" t="s">
        <v>653</v>
      </c>
      <c r="D1609" s="3" t="s">
        <v>2</v>
      </c>
      <c r="E1609" s="3" t="s">
        <v>7</v>
      </c>
      <c r="F1609" s="6" t="s">
        <v>119</v>
      </c>
    </row>
    <row r="1610" spans="1:9">
      <c r="A1610" s="72">
        <v>23712</v>
      </c>
      <c r="B1610" s="73"/>
      <c r="C1610" s="73"/>
      <c r="D1610" s="74"/>
      <c r="E1610" s="74"/>
      <c r="F1610" s="75"/>
      <c r="G1610" s="75"/>
      <c r="H1610" s="73"/>
      <c r="I1610" s="73"/>
    </row>
    <row r="1611" spans="1:9">
      <c r="A1611" s="2">
        <v>23712</v>
      </c>
      <c r="B1611" s="1" t="s">
        <v>663</v>
      </c>
      <c r="C1611" s="1" t="s">
        <v>664</v>
      </c>
      <c r="D1611" s="3" t="s">
        <v>1</v>
      </c>
      <c r="E1611" s="3" t="s">
        <v>6</v>
      </c>
      <c r="F1611" s="6" t="s">
        <v>110</v>
      </c>
    </row>
    <row r="1612" spans="1:9">
      <c r="A1612" s="2">
        <v>23712</v>
      </c>
      <c r="B1612" s="1" t="s">
        <v>10</v>
      </c>
      <c r="C1612" s="1" t="s">
        <v>118</v>
      </c>
      <c r="D1612" s="3" t="s">
        <v>1</v>
      </c>
      <c r="E1612" s="3" t="s">
        <v>6</v>
      </c>
      <c r="F1612" s="6" t="s">
        <v>110</v>
      </c>
    </row>
    <row r="1613" spans="1:9">
      <c r="A1613" s="2">
        <v>23712</v>
      </c>
      <c r="B1613" s="1" t="s">
        <v>183</v>
      </c>
      <c r="C1613" s="1" t="s">
        <v>118</v>
      </c>
      <c r="D1613" s="3" t="s">
        <v>1</v>
      </c>
      <c r="E1613" s="3" t="s">
        <v>6</v>
      </c>
      <c r="F1613" s="6" t="s">
        <v>110</v>
      </c>
    </row>
    <row r="1614" spans="1:9">
      <c r="A1614" s="2">
        <v>23712</v>
      </c>
      <c r="B1614" s="1" t="s">
        <v>79</v>
      </c>
      <c r="C1614" s="1" t="s">
        <v>86</v>
      </c>
      <c r="D1614" s="3" t="s">
        <v>2</v>
      </c>
      <c r="E1614" s="3" t="s">
        <v>7</v>
      </c>
      <c r="F1614" s="6" t="s">
        <v>119</v>
      </c>
    </row>
    <row r="1615" spans="1:9">
      <c r="A1615" s="2">
        <v>23712</v>
      </c>
      <c r="B1615" s="1" t="s">
        <v>654</v>
      </c>
      <c r="C1615" s="1" t="s">
        <v>653</v>
      </c>
      <c r="D1615" s="3" t="s">
        <v>2</v>
      </c>
      <c r="E1615" s="3" t="s">
        <v>7</v>
      </c>
      <c r="F1615" s="6" t="s">
        <v>119</v>
      </c>
    </row>
    <row r="1616" spans="1:9">
      <c r="A1616" s="2">
        <v>23712</v>
      </c>
      <c r="B1616" s="1" t="s">
        <v>651</v>
      </c>
      <c r="C1616" s="1" t="s">
        <v>653</v>
      </c>
      <c r="D1616" s="3" t="s">
        <v>2</v>
      </c>
      <c r="E1616" s="3" t="s">
        <v>7</v>
      </c>
      <c r="F1616" s="6" t="s">
        <v>119</v>
      </c>
    </row>
    <row r="1617" spans="1:9">
      <c r="A1617" s="72">
        <v>23713</v>
      </c>
      <c r="B1617" s="73"/>
      <c r="C1617" s="73"/>
      <c r="D1617" s="74"/>
      <c r="E1617" s="74"/>
      <c r="F1617" s="75"/>
      <c r="G1617" s="75"/>
      <c r="H1617" s="73"/>
      <c r="I1617" s="73"/>
    </row>
    <row r="1618" spans="1:9">
      <c r="A1618" s="2">
        <v>23712</v>
      </c>
      <c r="B1618" s="1" t="s">
        <v>663</v>
      </c>
      <c r="C1618" s="1" t="s">
        <v>664</v>
      </c>
      <c r="D1618" s="3" t="s">
        <v>1</v>
      </c>
      <c r="E1618" s="3" t="s">
        <v>6</v>
      </c>
      <c r="F1618" s="6" t="s">
        <v>110</v>
      </c>
    </row>
    <row r="1619" spans="1:9">
      <c r="A1619" s="2">
        <v>23712</v>
      </c>
      <c r="B1619" s="1" t="s">
        <v>10</v>
      </c>
      <c r="C1619" s="1" t="s">
        <v>118</v>
      </c>
      <c r="D1619" s="3" t="s">
        <v>1</v>
      </c>
      <c r="E1619" s="3" t="s">
        <v>6</v>
      </c>
      <c r="F1619" s="6" t="s">
        <v>110</v>
      </c>
    </row>
    <row r="1620" spans="1:9">
      <c r="A1620" s="2">
        <v>23712</v>
      </c>
      <c r="B1620" s="1" t="s">
        <v>183</v>
      </c>
      <c r="C1620" s="1" t="s">
        <v>118</v>
      </c>
      <c r="D1620" s="3" t="s">
        <v>1</v>
      </c>
      <c r="E1620" s="3" t="s">
        <v>6</v>
      </c>
      <c r="F1620" s="6" t="s">
        <v>110</v>
      </c>
    </row>
    <row r="1621" spans="1:9">
      <c r="A1621" s="2">
        <v>23713</v>
      </c>
      <c r="B1621" s="1" t="s">
        <v>665</v>
      </c>
      <c r="C1621" s="1" t="s">
        <v>666</v>
      </c>
      <c r="D1621" s="3" t="s">
        <v>2</v>
      </c>
      <c r="E1621" s="3" t="s">
        <v>7</v>
      </c>
      <c r="F1621" s="6" t="s">
        <v>119</v>
      </c>
    </row>
    <row r="1622" spans="1:9">
      <c r="A1622" s="72">
        <v>23714</v>
      </c>
      <c r="B1622" s="73"/>
      <c r="C1622" s="73"/>
      <c r="D1622" s="74"/>
      <c r="E1622" s="74"/>
      <c r="F1622" s="75"/>
      <c r="G1622" s="75"/>
      <c r="H1622" s="73"/>
      <c r="I1622" s="73"/>
    </row>
    <row r="1623" spans="1:9">
      <c r="A1623" s="2">
        <v>23712</v>
      </c>
      <c r="B1623" s="1" t="s">
        <v>10</v>
      </c>
      <c r="C1623" s="1" t="s">
        <v>118</v>
      </c>
      <c r="D1623" s="3" t="s">
        <v>1</v>
      </c>
      <c r="E1623" s="3" t="s">
        <v>6</v>
      </c>
      <c r="F1623" s="6" t="s">
        <v>110</v>
      </c>
    </row>
    <row r="1624" spans="1:9">
      <c r="A1624" s="2">
        <v>23712</v>
      </c>
      <c r="B1624" s="1" t="s">
        <v>183</v>
      </c>
      <c r="C1624" s="1" t="s">
        <v>118</v>
      </c>
      <c r="D1624" s="3" t="s">
        <v>1</v>
      </c>
      <c r="E1624" s="3" t="s">
        <v>6</v>
      </c>
      <c r="F1624" s="6" t="s">
        <v>110</v>
      </c>
    </row>
    <row r="1625" spans="1:9">
      <c r="A1625" s="2">
        <v>23714</v>
      </c>
      <c r="B1625" s="1" t="s">
        <v>667</v>
      </c>
      <c r="C1625" s="1" t="s">
        <v>254</v>
      </c>
      <c r="D1625" s="3" t="s">
        <v>1</v>
      </c>
      <c r="E1625" s="3" t="s">
        <v>6</v>
      </c>
      <c r="F1625" s="6" t="s">
        <v>110</v>
      </c>
    </row>
    <row r="1626" spans="1:9">
      <c r="A1626" s="2">
        <v>23714</v>
      </c>
      <c r="B1626" s="1" t="s">
        <v>11</v>
      </c>
      <c r="C1626" s="1" t="s">
        <v>25</v>
      </c>
      <c r="D1626" s="3" t="s">
        <v>2</v>
      </c>
      <c r="E1626" s="3" t="s">
        <v>7</v>
      </c>
      <c r="F1626" s="6" t="s">
        <v>119</v>
      </c>
    </row>
    <row r="1627" spans="1:9">
      <c r="A1627" s="2">
        <v>23714</v>
      </c>
      <c r="B1627" s="1" t="s">
        <v>654</v>
      </c>
      <c r="C1627" s="1" t="s">
        <v>653</v>
      </c>
      <c r="D1627" s="3" t="s">
        <v>2</v>
      </c>
      <c r="E1627" s="3" t="s">
        <v>7</v>
      </c>
      <c r="F1627" s="6" t="s">
        <v>119</v>
      </c>
    </row>
    <row r="1628" spans="1:9">
      <c r="A1628" s="2">
        <v>23714</v>
      </c>
      <c r="B1628" s="1" t="s">
        <v>651</v>
      </c>
      <c r="C1628" s="1" t="s">
        <v>653</v>
      </c>
      <c r="D1628" s="3" t="s">
        <v>2</v>
      </c>
      <c r="E1628" s="3" t="s">
        <v>7</v>
      </c>
      <c r="F1628" s="6" t="s">
        <v>119</v>
      </c>
    </row>
    <row r="1629" spans="1:9">
      <c r="A1629" s="72">
        <v>23718</v>
      </c>
      <c r="B1629" s="73"/>
      <c r="C1629" s="73"/>
      <c r="D1629" s="74"/>
      <c r="E1629" s="74"/>
      <c r="F1629" s="75"/>
      <c r="G1629" s="75"/>
      <c r="H1629" s="73"/>
      <c r="I1629" s="73"/>
    </row>
    <row r="1630" spans="1:9">
      <c r="A1630" s="23">
        <v>23718</v>
      </c>
      <c r="B1630" s="20" t="s">
        <v>10</v>
      </c>
      <c r="C1630" s="20" t="s">
        <v>113</v>
      </c>
      <c r="D1630" s="21" t="s">
        <v>1</v>
      </c>
      <c r="E1630" s="21" t="s">
        <v>6</v>
      </c>
      <c r="F1630" s="22" t="s">
        <v>110</v>
      </c>
      <c r="G1630" s="22"/>
      <c r="H1630" s="20"/>
      <c r="I1630" s="20"/>
    </row>
    <row r="1631" spans="1:9">
      <c r="A1631" s="2">
        <v>23718</v>
      </c>
      <c r="B1631" s="1" t="s">
        <v>620</v>
      </c>
      <c r="C1631" s="1" t="s">
        <v>668</v>
      </c>
      <c r="D1631" s="3" t="s">
        <v>2</v>
      </c>
      <c r="E1631" s="3" t="s">
        <v>7</v>
      </c>
      <c r="F1631" s="6" t="s">
        <v>119</v>
      </c>
    </row>
    <row r="1632" spans="1:9">
      <c r="A1632" s="2">
        <v>23718</v>
      </c>
      <c r="B1632" s="1" t="s">
        <v>437</v>
      </c>
      <c r="C1632" s="1" t="s">
        <v>625</v>
      </c>
      <c r="D1632" s="3" t="s">
        <v>2</v>
      </c>
      <c r="E1632" s="3" t="s">
        <v>7</v>
      </c>
      <c r="F1632" s="6" t="s">
        <v>119</v>
      </c>
    </row>
    <row r="1633" spans="1:9">
      <c r="A1633" s="2">
        <v>23718</v>
      </c>
      <c r="B1633" s="1" t="s">
        <v>182</v>
      </c>
      <c r="C1633" s="1" t="s">
        <v>124</v>
      </c>
      <c r="D1633" s="3" t="s">
        <v>2</v>
      </c>
      <c r="E1633" s="3" t="s">
        <v>7</v>
      </c>
      <c r="F1633" s="6" t="s">
        <v>119</v>
      </c>
    </row>
    <row r="1634" spans="1:9">
      <c r="A1634" s="2">
        <v>23718</v>
      </c>
      <c r="B1634" s="1" t="s">
        <v>567</v>
      </c>
      <c r="C1634" s="1" t="s">
        <v>570</v>
      </c>
      <c r="D1634" s="3" t="s">
        <v>2</v>
      </c>
      <c r="E1634" s="3" t="s">
        <v>7</v>
      </c>
      <c r="F1634" s="6" t="s">
        <v>119</v>
      </c>
    </row>
    <row r="1635" spans="1:9">
      <c r="A1635" s="72">
        <v>23719</v>
      </c>
      <c r="B1635" s="73"/>
      <c r="C1635" s="73"/>
      <c r="D1635" s="74"/>
      <c r="E1635" s="74"/>
      <c r="F1635" s="75"/>
      <c r="G1635" s="75"/>
      <c r="H1635" s="73"/>
      <c r="I1635" s="73"/>
    </row>
    <row r="1636" spans="1:9">
      <c r="A1636" s="2">
        <v>23718</v>
      </c>
      <c r="B1636" s="1" t="s">
        <v>437</v>
      </c>
      <c r="C1636" s="1" t="s">
        <v>625</v>
      </c>
      <c r="D1636" s="3" t="s">
        <v>2</v>
      </c>
      <c r="E1636" s="3" t="s">
        <v>7</v>
      </c>
      <c r="F1636" s="6" t="s">
        <v>669</v>
      </c>
    </row>
    <row r="1637" spans="1:9">
      <c r="A1637" s="2">
        <v>23719</v>
      </c>
      <c r="B1637" s="1" t="s">
        <v>11</v>
      </c>
      <c r="C1637" s="1" t="s">
        <v>338</v>
      </c>
      <c r="D1637" s="3" t="s">
        <v>2</v>
      </c>
      <c r="E1637" s="3" t="s">
        <v>7</v>
      </c>
      <c r="F1637" s="6" t="s">
        <v>119</v>
      </c>
    </row>
    <row r="1638" spans="1:9">
      <c r="A1638" s="72">
        <v>23721</v>
      </c>
      <c r="B1638" s="73"/>
      <c r="C1638" s="73"/>
      <c r="D1638" s="74"/>
      <c r="E1638" s="74"/>
      <c r="F1638" s="75"/>
      <c r="G1638" s="75"/>
      <c r="H1638" s="73"/>
      <c r="I1638" s="73"/>
    </row>
    <row r="1639" spans="1:9">
      <c r="A1639" s="2">
        <v>23721</v>
      </c>
      <c r="B1639" s="1" t="s">
        <v>670</v>
      </c>
      <c r="C1639" s="1" t="s">
        <v>672</v>
      </c>
      <c r="D1639" s="3" t="s">
        <v>1</v>
      </c>
      <c r="E1639" s="3" t="s">
        <v>6</v>
      </c>
      <c r="F1639" s="6" t="s">
        <v>110</v>
      </c>
    </row>
    <row r="1640" spans="1:9">
      <c r="A1640" s="2">
        <v>23721</v>
      </c>
      <c r="B1640" s="1" t="s">
        <v>280</v>
      </c>
      <c r="C1640" s="1" t="s">
        <v>283</v>
      </c>
      <c r="D1640" s="3" t="s">
        <v>1</v>
      </c>
      <c r="E1640" s="3" t="s">
        <v>6</v>
      </c>
      <c r="F1640" s="6" t="s">
        <v>110</v>
      </c>
    </row>
    <row r="1641" spans="1:9">
      <c r="A1641" s="2">
        <v>23721</v>
      </c>
      <c r="B1641" s="1" t="s">
        <v>480</v>
      </c>
      <c r="C1641" s="1" t="s">
        <v>481</v>
      </c>
      <c r="D1641" s="3" t="s">
        <v>1</v>
      </c>
      <c r="E1641" s="3" t="s">
        <v>6</v>
      </c>
      <c r="F1641" s="6" t="s">
        <v>110</v>
      </c>
    </row>
    <row r="1642" spans="1:9">
      <c r="A1642" s="2">
        <v>23721</v>
      </c>
      <c r="B1642" s="1" t="s">
        <v>281</v>
      </c>
      <c r="C1642" s="1" t="s">
        <v>286</v>
      </c>
      <c r="D1642" s="3" t="s">
        <v>1</v>
      </c>
      <c r="E1642" s="3" t="s">
        <v>6</v>
      </c>
      <c r="F1642" s="6" t="s">
        <v>110</v>
      </c>
    </row>
    <row r="1643" spans="1:9">
      <c r="A1643" s="2">
        <v>23721</v>
      </c>
      <c r="B1643" s="1" t="s">
        <v>361</v>
      </c>
      <c r="C1643" s="1" t="s">
        <v>34</v>
      </c>
      <c r="D1643" s="3" t="s">
        <v>1</v>
      </c>
      <c r="E1643" s="3" t="s">
        <v>6</v>
      </c>
      <c r="F1643" s="6" t="s">
        <v>110</v>
      </c>
    </row>
    <row r="1644" spans="1:9">
      <c r="A1644" s="2">
        <v>23721</v>
      </c>
      <c r="B1644" s="1" t="s">
        <v>651</v>
      </c>
      <c r="C1644" s="1" t="s">
        <v>653</v>
      </c>
      <c r="D1644" s="3" t="s">
        <v>2</v>
      </c>
      <c r="E1644" s="3" t="s">
        <v>7</v>
      </c>
      <c r="F1644" s="6" t="s">
        <v>119</v>
      </c>
    </row>
    <row r="1645" spans="1:9">
      <c r="A1645" s="2">
        <v>23721</v>
      </c>
      <c r="B1645" s="1" t="s">
        <v>671</v>
      </c>
      <c r="C1645" s="1" t="s">
        <v>673</v>
      </c>
      <c r="D1645" s="3" t="s">
        <v>2</v>
      </c>
      <c r="E1645" s="3" t="s">
        <v>7</v>
      </c>
      <c r="F1645" s="6" t="s">
        <v>119</v>
      </c>
    </row>
    <row r="1646" spans="1:9">
      <c r="A1646" s="72">
        <v>23722</v>
      </c>
      <c r="B1646" s="73"/>
      <c r="C1646" s="73"/>
      <c r="D1646" s="74"/>
      <c r="E1646" s="74"/>
      <c r="F1646" s="75"/>
      <c r="G1646" s="75"/>
      <c r="H1646" s="73"/>
      <c r="I1646" s="73"/>
    </row>
    <row r="1647" spans="1:9">
      <c r="A1647" s="2">
        <v>23721</v>
      </c>
      <c r="B1647" s="1" t="s">
        <v>670</v>
      </c>
      <c r="C1647" s="1" t="s">
        <v>672</v>
      </c>
      <c r="D1647" s="3" t="s">
        <v>1</v>
      </c>
      <c r="E1647" s="3" t="s">
        <v>6</v>
      </c>
      <c r="F1647" s="6" t="s">
        <v>110</v>
      </c>
    </row>
    <row r="1648" spans="1:9">
      <c r="A1648" s="2">
        <v>23721</v>
      </c>
      <c r="B1648" s="1" t="s">
        <v>361</v>
      </c>
      <c r="C1648" s="1" t="s">
        <v>34</v>
      </c>
      <c r="D1648" s="3" t="s">
        <v>1</v>
      </c>
      <c r="E1648" s="3" t="s">
        <v>6</v>
      </c>
      <c r="F1648" s="6" t="s">
        <v>110</v>
      </c>
    </row>
    <row r="1649" spans="1:9">
      <c r="A1649" s="2">
        <v>23721</v>
      </c>
      <c r="B1649" s="1" t="s">
        <v>651</v>
      </c>
      <c r="C1649" s="1" t="s">
        <v>653</v>
      </c>
      <c r="D1649" s="3" t="s">
        <v>2</v>
      </c>
      <c r="E1649" s="3" t="s">
        <v>7</v>
      </c>
      <c r="F1649" s="6" t="s">
        <v>119</v>
      </c>
    </row>
    <row r="1650" spans="1:9">
      <c r="A1650" s="2">
        <v>23721</v>
      </c>
      <c r="B1650" s="1" t="s">
        <v>671</v>
      </c>
      <c r="C1650" s="1" t="s">
        <v>673</v>
      </c>
      <c r="D1650" s="3" t="s">
        <v>2</v>
      </c>
      <c r="E1650" s="3" t="s">
        <v>7</v>
      </c>
      <c r="F1650" s="6" t="s">
        <v>119</v>
      </c>
    </row>
    <row r="1651" spans="1:9">
      <c r="A1651" s="2">
        <v>23722</v>
      </c>
      <c r="B1651" s="1" t="s">
        <v>502</v>
      </c>
      <c r="C1651" s="1" t="s">
        <v>504</v>
      </c>
      <c r="D1651" s="3" t="s">
        <v>2</v>
      </c>
      <c r="E1651" s="3" t="s">
        <v>7</v>
      </c>
      <c r="F1651" s="6" t="s">
        <v>119</v>
      </c>
    </row>
    <row r="1652" spans="1:9">
      <c r="A1652" s="2">
        <v>23722</v>
      </c>
      <c r="B1652" s="1" t="s">
        <v>674</v>
      </c>
      <c r="C1652" s="1" t="s">
        <v>675</v>
      </c>
      <c r="D1652" s="3" t="s">
        <v>2</v>
      </c>
      <c r="E1652" s="3" t="s">
        <v>7</v>
      </c>
      <c r="F1652" s="6" t="s">
        <v>119</v>
      </c>
    </row>
    <row r="1653" spans="1:9">
      <c r="A1653" s="72">
        <v>23723</v>
      </c>
      <c r="B1653" s="73"/>
      <c r="C1653" s="73"/>
      <c r="D1653" s="74"/>
      <c r="E1653" s="74"/>
      <c r="F1653" s="75"/>
      <c r="G1653" s="75"/>
      <c r="H1653" s="73"/>
      <c r="I1653" s="73"/>
    </row>
    <row r="1654" spans="1:9">
      <c r="A1654" s="2">
        <v>23721</v>
      </c>
      <c r="B1654" s="1" t="s">
        <v>361</v>
      </c>
      <c r="C1654" s="1" t="s">
        <v>34</v>
      </c>
      <c r="D1654" s="3" t="s">
        <v>1</v>
      </c>
      <c r="E1654" s="3" t="s">
        <v>6</v>
      </c>
      <c r="F1654" s="6" t="s">
        <v>110</v>
      </c>
    </row>
    <row r="1655" spans="1:9">
      <c r="A1655" s="2">
        <v>23721</v>
      </c>
      <c r="B1655" s="1" t="s">
        <v>371</v>
      </c>
      <c r="C1655" s="1" t="s">
        <v>377</v>
      </c>
      <c r="D1655" s="3" t="s">
        <v>1</v>
      </c>
      <c r="E1655" s="3" t="s">
        <v>6</v>
      </c>
      <c r="F1655" s="6" t="s">
        <v>110</v>
      </c>
    </row>
    <row r="1656" spans="1:9">
      <c r="A1656" s="72">
        <v>44543</v>
      </c>
      <c r="B1656" s="73"/>
      <c r="C1656" s="73"/>
      <c r="D1656" s="74"/>
      <c r="E1656" s="74"/>
      <c r="F1656" s="75"/>
      <c r="G1656" s="75"/>
      <c r="H1656" s="73"/>
      <c r="I1656" s="73"/>
    </row>
    <row r="1657" spans="1:9">
      <c r="A1657" s="2">
        <v>44543</v>
      </c>
      <c r="B1657" s="1" t="s">
        <v>231</v>
      </c>
      <c r="C1657" s="1" t="s">
        <v>232</v>
      </c>
      <c r="D1657" s="3" t="s">
        <v>2</v>
      </c>
      <c r="E1657" s="3" t="s">
        <v>7</v>
      </c>
      <c r="F1657" s="6" t="s">
        <v>119</v>
      </c>
    </row>
    <row r="1658" spans="1:9">
      <c r="A1658" s="2">
        <v>44543</v>
      </c>
      <c r="B1658" s="1" t="s">
        <v>179</v>
      </c>
      <c r="C1658" s="1" t="s">
        <v>180</v>
      </c>
      <c r="D1658" s="3" t="s">
        <v>2</v>
      </c>
      <c r="E1658" s="3" t="s">
        <v>7</v>
      </c>
      <c r="F1658" s="6" t="s">
        <v>119</v>
      </c>
    </row>
    <row r="1659" spans="1:9">
      <c r="A1659" s="2">
        <v>44543</v>
      </c>
      <c r="B1659" s="1" t="s">
        <v>405</v>
      </c>
      <c r="C1659" s="1" t="s">
        <v>406</v>
      </c>
      <c r="D1659" s="3" t="s">
        <v>2</v>
      </c>
      <c r="E1659" s="3" t="s">
        <v>7</v>
      </c>
      <c r="F1659" s="6" t="s">
        <v>119</v>
      </c>
    </row>
    <row r="1660" spans="1:9">
      <c r="A1660" s="72">
        <v>23725</v>
      </c>
      <c r="B1660" s="73"/>
      <c r="C1660" s="73"/>
      <c r="D1660" s="74"/>
      <c r="E1660" s="74"/>
      <c r="F1660" s="75"/>
      <c r="G1660" s="75"/>
      <c r="H1660" s="73"/>
      <c r="I1660" s="73"/>
    </row>
    <row r="1661" spans="1:9">
      <c r="A1661" s="2">
        <v>23725</v>
      </c>
      <c r="B1661" s="1" t="s">
        <v>676</v>
      </c>
      <c r="C1661" s="1" t="s">
        <v>678</v>
      </c>
      <c r="D1661" s="3" t="s">
        <v>2</v>
      </c>
      <c r="E1661" s="3" t="s">
        <v>7</v>
      </c>
      <c r="F1661" s="6" t="s">
        <v>119</v>
      </c>
    </row>
    <row r="1662" spans="1:9">
      <c r="A1662" s="2">
        <v>23725</v>
      </c>
      <c r="B1662" s="1" t="s">
        <v>677</v>
      </c>
      <c r="C1662" s="1" t="s">
        <v>426</v>
      </c>
      <c r="D1662" s="3" t="s">
        <v>2</v>
      </c>
      <c r="E1662" s="3" t="s">
        <v>7</v>
      </c>
      <c r="F1662" s="6" t="s">
        <v>119</v>
      </c>
    </row>
    <row r="1663" spans="1:9">
      <c r="A1663" s="72">
        <v>23726</v>
      </c>
      <c r="B1663" s="73"/>
      <c r="C1663" s="73"/>
      <c r="D1663" s="74"/>
      <c r="E1663" s="74"/>
      <c r="F1663" s="75"/>
      <c r="G1663" s="75"/>
      <c r="H1663" s="73"/>
      <c r="I1663" s="73"/>
    </row>
    <row r="1664" spans="1:9">
      <c r="A1664" s="2">
        <v>23726</v>
      </c>
      <c r="B1664" s="1" t="s">
        <v>676</v>
      </c>
      <c r="C1664" s="1" t="s">
        <v>678</v>
      </c>
      <c r="D1664" s="3" t="s">
        <v>2</v>
      </c>
      <c r="E1664" s="3" t="s">
        <v>7</v>
      </c>
      <c r="F1664" s="6" t="s">
        <v>119</v>
      </c>
    </row>
    <row r="1665" spans="1:9">
      <c r="A1665" s="2">
        <v>23726</v>
      </c>
      <c r="B1665" s="1" t="s">
        <v>523</v>
      </c>
      <c r="C1665" s="1" t="s">
        <v>679</v>
      </c>
      <c r="D1665" s="3" t="s">
        <v>2</v>
      </c>
      <c r="E1665" s="3" t="s">
        <v>7</v>
      </c>
      <c r="F1665" s="6" t="s">
        <v>119</v>
      </c>
    </row>
    <row r="1666" spans="1:9">
      <c r="A1666" s="72">
        <v>23727</v>
      </c>
      <c r="B1666" s="73"/>
      <c r="C1666" s="73"/>
      <c r="D1666" s="74"/>
      <c r="E1666" s="74"/>
      <c r="F1666" s="75"/>
      <c r="G1666" s="75"/>
      <c r="H1666" s="73"/>
      <c r="I1666" s="73"/>
    </row>
    <row r="1667" spans="1:9">
      <c r="A1667" s="2">
        <v>23727</v>
      </c>
      <c r="B1667" s="1" t="s">
        <v>680</v>
      </c>
      <c r="C1667" s="1" t="s">
        <v>681</v>
      </c>
      <c r="D1667" s="3" t="s">
        <v>1</v>
      </c>
      <c r="E1667" s="3" t="s">
        <v>6</v>
      </c>
      <c r="F1667" s="6" t="s">
        <v>110</v>
      </c>
    </row>
    <row r="1668" spans="1:9">
      <c r="A1668" s="2">
        <v>23727</v>
      </c>
      <c r="B1668" s="1" t="s">
        <v>647</v>
      </c>
      <c r="C1668" s="1" t="s">
        <v>648</v>
      </c>
      <c r="D1668" s="3" t="s">
        <v>2</v>
      </c>
      <c r="E1668" s="3" t="s">
        <v>7</v>
      </c>
      <c r="F1668" s="6" t="s">
        <v>119</v>
      </c>
    </row>
    <row r="1669" spans="1:9">
      <c r="A1669" s="72">
        <v>23728</v>
      </c>
      <c r="B1669" s="73"/>
      <c r="C1669" s="73"/>
      <c r="D1669" s="74"/>
      <c r="E1669" s="74"/>
      <c r="F1669" s="75"/>
      <c r="G1669" s="75"/>
      <c r="H1669" s="73"/>
      <c r="I1669" s="73"/>
    </row>
    <row r="1670" spans="1:9">
      <c r="A1670" s="2">
        <v>23728</v>
      </c>
      <c r="B1670" s="1" t="s">
        <v>676</v>
      </c>
      <c r="C1670" s="1" t="s">
        <v>216</v>
      </c>
      <c r="D1670" s="3" t="s">
        <v>2</v>
      </c>
      <c r="E1670" s="3" t="s">
        <v>7</v>
      </c>
      <c r="F1670" s="6" t="s">
        <v>119</v>
      </c>
    </row>
    <row r="1671" spans="1:9">
      <c r="A1671" s="2">
        <v>23728</v>
      </c>
      <c r="B1671" s="1" t="s">
        <v>682</v>
      </c>
      <c r="C1671" s="1" t="s">
        <v>305</v>
      </c>
      <c r="D1671" s="3" t="s">
        <v>2</v>
      </c>
      <c r="E1671" s="3" t="s">
        <v>7</v>
      </c>
      <c r="F1671" s="6" t="s">
        <v>119</v>
      </c>
    </row>
    <row r="1672" spans="1:9">
      <c r="A1672" s="2">
        <v>23728</v>
      </c>
      <c r="B1672" s="1" t="s">
        <v>683</v>
      </c>
      <c r="C1672" s="1" t="s">
        <v>684</v>
      </c>
      <c r="D1672" s="3" t="s">
        <v>2</v>
      </c>
      <c r="E1672" s="3" t="s">
        <v>7</v>
      </c>
      <c r="F1672" s="6" t="s">
        <v>119</v>
      </c>
    </row>
    <row r="1673" spans="1:9">
      <c r="A1673" s="72">
        <v>23729</v>
      </c>
      <c r="B1673" s="73"/>
      <c r="C1673" s="73"/>
      <c r="D1673" s="74"/>
      <c r="E1673" s="74"/>
      <c r="F1673" s="75"/>
      <c r="G1673" s="75"/>
      <c r="H1673" s="73"/>
      <c r="I1673" s="73"/>
    </row>
    <row r="1674" spans="1:9">
      <c r="A1674" s="2">
        <v>23729</v>
      </c>
      <c r="B1674" s="1" t="s">
        <v>543</v>
      </c>
      <c r="C1674" s="1" t="s">
        <v>544</v>
      </c>
      <c r="D1674" s="3" t="s">
        <v>2</v>
      </c>
      <c r="E1674" s="3" t="s">
        <v>7</v>
      </c>
      <c r="F1674" s="6" t="s">
        <v>119</v>
      </c>
    </row>
    <row r="1675" spans="1:9">
      <c r="A1675" s="2">
        <v>23729</v>
      </c>
      <c r="B1675" s="1" t="s">
        <v>685</v>
      </c>
      <c r="C1675" s="1" t="s">
        <v>686</v>
      </c>
      <c r="D1675" s="3" t="s">
        <v>2</v>
      </c>
      <c r="E1675" s="3" t="s">
        <v>7</v>
      </c>
      <c r="F1675" s="6" t="s">
        <v>119</v>
      </c>
    </row>
    <row r="1676" spans="1:9">
      <c r="A1676" s="2">
        <v>23729</v>
      </c>
      <c r="B1676" s="1" t="s">
        <v>231</v>
      </c>
      <c r="C1676" s="1" t="s">
        <v>687</v>
      </c>
      <c r="D1676" s="3" t="s">
        <v>2</v>
      </c>
      <c r="E1676" s="3" t="s">
        <v>7</v>
      </c>
      <c r="F1676" s="6" t="s">
        <v>119</v>
      </c>
    </row>
    <row r="1677" spans="1:9">
      <c r="A1677" s="72">
        <v>23731</v>
      </c>
      <c r="B1677" s="73"/>
      <c r="C1677" s="73"/>
      <c r="D1677" s="74"/>
      <c r="E1677" s="74"/>
      <c r="F1677" s="75"/>
      <c r="G1677" s="75"/>
      <c r="H1677" s="73"/>
      <c r="I1677" s="73"/>
    </row>
    <row r="1678" spans="1:9">
      <c r="A1678" s="2">
        <v>23731</v>
      </c>
      <c r="B1678" s="1" t="s">
        <v>543</v>
      </c>
      <c r="C1678" s="1" t="s">
        <v>544</v>
      </c>
      <c r="D1678" s="3" t="s">
        <v>2</v>
      </c>
      <c r="E1678" s="3" t="s">
        <v>7</v>
      </c>
      <c r="F1678" s="6" t="s">
        <v>119</v>
      </c>
    </row>
    <row r="1679" spans="1:9">
      <c r="A1679" s="2">
        <v>23731</v>
      </c>
      <c r="B1679" s="1" t="s">
        <v>685</v>
      </c>
      <c r="C1679" s="1" t="s">
        <v>686</v>
      </c>
      <c r="D1679" s="3" t="s">
        <v>2</v>
      </c>
      <c r="E1679" s="3" t="s">
        <v>7</v>
      </c>
      <c r="F1679" s="6" t="s">
        <v>119</v>
      </c>
    </row>
    <row r="1680" spans="1:9">
      <c r="A1680" s="2">
        <v>23731</v>
      </c>
      <c r="B1680" s="1" t="s">
        <v>231</v>
      </c>
      <c r="C1680" s="1" t="s">
        <v>687</v>
      </c>
      <c r="D1680" s="3" t="s">
        <v>2</v>
      </c>
      <c r="E1680" s="3" t="s">
        <v>7</v>
      </c>
      <c r="F1680" s="6" t="s">
        <v>119</v>
      </c>
    </row>
    <row r="1681" spans="1:9">
      <c r="A1681" s="2">
        <v>23731</v>
      </c>
      <c r="B1681" s="1" t="s">
        <v>688</v>
      </c>
      <c r="C1681" s="1" t="s">
        <v>689</v>
      </c>
      <c r="D1681" s="3" t="s">
        <v>2</v>
      </c>
      <c r="E1681" s="3" t="s">
        <v>7</v>
      </c>
      <c r="F1681" s="6" t="s">
        <v>119</v>
      </c>
    </row>
    <row r="1682" spans="1:9">
      <c r="A1682" s="72">
        <v>23732</v>
      </c>
      <c r="B1682" s="73"/>
      <c r="C1682" s="73"/>
      <c r="D1682" s="74"/>
      <c r="E1682" s="74"/>
      <c r="F1682" s="75"/>
      <c r="G1682" s="75"/>
      <c r="H1682" s="73"/>
      <c r="I1682" s="73"/>
    </row>
    <row r="1683" spans="1:9">
      <c r="A1683" s="2">
        <v>23731</v>
      </c>
      <c r="B1683" s="1" t="s">
        <v>685</v>
      </c>
      <c r="C1683" s="1" t="s">
        <v>686</v>
      </c>
      <c r="D1683" s="3" t="s">
        <v>2</v>
      </c>
      <c r="E1683" s="3" t="s">
        <v>7</v>
      </c>
      <c r="F1683" s="6" t="s">
        <v>119</v>
      </c>
    </row>
    <row r="1684" spans="1:9">
      <c r="A1684" s="2">
        <v>23731</v>
      </c>
      <c r="B1684" s="1" t="s">
        <v>231</v>
      </c>
      <c r="C1684" s="1" t="s">
        <v>687</v>
      </c>
      <c r="D1684" s="3" t="s">
        <v>2</v>
      </c>
      <c r="E1684" s="3" t="s">
        <v>7</v>
      </c>
      <c r="F1684" s="6" t="s">
        <v>119</v>
      </c>
    </row>
    <row r="1685" spans="1:9">
      <c r="A1685" s="2">
        <v>23732</v>
      </c>
      <c r="B1685" s="1" t="s">
        <v>690</v>
      </c>
      <c r="C1685" s="1" t="s">
        <v>691</v>
      </c>
      <c r="D1685" s="3" t="s">
        <v>2</v>
      </c>
      <c r="E1685" s="3" t="s">
        <v>7</v>
      </c>
      <c r="F1685" s="6" t="s">
        <v>119</v>
      </c>
    </row>
    <row r="1686" spans="1:9">
      <c r="A1686" s="2">
        <v>23732</v>
      </c>
      <c r="B1686" s="1" t="s">
        <v>121</v>
      </c>
      <c r="C1686" s="1" t="s">
        <v>28</v>
      </c>
      <c r="D1686" s="3" t="s">
        <v>2</v>
      </c>
      <c r="E1686" s="3" t="s">
        <v>7</v>
      </c>
      <c r="F1686" s="6" t="s">
        <v>119</v>
      </c>
    </row>
    <row r="1687" spans="1:9">
      <c r="A1687" s="2">
        <v>23732</v>
      </c>
      <c r="B1687" s="1" t="s">
        <v>199</v>
      </c>
      <c r="C1687" s="1" t="s">
        <v>200</v>
      </c>
      <c r="D1687" s="3" t="s">
        <v>2</v>
      </c>
      <c r="E1687" s="3" t="s">
        <v>7</v>
      </c>
      <c r="F1687" s="6" t="s">
        <v>119</v>
      </c>
    </row>
    <row r="1688" spans="1:9">
      <c r="A1688" s="72">
        <v>23733</v>
      </c>
      <c r="B1688" s="73"/>
      <c r="C1688" s="73"/>
      <c r="D1688" s="74"/>
      <c r="E1688" s="74"/>
      <c r="F1688" s="75"/>
      <c r="G1688" s="75"/>
      <c r="H1688" s="73"/>
      <c r="I1688" s="73"/>
    </row>
    <row r="1689" spans="1:9">
      <c r="A1689" s="2">
        <v>23732</v>
      </c>
      <c r="B1689" s="1" t="s">
        <v>121</v>
      </c>
      <c r="C1689" s="1" t="s">
        <v>28</v>
      </c>
      <c r="D1689" s="3" t="s">
        <v>2</v>
      </c>
      <c r="E1689" s="3" t="s">
        <v>7</v>
      </c>
      <c r="F1689" s="6" t="s">
        <v>119</v>
      </c>
    </row>
    <row r="1690" spans="1:9">
      <c r="A1690" s="2">
        <v>23733</v>
      </c>
      <c r="B1690" s="1" t="s">
        <v>438</v>
      </c>
      <c r="C1690" s="1" t="s">
        <v>692</v>
      </c>
      <c r="D1690" s="3" t="s">
        <v>2</v>
      </c>
      <c r="E1690" s="3" t="s">
        <v>7</v>
      </c>
      <c r="F1690" s="6" t="s">
        <v>693</v>
      </c>
    </row>
    <row r="1691" spans="1:9">
      <c r="A1691" s="72">
        <v>23738</v>
      </c>
      <c r="B1691" s="73"/>
      <c r="C1691" s="73"/>
      <c r="D1691" s="74"/>
      <c r="E1691" s="74"/>
      <c r="F1691" s="75"/>
      <c r="G1691" s="75"/>
      <c r="H1691" s="73"/>
      <c r="I1691" s="73"/>
    </row>
    <row r="1692" spans="1:9">
      <c r="A1692" s="23">
        <v>23738</v>
      </c>
      <c r="B1692" s="20" t="s">
        <v>466</v>
      </c>
      <c r="C1692" s="20" t="s">
        <v>467</v>
      </c>
      <c r="D1692" s="21" t="s">
        <v>1</v>
      </c>
      <c r="E1692" s="21" t="s">
        <v>6</v>
      </c>
      <c r="F1692" s="22" t="s">
        <v>110</v>
      </c>
      <c r="G1692" s="22"/>
      <c r="H1692" s="20"/>
      <c r="I1692" s="20"/>
    </row>
    <row r="1693" spans="1:9">
      <c r="A1693" s="2">
        <v>23738</v>
      </c>
      <c r="B1693" s="1" t="s">
        <v>11</v>
      </c>
      <c r="C1693" s="1" t="s">
        <v>25</v>
      </c>
      <c r="D1693" s="3" t="s">
        <v>2</v>
      </c>
      <c r="E1693" s="3" t="s">
        <v>7</v>
      </c>
      <c r="F1693" s="6" t="s">
        <v>119</v>
      </c>
    </row>
    <row r="1694" spans="1:9">
      <c r="A1694" s="2">
        <v>23738</v>
      </c>
      <c r="B1694" s="1" t="s">
        <v>436</v>
      </c>
      <c r="C1694" s="1" t="s">
        <v>25</v>
      </c>
      <c r="D1694" s="3" t="s">
        <v>2</v>
      </c>
      <c r="E1694" s="3" t="s">
        <v>7</v>
      </c>
      <c r="F1694" s="6" t="s">
        <v>119</v>
      </c>
    </row>
    <row r="1695" spans="1:9">
      <c r="A1695" s="2">
        <v>23738</v>
      </c>
      <c r="B1695" s="1" t="s">
        <v>461</v>
      </c>
      <c r="C1695" s="1" t="s">
        <v>464</v>
      </c>
      <c r="D1695" s="3" t="s">
        <v>2</v>
      </c>
      <c r="E1695" s="3" t="s">
        <v>7</v>
      </c>
      <c r="F1695" s="6" t="s">
        <v>119</v>
      </c>
    </row>
    <row r="1696" spans="1:9">
      <c r="A1696" s="72">
        <v>23739</v>
      </c>
      <c r="B1696" s="73"/>
      <c r="C1696" s="73"/>
      <c r="D1696" s="74"/>
      <c r="E1696" s="74"/>
      <c r="F1696" s="75"/>
      <c r="G1696" s="75"/>
      <c r="H1696" s="73"/>
      <c r="I1696" s="73"/>
    </row>
    <row r="1697" spans="1:9">
      <c r="A1697" s="2">
        <v>23739</v>
      </c>
      <c r="B1697" s="1" t="s">
        <v>694</v>
      </c>
      <c r="C1697" s="1" t="s">
        <v>696</v>
      </c>
      <c r="D1697" s="3" t="s">
        <v>1</v>
      </c>
      <c r="E1697" s="3" t="s">
        <v>6</v>
      </c>
      <c r="F1697" s="6" t="s">
        <v>110</v>
      </c>
    </row>
    <row r="1698" spans="1:9">
      <c r="A1698" s="2">
        <v>23739</v>
      </c>
      <c r="B1698" s="1" t="s">
        <v>369</v>
      </c>
      <c r="C1698" s="1" t="s">
        <v>421</v>
      </c>
      <c r="D1698" s="3" t="s">
        <v>1</v>
      </c>
      <c r="E1698" s="3" t="s">
        <v>6</v>
      </c>
      <c r="F1698" s="6" t="s">
        <v>110</v>
      </c>
    </row>
    <row r="1699" spans="1:9">
      <c r="A1699" s="2">
        <v>23739</v>
      </c>
      <c r="B1699" s="1" t="s">
        <v>663</v>
      </c>
      <c r="C1699" s="1" t="s">
        <v>664</v>
      </c>
      <c r="D1699" s="3" t="s">
        <v>2</v>
      </c>
      <c r="E1699" s="3" t="s">
        <v>7</v>
      </c>
      <c r="F1699" s="6" t="s">
        <v>119</v>
      </c>
    </row>
    <row r="1700" spans="1:9">
      <c r="A1700" s="2">
        <v>23739</v>
      </c>
      <c r="B1700" s="1" t="s">
        <v>75</v>
      </c>
      <c r="C1700" s="1" t="s">
        <v>84</v>
      </c>
      <c r="D1700" s="3" t="s">
        <v>2</v>
      </c>
      <c r="E1700" s="3" t="s">
        <v>7</v>
      </c>
      <c r="F1700" s="6" t="s">
        <v>119</v>
      </c>
    </row>
    <row r="1701" spans="1:9">
      <c r="A1701" s="2">
        <v>23739</v>
      </c>
      <c r="B1701" s="1" t="s">
        <v>461</v>
      </c>
      <c r="C1701" s="1" t="s">
        <v>697</v>
      </c>
      <c r="D1701" s="3" t="s">
        <v>2</v>
      </c>
      <c r="E1701" s="3" t="s">
        <v>7</v>
      </c>
      <c r="F1701" s="6" t="s">
        <v>119</v>
      </c>
    </row>
    <row r="1702" spans="1:9">
      <c r="A1702" s="2">
        <v>23739</v>
      </c>
      <c r="B1702" s="1" t="s">
        <v>695</v>
      </c>
      <c r="C1702" s="1" t="s">
        <v>698</v>
      </c>
      <c r="D1702" s="3" t="s">
        <v>2</v>
      </c>
      <c r="E1702" s="3" t="s">
        <v>7</v>
      </c>
      <c r="F1702" s="6" t="s">
        <v>119</v>
      </c>
    </row>
    <row r="1703" spans="1:9">
      <c r="A1703" s="72">
        <v>23740</v>
      </c>
      <c r="B1703" s="73"/>
      <c r="C1703" s="73"/>
      <c r="D1703" s="74"/>
      <c r="E1703" s="74"/>
      <c r="F1703" s="75"/>
      <c r="G1703" s="75"/>
      <c r="H1703" s="73"/>
      <c r="I1703" s="73"/>
    </row>
    <row r="1704" spans="1:9">
      <c r="A1704" s="2">
        <v>23739</v>
      </c>
      <c r="B1704" s="1" t="s">
        <v>369</v>
      </c>
      <c r="C1704" s="1" t="s">
        <v>421</v>
      </c>
      <c r="D1704" s="3" t="s">
        <v>2</v>
      </c>
      <c r="E1704" s="3" t="s">
        <v>7</v>
      </c>
      <c r="F1704" s="6" t="s">
        <v>119</v>
      </c>
    </row>
    <row r="1705" spans="1:9">
      <c r="A1705" s="2">
        <v>23739</v>
      </c>
      <c r="B1705" s="1" t="s">
        <v>11</v>
      </c>
      <c r="C1705" s="1" t="s">
        <v>25</v>
      </c>
      <c r="D1705" s="3" t="s">
        <v>2</v>
      </c>
      <c r="E1705" s="3" t="s">
        <v>7</v>
      </c>
      <c r="F1705" s="6" t="s">
        <v>119</v>
      </c>
    </row>
    <row r="1706" spans="1:9">
      <c r="A1706" s="2">
        <v>23739</v>
      </c>
      <c r="B1706" s="1" t="s">
        <v>146</v>
      </c>
      <c r="C1706" s="1" t="s">
        <v>145</v>
      </c>
      <c r="D1706" s="3" t="s">
        <v>2</v>
      </c>
      <c r="E1706" s="3" t="s">
        <v>7</v>
      </c>
      <c r="F1706" s="6" t="s">
        <v>119</v>
      </c>
    </row>
    <row r="1707" spans="1:9">
      <c r="A1707" s="2">
        <v>23739</v>
      </c>
      <c r="B1707" s="1" t="s">
        <v>370</v>
      </c>
      <c r="C1707" s="1" t="s">
        <v>699</v>
      </c>
      <c r="D1707" s="3" t="s">
        <v>2</v>
      </c>
      <c r="E1707" s="3" t="s">
        <v>7</v>
      </c>
      <c r="F1707" s="6" t="s">
        <v>119</v>
      </c>
    </row>
  </sheetData>
  <autoFilter ref="B1:E16" xr:uid="{00000000-0009-0000-0000-000000000000}"/>
  <phoneticPr fontId="3" type="noConversion"/>
  <pageMargins left="0.7" right="0.7" top="0.75" bottom="0.75" header="0.3" footer="0.3"/>
  <pageSetup paperSize="9" scale="80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D19D5-DD1E-45B4-A4A9-23DA8DE26F78}">
  <dimension ref="A1:I495"/>
  <sheetViews>
    <sheetView workbookViewId="0">
      <pane ySplit="1" topLeftCell="A482" activePane="bottomLeft" state="frozen"/>
      <selection pane="bottomLeft" activeCell="F497" sqref="F497"/>
    </sheetView>
  </sheetViews>
  <sheetFormatPr defaultColWidth="8.83203125" defaultRowHeight="17"/>
  <cols>
    <col min="1" max="1" width="8.83203125" style="3"/>
    <col min="2" max="2" width="8.83203125" style="1"/>
    <col min="3" max="3" width="20.33203125" style="1" bestFit="1" customWidth="1"/>
    <col min="4" max="5" width="8.83203125" style="3"/>
    <col min="6" max="6" width="44.25" style="1" customWidth="1"/>
    <col min="7" max="7" width="32.08203125" style="1" customWidth="1"/>
    <col min="8" max="8" width="26.83203125" style="1" customWidth="1"/>
    <col min="9" max="9" width="21.75" style="1" customWidth="1"/>
    <col min="10" max="16384" width="8.83203125" style="1"/>
  </cols>
  <sheetData>
    <row r="1" spans="1:9" s="3" customFormat="1">
      <c r="A1" s="4" t="s">
        <v>8</v>
      </c>
      <c r="B1" s="5" t="s">
        <v>4</v>
      </c>
      <c r="C1" s="5" t="s">
        <v>30</v>
      </c>
      <c r="D1" s="5" t="s">
        <v>3</v>
      </c>
      <c r="E1" s="5" t="s">
        <v>5</v>
      </c>
      <c r="F1" s="5" t="s">
        <v>40</v>
      </c>
      <c r="G1" s="5" t="s">
        <v>41</v>
      </c>
      <c r="H1" s="5" t="s">
        <v>9</v>
      </c>
      <c r="I1" s="5" t="s">
        <v>37</v>
      </c>
    </row>
    <row r="2" spans="1:9">
      <c r="A2" s="76">
        <v>44565</v>
      </c>
      <c r="B2" s="77"/>
      <c r="C2" s="77"/>
      <c r="D2" s="78"/>
      <c r="E2" s="78"/>
      <c r="F2" s="79"/>
      <c r="G2" s="79"/>
      <c r="H2" s="77"/>
      <c r="I2" s="77"/>
    </row>
    <row r="3" spans="1:9">
      <c r="A3" s="2">
        <v>44565</v>
      </c>
      <c r="B3" s="1" t="s">
        <v>280</v>
      </c>
      <c r="C3" s="1" t="s">
        <v>571</v>
      </c>
      <c r="D3" s="3" t="s">
        <v>2</v>
      </c>
      <c r="E3" s="3" t="s">
        <v>7</v>
      </c>
      <c r="F3" s="6" t="s">
        <v>119</v>
      </c>
      <c r="G3" s="6"/>
    </row>
    <row r="4" spans="1:9">
      <c r="A4" s="2">
        <v>44565</v>
      </c>
      <c r="B4" s="1" t="s">
        <v>700</v>
      </c>
      <c r="C4" s="1" t="s">
        <v>702</v>
      </c>
      <c r="D4" s="3" t="s">
        <v>2</v>
      </c>
      <c r="E4" s="3" t="s">
        <v>7</v>
      </c>
      <c r="F4" s="6" t="s">
        <v>119</v>
      </c>
      <c r="G4" s="6"/>
    </row>
    <row r="5" spans="1:9">
      <c r="A5" s="2">
        <v>44565</v>
      </c>
      <c r="B5" s="1" t="s">
        <v>701</v>
      </c>
      <c r="C5" s="1" t="s">
        <v>703</v>
      </c>
      <c r="D5" s="3" t="s">
        <v>2</v>
      </c>
      <c r="E5" s="3" t="s">
        <v>7</v>
      </c>
      <c r="F5" s="6" t="s">
        <v>119</v>
      </c>
      <c r="G5" s="6"/>
    </row>
    <row r="6" spans="1:9">
      <c r="A6" s="76">
        <v>44566</v>
      </c>
      <c r="B6" s="77"/>
      <c r="C6" s="77"/>
      <c r="D6" s="78"/>
      <c r="E6" s="78"/>
      <c r="F6" s="77"/>
      <c r="G6" s="77"/>
      <c r="H6" s="77"/>
      <c r="I6" s="77"/>
    </row>
    <row r="7" spans="1:9">
      <c r="A7" s="23">
        <v>44566</v>
      </c>
      <c r="B7" s="1" t="s">
        <v>244</v>
      </c>
      <c r="C7" s="1" t="s">
        <v>704</v>
      </c>
      <c r="D7" s="3" t="s">
        <v>2</v>
      </c>
      <c r="E7" s="3" t="s">
        <v>7</v>
      </c>
      <c r="F7" s="1" t="s">
        <v>119</v>
      </c>
    </row>
    <row r="8" spans="1:9">
      <c r="A8" s="23">
        <v>44566</v>
      </c>
      <c r="B8" s="1" t="s">
        <v>647</v>
      </c>
      <c r="C8" s="1" t="s">
        <v>705</v>
      </c>
      <c r="D8" s="3" t="s">
        <v>2</v>
      </c>
      <c r="E8" s="3" t="s">
        <v>7</v>
      </c>
      <c r="F8" s="1" t="s">
        <v>119</v>
      </c>
    </row>
    <row r="9" spans="1:9">
      <c r="A9" s="80">
        <v>44567</v>
      </c>
      <c r="B9" s="77"/>
      <c r="C9" s="77"/>
      <c r="D9" s="78"/>
      <c r="E9" s="78"/>
      <c r="F9" s="77"/>
      <c r="G9" s="77"/>
      <c r="H9" s="77"/>
      <c r="I9" s="77"/>
    </row>
    <row r="10" spans="1:9">
      <c r="A10" s="81">
        <v>44566</v>
      </c>
      <c r="B10" s="1" t="s">
        <v>229</v>
      </c>
      <c r="C10" s="1" t="s">
        <v>707</v>
      </c>
      <c r="D10" s="3" t="s">
        <v>1</v>
      </c>
      <c r="E10" s="3" t="s">
        <v>6</v>
      </c>
      <c r="F10" s="1" t="s">
        <v>110</v>
      </c>
    </row>
    <row r="11" spans="1:9">
      <c r="A11" s="81">
        <v>44567</v>
      </c>
      <c r="B11" s="1" t="s">
        <v>100</v>
      </c>
      <c r="C11" s="1" t="s">
        <v>706</v>
      </c>
      <c r="D11" s="3" t="s">
        <v>2</v>
      </c>
      <c r="E11" s="3" t="s">
        <v>7</v>
      </c>
      <c r="F11" s="1" t="s">
        <v>119</v>
      </c>
    </row>
    <row r="12" spans="1:9">
      <c r="A12" s="81">
        <v>44567</v>
      </c>
      <c r="B12" s="1" t="s">
        <v>225</v>
      </c>
      <c r="C12" s="1" t="s">
        <v>708</v>
      </c>
      <c r="D12" s="3" t="s">
        <v>2</v>
      </c>
      <c r="E12" s="3" t="s">
        <v>7</v>
      </c>
      <c r="F12" s="1" t="s">
        <v>119</v>
      </c>
    </row>
    <row r="13" spans="1:9">
      <c r="A13" s="81">
        <v>44567</v>
      </c>
      <c r="B13" s="1" t="s">
        <v>641</v>
      </c>
      <c r="C13" s="1" t="s">
        <v>124</v>
      </c>
      <c r="D13" s="3" t="s">
        <v>2</v>
      </c>
      <c r="E13" s="3" t="s">
        <v>7</v>
      </c>
      <c r="F13" s="1" t="s">
        <v>119</v>
      </c>
    </row>
    <row r="14" spans="1:9">
      <c r="A14" s="81">
        <v>44567</v>
      </c>
      <c r="B14" s="1" t="s">
        <v>103</v>
      </c>
      <c r="C14" s="1" t="s">
        <v>575</v>
      </c>
      <c r="D14" s="3" t="s">
        <v>2</v>
      </c>
      <c r="E14" s="3" t="s">
        <v>7</v>
      </c>
      <c r="F14" s="1" t="s">
        <v>119</v>
      </c>
    </row>
    <row r="15" spans="1:9">
      <c r="A15" s="82">
        <v>44568</v>
      </c>
      <c r="B15" s="77"/>
      <c r="C15" s="77"/>
      <c r="D15" s="78"/>
      <c r="E15" s="78"/>
      <c r="F15" s="77"/>
      <c r="G15" s="77"/>
      <c r="H15" s="77"/>
      <c r="I15" s="77"/>
    </row>
    <row r="16" spans="1:9">
      <c r="A16" s="81">
        <v>44567</v>
      </c>
      <c r="B16" s="1" t="s">
        <v>432</v>
      </c>
      <c r="C16" s="1" t="s">
        <v>434</v>
      </c>
      <c r="D16" s="3" t="s">
        <v>1</v>
      </c>
      <c r="E16" s="3" t="s">
        <v>6</v>
      </c>
      <c r="F16" s="1" t="s">
        <v>110</v>
      </c>
    </row>
    <row r="17" spans="1:9">
      <c r="A17" s="81">
        <v>44567</v>
      </c>
      <c r="B17" s="1" t="s">
        <v>456</v>
      </c>
      <c r="C17" s="1" t="s">
        <v>458</v>
      </c>
      <c r="D17" s="3" t="s">
        <v>1</v>
      </c>
      <c r="E17" s="3" t="s">
        <v>6</v>
      </c>
      <c r="F17" s="1" t="s">
        <v>110</v>
      </c>
    </row>
    <row r="18" spans="1:9">
      <c r="A18" s="81">
        <v>44568</v>
      </c>
      <c r="B18" s="1" t="s">
        <v>11</v>
      </c>
      <c r="C18" s="1" t="s">
        <v>709</v>
      </c>
      <c r="D18" s="3" t="s">
        <v>2</v>
      </c>
      <c r="E18" s="3" t="s">
        <v>7</v>
      </c>
      <c r="F18" s="1" t="s">
        <v>119</v>
      </c>
    </row>
    <row r="19" spans="1:9">
      <c r="A19" s="81">
        <v>44568</v>
      </c>
      <c r="B19" s="1" t="s">
        <v>551</v>
      </c>
      <c r="C19" s="1" t="s">
        <v>711</v>
      </c>
      <c r="D19" s="3" t="s">
        <v>2</v>
      </c>
      <c r="E19" s="3" t="s">
        <v>7</v>
      </c>
      <c r="F19" s="1" t="s">
        <v>119</v>
      </c>
    </row>
    <row r="20" spans="1:9">
      <c r="A20" s="81">
        <v>44568</v>
      </c>
      <c r="B20" s="1" t="s">
        <v>12</v>
      </c>
      <c r="C20" s="1" t="s">
        <v>712</v>
      </c>
      <c r="D20" s="3" t="s">
        <v>2</v>
      </c>
      <c r="E20" s="3" t="s">
        <v>7</v>
      </c>
      <c r="F20" s="1" t="s">
        <v>119</v>
      </c>
    </row>
    <row r="21" spans="1:9">
      <c r="A21" s="81">
        <v>44568</v>
      </c>
      <c r="B21" s="1" t="s">
        <v>98</v>
      </c>
      <c r="C21" s="1" t="s">
        <v>710</v>
      </c>
      <c r="D21" s="3" t="s">
        <v>2</v>
      </c>
      <c r="E21" s="3" t="s">
        <v>7</v>
      </c>
      <c r="F21" s="1" t="s">
        <v>119</v>
      </c>
    </row>
    <row r="22" spans="1:9">
      <c r="A22" s="82">
        <v>44569</v>
      </c>
      <c r="B22" s="77"/>
      <c r="C22" s="77"/>
      <c r="D22" s="78"/>
      <c r="E22" s="78"/>
      <c r="F22" s="77"/>
      <c r="G22" s="77"/>
      <c r="H22" s="77"/>
      <c r="I22" s="77"/>
    </row>
    <row r="23" spans="1:9">
      <c r="A23" s="81">
        <v>44569</v>
      </c>
      <c r="B23" s="1" t="s">
        <v>549</v>
      </c>
      <c r="C23" s="1" t="s">
        <v>714</v>
      </c>
      <c r="D23" s="3" t="s">
        <v>2</v>
      </c>
      <c r="E23" s="3" t="s">
        <v>7</v>
      </c>
      <c r="F23" s="1" t="s">
        <v>119</v>
      </c>
    </row>
    <row r="24" spans="1:9">
      <c r="A24" s="81">
        <v>44569</v>
      </c>
      <c r="B24" s="1" t="s">
        <v>713</v>
      </c>
      <c r="C24" s="1" t="s">
        <v>715</v>
      </c>
      <c r="D24" s="3" t="s">
        <v>2</v>
      </c>
      <c r="E24" s="3" t="s">
        <v>7</v>
      </c>
      <c r="F24" s="1" t="s">
        <v>119</v>
      </c>
    </row>
    <row r="25" spans="1:9">
      <c r="A25" s="81">
        <v>44569</v>
      </c>
      <c r="B25" s="1" t="s">
        <v>103</v>
      </c>
      <c r="C25" s="1" t="s">
        <v>716</v>
      </c>
      <c r="D25" s="3" t="s">
        <v>2</v>
      </c>
      <c r="E25" s="3" t="s">
        <v>7</v>
      </c>
      <c r="F25" s="1" t="s">
        <v>119</v>
      </c>
    </row>
    <row r="26" spans="1:9">
      <c r="A26" s="82">
        <v>44571</v>
      </c>
      <c r="B26" s="77"/>
      <c r="C26" s="77"/>
      <c r="D26" s="78"/>
      <c r="E26" s="78"/>
      <c r="F26" s="77"/>
      <c r="G26" s="77"/>
      <c r="H26" s="77"/>
      <c r="I26" s="77"/>
    </row>
    <row r="27" spans="1:9">
      <c r="A27" s="81">
        <v>44571</v>
      </c>
      <c r="B27" s="1" t="s">
        <v>271</v>
      </c>
      <c r="C27" s="1" t="s">
        <v>272</v>
      </c>
      <c r="D27" s="3" t="s">
        <v>2</v>
      </c>
      <c r="E27" s="3" t="s">
        <v>7</v>
      </c>
      <c r="F27" s="1" t="s">
        <v>119</v>
      </c>
    </row>
    <row r="28" spans="1:9">
      <c r="A28" s="81">
        <v>44571</v>
      </c>
      <c r="B28" s="1" t="s">
        <v>717</v>
      </c>
      <c r="C28" s="1" t="s">
        <v>720</v>
      </c>
      <c r="D28" s="3" t="s">
        <v>2</v>
      </c>
      <c r="E28" s="3" t="s">
        <v>7</v>
      </c>
      <c r="F28" s="1" t="s">
        <v>119</v>
      </c>
    </row>
    <row r="29" spans="1:9">
      <c r="A29" s="81">
        <v>44571</v>
      </c>
      <c r="B29" s="1" t="s">
        <v>718</v>
      </c>
      <c r="C29" s="1" t="s">
        <v>127</v>
      </c>
      <c r="D29" s="3" t="s">
        <v>2</v>
      </c>
      <c r="E29" s="3" t="s">
        <v>7</v>
      </c>
      <c r="F29" s="1" t="s">
        <v>119</v>
      </c>
    </row>
    <row r="30" spans="1:9">
      <c r="A30" s="81">
        <v>44571</v>
      </c>
      <c r="B30" s="1" t="s">
        <v>302</v>
      </c>
      <c r="C30" s="1" t="s">
        <v>127</v>
      </c>
      <c r="D30" s="3" t="s">
        <v>2</v>
      </c>
      <c r="E30" s="3" t="s">
        <v>7</v>
      </c>
      <c r="F30" s="1" t="s">
        <v>119</v>
      </c>
    </row>
    <row r="31" spans="1:9">
      <c r="A31" s="81">
        <v>44571</v>
      </c>
      <c r="B31" s="1" t="s">
        <v>140</v>
      </c>
      <c r="C31" s="1" t="s">
        <v>392</v>
      </c>
      <c r="D31" s="3" t="s">
        <v>2</v>
      </c>
      <c r="E31" s="3" t="s">
        <v>7</v>
      </c>
      <c r="F31" s="1" t="s">
        <v>119</v>
      </c>
    </row>
    <row r="32" spans="1:9">
      <c r="A32" s="81">
        <v>44571</v>
      </c>
      <c r="B32" s="1" t="s">
        <v>719</v>
      </c>
      <c r="C32" s="1" t="s">
        <v>721</v>
      </c>
      <c r="D32" s="3" t="s">
        <v>2</v>
      </c>
      <c r="E32" s="3" t="s">
        <v>7</v>
      </c>
      <c r="F32" s="1" t="s">
        <v>119</v>
      </c>
    </row>
    <row r="33" spans="1:9">
      <c r="A33" s="82">
        <v>44572</v>
      </c>
      <c r="B33" s="77"/>
      <c r="C33" s="77"/>
      <c r="D33" s="78"/>
      <c r="E33" s="78"/>
      <c r="F33" s="77"/>
      <c r="G33" s="77"/>
      <c r="H33" s="77"/>
      <c r="I33" s="77"/>
    </row>
    <row r="34" spans="1:9">
      <c r="A34" s="81">
        <v>44572</v>
      </c>
      <c r="B34" s="1" t="s">
        <v>468</v>
      </c>
      <c r="C34" s="1" t="s">
        <v>722</v>
      </c>
      <c r="D34" s="3" t="s">
        <v>2</v>
      </c>
      <c r="E34" s="3" t="s">
        <v>7</v>
      </c>
      <c r="F34" s="1" t="s">
        <v>119</v>
      </c>
    </row>
    <row r="35" spans="1:9">
      <c r="A35" s="81">
        <v>44572</v>
      </c>
      <c r="B35" s="1" t="s">
        <v>196</v>
      </c>
      <c r="C35" s="1" t="s">
        <v>622</v>
      </c>
      <c r="D35" s="3" t="s">
        <v>2</v>
      </c>
      <c r="E35" s="3" t="s">
        <v>7</v>
      </c>
      <c r="F35" s="1" t="s">
        <v>119</v>
      </c>
    </row>
    <row r="36" spans="1:9">
      <c r="A36" s="82">
        <v>44573</v>
      </c>
      <c r="B36" s="77"/>
      <c r="C36" s="77"/>
      <c r="D36" s="78"/>
      <c r="E36" s="78"/>
      <c r="F36" s="77"/>
      <c r="G36" s="77"/>
      <c r="H36" s="77"/>
      <c r="I36" s="77"/>
    </row>
    <row r="37" spans="1:9">
      <c r="A37" s="81">
        <v>44572</v>
      </c>
      <c r="B37" s="1" t="s">
        <v>468</v>
      </c>
      <c r="C37" s="1" t="s">
        <v>722</v>
      </c>
      <c r="D37" s="3" t="s">
        <v>2</v>
      </c>
      <c r="E37" s="3" t="s">
        <v>7</v>
      </c>
      <c r="F37" s="1" t="s">
        <v>119</v>
      </c>
    </row>
    <row r="38" spans="1:9">
      <c r="A38" s="81">
        <v>44573</v>
      </c>
      <c r="B38" s="1" t="s">
        <v>718</v>
      </c>
      <c r="C38" s="1" t="s">
        <v>127</v>
      </c>
      <c r="D38" s="3" t="s">
        <v>2</v>
      </c>
      <c r="E38" s="3" t="s">
        <v>7</v>
      </c>
      <c r="F38" s="1" t="s">
        <v>119</v>
      </c>
    </row>
    <row r="39" spans="1:9">
      <c r="A39" s="82">
        <v>44574</v>
      </c>
      <c r="B39" s="77"/>
      <c r="C39" s="77"/>
      <c r="D39" s="78"/>
      <c r="E39" s="78"/>
      <c r="F39" s="77"/>
      <c r="G39" s="77"/>
      <c r="H39" s="77"/>
      <c r="I39" s="77"/>
    </row>
    <row r="40" spans="1:9">
      <c r="A40" s="81">
        <v>44574</v>
      </c>
      <c r="B40" s="1" t="s">
        <v>12</v>
      </c>
      <c r="C40" s="1" t="s">
        <v>712</v>
      </c>
      <c r="D40" s="3" t="s">
        <v>2</v>
      </c>
      <c r="E40" s="3" t="s">
        <v>7</v>
      </c>
      <c r="F40" s="1" t="s">
        <v>119</v>
      </c>
    </row>
    <row r="41" spans="1:9">
      <c r="A41" s="81">
        <v>44574</v>
      </c>
      <c r="B41" s="1" t="s">
        <v>393</v>
      </c>
      <c r="C41" s="1" t="s">
        <v>723</v>
      </c>
      <c r="D41" s="3" t="s">
        <v>2</v>
      </c>
      <c r="E41" s="3" t="s">
        <v>7</v>
      </c>
      <c r="F41" s="1" t="s">
        <v>119</v>
      </c>
    </row>
    <row r="42" spans="1:9">
      <c r="A42" s="81">
        <v>44574</v>
      </c>
      <c r="B42" s="1" t="s">
        <v>76</v>
      </c>
      <c r="C42" s="1" t="s">
        <v>84</v>
      </c>
      <c r="D42" s="3" t="s">
        <v>2</v>
      </c>
      <c r="E42" s="3" t="s">
        <v>7</v>
      </c>
      <c r="F42" s="1" t="s">
        <v>119</v>
      </c>
    </row>
    <row r="43" spans="1:9">
      <c r="A43" s="81">
        <v>44574</v>
      </c>
      <c r="B43" s="1" t="s">
        <v>613</v>
      </c>
      <c r="C43" s="1" t="s">
        <v>724</v>
      </c>
      <c r="D43" s="3" t="s">
        <v>2</v>
      </c>
      <c r="E43" s="3" t="s">
        <v>7</v>
      </c>
      <c r="F43" s="1" t="s">
        <v>119</v>
      </c>
    </row>
    <row r="44" spans="1:9">
      <c r="A44" s="82">
        <v>44575</v>
      </c>
      <c r="B44" s="77"/>
      <c r="C44" s="77"/>
      <c r="D44" s="78"/>
      <c r="E44" s="78"/>
      <c r="F44" s="77"/>
      <c r="G44" s="77"/>
      <c r="H44" s="77"/>
      <c r="I44" s="77"/>
    </row>
    <row r="45" spans="1:9">
      <c r="A45" s="81">
        <v>44575</v>
      </c>
      <c r="B45" s="1" t="s">
        <v>155</v>
      </c>
      <c r="C45" s="1" t="s">
        <v>163</v>
      </c>
      <c r="D45" s="3" t="s">
        <v>2</v>
      </c>
      <c r="E45" s="3" t="s">
        <v>7</v>
      </c>
      <c r="F45" s="1" t="s">
        <v>119</v>
      </c>
    </row>
    <row r="46" spans="1:9">
      <c r="A46" s="81">
        <v>44575</v>
      </c>
      <c r="B46" s="1" t="s">
        <v>588</v>
      </c>
      <c r="C46" s="1" t="s">
        <v>589</v>
      </c>
      <c r="D46" s="3" t="s">
        <v>2</v>
      </c>
      <c r="E46" s="3" t="s">
        <v>7</v>
      </c>
      <c r="F46" s="1" t="s">
        <v>119</v>
      </c>
    </row>
    <row r="47" spans="1:9">
      <c r="A47" s="81">
        <v>44575</v>
      </c>
      <c r="B47" s="1" t="s">
        <v>394</v>
      </c>
      <c r="C47" s="1" t="s">
        <v>725</v>
      </c>
      <c r="D47" s="3" t="s">
        <v>2</v>
      </c>
      <c r="E47" s="3" t="s">
        <v>7</v>
      </c>
      <c r="F47" s="1" t="s">
        <v>119</v>
      </c>
    </row>
    <row r="48" spans="1:9">
      <c r="A48" s="82">
        <v>44576</v>
      </c>
      <c r="B48" s="77"/>
      <c r="C48" s="77"/>
      <c r="D48" s="78"/>
      <c r="E48" s="78"/>
      <c r="F48" s="77"/>
      <c r="G48" s="77"/>
      <c r="H48" s="77"/>
      <c r="I48" s="77"/>
    </row>
    <row r="49" spans="1:9">
      <c r="A49" s="81">
        <v>44576</v>
      </c>
      <c r="B49" s="1" t="s">
        <v>726</v>
      </c>
      <c r="C49" s="1" t="s">
        <v>727</v>
      </c>
      <c r="D49" s="3" t="s">
        <v>2</v>
      </c>
      <c r="E49" s="3" t="s">
        <v>7</v>
      </c>
      <c r="F49" s="1" t="s">
        <v>119</v>
      </c>
    </row>
    <row r="50" spans="1:9">
      <c r="A50" s="82">
        <v>44578</v>
      </c>
      <c r="B50" s="77"/>
      <c r="C50" s="77"/>
      <c r="D50" s="78"/>
      <c r="E50" s="78"/>
      <c r="F50" s="77"/>
      <c r="G50" s="77"/>
      <c r="H50" s="77"/>
      <c r="I50" s="77"/>
    </row>
    <row r="51" spans="1:9">
      <c r="A51" s="83">
        <v>44578</v>
      </c>
      <c r="B51" s="20" t="s">
        <v>728</v>
      </c>
      <c r="C51" s="20" t="s">
        <v>729</v>
      </c>
      <c r="D51" s="21" t="s">
        <v>1</v>
      </c>
      <c r="E51" s="21" t="s">
        <v>6</v>
      </c>
      <c r="F51" s="20" t="s">
        <v>110</v>
      </c>
      <c r="G51" s="20"/>
      <c r="H51" s="20"/>
      <c r="I51" s="20"/>
    </row>
    <row r="52" spans="1:9">
      <c r="A52" s="81">
        <v>44578</v>
      </c>
      <c r="B52" s="1" t="s">
        <v>726</v>
      </c>
      <c r="C52" s="1" t="s">
        <v>727</v>
      </c>
      <c r="D52" s="3" t="s">
        <v>2</v>
      </c>
      <c r="E52" s="3" t="s">
        <v>7</v>
      </c>
      <c r="F52" s="1" t="s">
        <v>119</v>
      </c>
    </row>
    <row r="53" spans="1:9">
      <c r="A53" s="81">
        <v>44578</v>
      </c>
      <c r="B53" s="1" t="s">
        <v>231</v>
      </c>
      <c r="C53" s="1" t="s">
        <v>25</v>
      </c>
      <c r="D53" s="3" t="s">
        <v>2</v>
      </c>
      <c r="E53" s="3" t="s">
        <v>7</v>
      </c>
      <c r="F53" s="1" t="s">
        <v>119</v>
      </c>
    </row>
    <row r="54" spans="1:9">
      <c r="A54" s="81">
        <v>44578</v>
      </c>
      <c r="B54" s="1" t="s">
        <v>526</v>
      </c>
      <c r="C54" s="1" t="s">
        <v>505</v>
      </c>
      <c r="D54" s="3" t="s">
        <v>2</v>
      </c>
      <c r="E54" s="3" t="s">
        <v>7</v>
      </c>
      <c r="F54" s="1" t="s">
        <v>119</v>
      </c>
    </row>
    <row r="55" spans="1:9">
      <c r="A55" s="81">
        <v>44578</v>
      </c>
      <c r="B55" s="1" t="s">
        <v>509</v>
      </c>
      <c r="C55" s="1" t="s">
        <v>510</v>
      </c>
      <c r="D55" s="3" t="s">
        <v>2</v>
      </c>
      <c r="E55" s="3" t="s">
        <v>7</v>
      </c>
      <c r="F55" s="1" t="s">
        <v>119</v>
      </c>
    </row>
    <row r="56" spans="1:9">
      <c r="A56" s="81">
        <v>44578</v>
      </c>
      <c r="B56" s="1" t="s">
        <v>58</v>
      </c>
      <c r="C56" s="1" t="s">
        <v>731</v>
      </c>
      <c r="D56" s="3" t="s">
        <v>2</v>
      </c>
      <c r="E56" s="3" t="s">
        <v>7</v>
      </c>
      <c r="F56" s="1" t="s">
        <v>119</v>
      </c>
    </row>
    <row r="57" spans="1:9">
      <c r="A57" s="81">
        <v>44578</v>
      </c>
      <c r="B57" s="1" t="s">
        <v>730</v>
      </c>
      <c r="C57" s="1" t="s">
        <v>732</v>
      </c>
      <c r="D57" s="3" t="s">
        <v>2</v>
      </c>
      <c r="E57" s="3" t="s">
        <v>7</v>
      </c>
      <c r="F57" s="1" t="s">
        <v>119</v>
      </c>
    </row>
    <row r="58" spans="1:9">
      <c r="A58" s="82">
        <v>44579</v>
      </c>
      <c r="B58" s="77"/>
      <c r="C58" s="77"/>
      <c r="D58" s="78"/>
      <c r="E58" s="78"/>
      <c r="F58" s="77"/>
      <c r="G58" s="77"/>
      <c r="H58" s="77"/>
      <c r="I58" s="77"/>
    </row>
    <row r="59" spans="1:9">
      <c r="A59" s="83">
        <v>44578</v>
      </c>
      <c r="B59" s="20" t="s">
        <v>728</v>
      </c>
      <c r="C59" s="20" t="s">
        <v>729</v>
      </c>
      <c r="D59" s="21" t="s">
        <v>1</v>
      </c>
      <c r="E59" s="21" t="s">
        <v>6</v>
      </c>
      <c r="F59" s="20" t="s">
        <v>110</v>
      </c>
      <c r="G59" s="20"/>
      <c r="H59" s="20"/>
      <c r="I59" s="20"/>
    </row>
    <row r="60" spans="1:9">
      <c r="A60" s="81">
        <v>44579</v>
      </c>
      <c r="B60" s="1" t="s">
        <v>733</v>
      </c>
      <c r="C60" s="1" t="s">
        <v>570</v>
      </c>
      <c r="D60" s="21" t="s">
        <v>1</v>
      </c>
      <c r="E60" s="21" t="s">
        <v>6</v>
      </c>
      <c r="F60" s="20" t="s">
        <v>110</v>
      </c>
    </row>
    <row r="61" spans="1:9">
      <c r="A61" s="81">
        <v>44579</v>
      </c>
      <c r="B61" s="1" t="s">
        <v>526</v>
      </c>
      <c r="C61" s="1" t="s">
        <v>505</v>
      </c>
      <c r="D61" s="3" t="s">
        <v>2</v>
      </c>
      <c r="E61" s="3" t="s">
        <v>7</v>
      </c>
      <c r="F61" s="1" t="s">
        <v>119</v>
      </c>
    </row>
    <row r="62" spans="1:9">
      <c r="A62" s="81">
        <v>44579</v>
      </c>
      <c r="B62" s="1" t="s">
        <v>440</v>
      </c>
      <c r="C62" s="1" t="s">
        <v>666</v>
      </c>
      <c r="D62" s="3" t="s">
        <v>2</v>
      </c>
      <c r="E62" s="3" t="s">
        <v>7</v>
      </c>
      <c r="F62" s="1" t="s">
        <v>119</v>
      </c>
    </row>
    <row r="63" spans="1:9">
      <c r="A63" s="81">
        <v>44579</v>
      </c>
      <c r="B63" s="1" t="s">
        <v>509</v>
      </c>
      <c r="C63" s="1" t="s">
        <v>510</v>
      </c>
      <c r="D63" s="3" t="s">
        <v>2</v>
      </c>
      <c r="E63" s="3" t="s">
        <v>7</v>
      </c>
      <c r="F63" s="1" t="s">
        <v>119</v>
      </c>
    </row>
    <row r="64" spans="1:9">
      <c r="A64" s="82">
        <v>44580</v>
      </c>
      <c r="B64" s="77"/>
      <c r="C64" s="77"/>
      <c r="D64" s="78"/>
      <c r="E64" s="78"/>
      <c r="F64" s="77"/>
      <c r="G64" s="77"/>
      <c r="H64" s="77"/>
      <c r="I64" s="77"/>
    </row>
    <row r="65" spans="1:9">
      <c r="A65" s="83">
        <v>44578</v>
      </c>
      <c r="B65" s="20" t="s">
        <v>728</v>
      </c>
      <c r="C65" s="20" t="s">
        <v>729</v>
      </c>
      <c r="D65" s="21" t="s">
        <v>1</v>
      </c>
      <c r="E65" s="21" t="s">
        <v>6</v>
      </c>
      <c r="F65" s="20" t="s">
        <v>110</v>
      </c>
      <c r="G65" s="20"/>
      <c r="H65" s="20"/>
      <c r="I65" s="20"/>
    </row>
    <row r="66" spans="1:9">
      <c r="A66" s="81">
        <v>44579</v>
      </c>
      <c r="B66" s="1" t="s">
        <v>733</v>
      </c>
      <c r="C66" s="1" t="s">
        <v>570</v>
      </c>
      <c r="D66" s="21" t="s">
        <v>1</v>
      </c>
      <c r="E66" s="21" t="s">
        <v>6</v>
      </c>
      <c r="F66" s="20" t="s">
        <v>110</v>
      </c>
    </row>
    <row r="67" spans="1:9">
      <c r="A67" s="81">
        <v>44580</v>
      </c>
      <c r="B67" s="1" t="s">
        <v>257</v>
      </c>
      <c r="C67" s="1" t="s">
        <v>258</v>
      </c>
      <c r="D67" s="21" t="s">
        <v>1</v>
      </c>
      <c r="E67" s="21" t="s">
        <v>6</v>
      </c>
      <c r="F67" s="20" t="s">
        <v>110</v>
      </c>
    </row>
    <row r="68" spans="1:9">
      <c r="A68" s="81">
        <v>44580</v>
      </c>
      <c r="B68" s="1" t="s">
        <v>509</v>
      </c>
      <c r="C68" s="1" t="s">
        <v>510</v>
      </c>
      <c r="D68" s="3" t="s">
        <v>2</v>
      </c>
      <c r="E68" s="3" t="s">
        <v>7</v>
      </c>
      <c r="F68" s="1" t="s">
        <v>119</v>
      </c>
    </row>
    <row r="69" spans="1:9">
      <c r="A69" s="81">
        <v>44580</v>
      </c>
      <c r="B69" s="1" t="s">
        <v>431</v>
      </c>
      <c r="C69" s="1" t="s">
        <v>735</v>
      </c>
      <c r="D69" s="3" t="s">
        <v>2</v>
      </c>
      <c r="E69" s="3" t="s">
        <v>7</v>
      </c>
      <c r="F69" s="1" t="s">
        <v>119</v>
      </c>
    </row>
    <row r="70" spans="1:9">
      <c r="A70" s="81">
        <v>44580</v>
      </c>
      <c r="B70" s="1" t="s">
        <v>58</v>
      </c>
      <c r="C70" s="1" t="s">
        <v>731</v>
      </c>
      <c r="D70" s="3" t="s">
        <v>2</v>
      </c>
      <c r="E70" s="3" t="s">
        <v>7</v>
      </c>
      <c r="F70" s="1" t="s">
        <v>119</v>
      </c>
    </row>
    <row r="71" spans="1:9">
      <c r="A71" s="81">
        <v>44580</v>
      </c>
      <c r="B71" s="1" t="s">
        <v>734</v>
      </c>
      <c r="C71" s="1" t="s">
        <v>736</v>
      </c>
      <c r="D71" s="3" t="s">
        <v>2</v>
      </c>
      <c r="E71" s="3" t="s">
        <v>7</v>
      </c>
      <c r="F71" s="1" t="s">
        <v>119</v>
      </c>
    </row>
    <row r="72" spans="1:9">
      <c r="A72" s="82">
        <v>43850</v>
      </c>
      <c r="B72" s="77"/>
      <c r="C72" s="77"/>
      <c r="D72" s="78"/>
      <c r="E72" s="78"/>
      <c r="F72" s="77"/>
      <c r="G72" s="77"/>
      <c r="H72" s="77"/>
      <c r="I72" s="77"/>
    </row>
    <row r="73" spans="1:9">
      <c r="A73" s="83">
        <v>44578</v>
      </c>
      <c r="B73" s="20" t="s">
        <v>728</v>
      </c>
      <c r="C73" s="20" t="s">
        <v>729</v>
      </c>
      <c r="D73" s="21" t="s">
        <v>1</v>
      </c>
      <c r="E73" s="21" t="s">
        <v>6</v>
      </c>
      <c r="F73" s="20" t="s">
        <v>110</v>
      </c>
      <c r="G73" s="20"/>
      <c r="H73" s="20"/>
      <c r="I73" s="20"/>
    </row>
    <row r="74" spans="1:9">
      <c r="A74" s="81">
        <v>44580</v>
      </c>
      <c r="B74" s="1" t="s">
        <v>431</v>
      </c>
      <c r="C74" s="1" t="s">
        <v>735</v>
      </c>
      <c r="D74" s="3" t="s">
        <v>2</v>
      </c>
      <c r="E74" s="3" t="s">
        <v>7</v>
      </c>
      <c r="F74" s="1" t="s">
        <v>119</v>
      </c>
    </row>
    <row r="75" spans="1:9">
      <c r="A75" s="81">
        <v>44580</v>
      </c>
      <c r="B75" s="1" t="s">
        <v>734</v>
      </c>
      <c r="C75" s="1" t="s">
        <v>736</v>
      </c>
      <c r="D75" s="3" t="s">
        <v>2</v>
      </c>
      <c r="E75" s="3" t="s">
        <v>7</v>
      </c>
      <c r="F75" s="1" t="s">
        <v>119</v>
      </c>
    </row>
    <row r="76" spans="1:9">
      <c r="A76" s="81">
        <v>44581</v>
      </c>
      <c r="B76" s="1" t="s">
        <v>473</v>
      </c>
      <c r="C76" s="1" t="s">
        <v>704</v>
      </c>
      <c r="D76" s="3" t="s">
        <v>2</v>
      </c>
      <c r="E76" s="3" t="s">
        <v>7</v>
      </c>
      <c r="F76" s="1" t="s">
        <v>119</v>
      </c>
    </row>
    <row r="77" spans="1:9">
      <c r="A77" s="81">
        <v>44581</v>
      </c>
      <c r="B77" s="1" t="s">
        <v>103</v>
      </c>
      <c r="C77" s="1" t="s">
        <v>575</v>
      </c>
      <c r="D77" s="3" t="s">
        <v>2</v>
      </c>
      <c r="E77" s="3" t="s">
        <v>7</v>
      </c>
      <c r="F77" s="1" t="s">
        <v>119</v>
      </c>
    </row>
    <row r="78" spans="1:9">
      <c r="A78" s="81">
        <v>44581</v>
      </c>
      <c r="B78" s="1" t="s">
        <v>613</v>
      </c>
      <c r="C78" s="1" t="s">
        <v>737</v>
      </c>
      <c r="D78" s="3" t="s">
        <v>2</v>
      </c>
      <c r="E78" s="3" t="s">
        <v>7</v>
      </c>
      <c r="F78" s="1" t="s">
        <v>119</v>
      </c>
    </row>
    <row r="79" spans="1:9">
      <c r="A79" s="82">
        <v>44582</v>
      </c>
      <c r="B79" s="77"/>
      <c r="C79" s="77"/>
      <c r="D79" s="78"/>
      <c r="E79" s="78"/>
      <c r="F79" s="77"/>
      <c r="G79" s="77"/>
      <c r="H79" s="77"/>
      <c r="I79" s="77"/>
    </row>
    <row r="80" spans="1:9">
      <c r="A80" s="81">
        <v>44582</v>
      </c>
      <c r="B80" s="1" t="s">
        <v>219</v>
      </c>
      <c r="C80" s="1" t="s">
        <v>638</v>
      </c>
      <c r="D80" s="3" t="s">
        <v>1</v>
      </c>
      <c r="E80" s="3" t="s">
        <v>6</v>
      </c>
      <c r="F80" s="1" t="s">
        <v>110</v>
      </c>
    </row>
    <row r="81" spans="1:9">
      <c r="A81" s="82">
        <v>44583</v>
      </c>
      <c r="B81" s="77"/>
      <c r="C81" s="77"/>
      <c r="D81" s="78"/>
      <c r="E81" s="78"/>
      <c r="F81" s="77"/>
      <c r="G81" s="77"/>
      <c r="H81" s="77"/>
      <c r="I81" s="77"/>
    </row>
    <row r="82" spans="1:9">
      <c r="A82" s="81">
        <v>44583</v>
      </c>
      <c r="B82" s="1" t="s">
        <v>738</v>
      </c>
      <c r="C82" s="1" t="s">
        <v>739</v>
      </c>
      <c r="D82" s="3" t="s">
        <v>2</v>
      </c>
      <c r="E82" s="3" t="s">
        <v>7</v>
      </c>
      <c r="F82" s="1" t="s">
        <v>119</v>
      </c>
    </row>
    <row r="83" spans="1:9">
      <c r="A83" s="81">
        <v>44583</v>
      </c>
      <c r="B83" s="1" t="s">
        <v>466</v>
      </c>
      <c r="C83" s="1" t="s">
        <v>544</v>
      </c>
      <c r="D83" s="3" t="s">
        <v>2</v>
      </c>
      <c r="E83" s="3" t="s">
        <v>7</v>
      </c>
      <c r="F83" s="1" t="s">
        <v>119</v>
      </c>
    </row>
    <row r="84" spans="1:9">
      <c r="A84" s="82">
        <v>44585</v>
      </c>
      <c r="B84" s="77"/>
      <c r="C84" s="77"/>
      <c r="D84" s="78"/>
      <c r="E84" s="78"/>
      <c r="F84" s="77"/>
      <c r="G84" s="77"/>
      <c r="H84" s="77"/>
      <c r="I84" s="77"/>
    </row>
    <row r="85" spans="1:9">
      <c r="A85" s="81">
        <v>44584</v>
      </c>
      <c r="B85" s="1" t="s">
        <v>266</v>
      </c>
      <c r="C85" s="1" t="s">
        <v>267</v>
      </c>
      <c r="D85" s="3" t="s">
        <v>1</v>
      </c>
      <c r="E85" s="3" t="s">
        <v>6</v>
      </c>
      <c r="F85" s="1" t="s">
        <v>110</v>
      </c>
    </row>
    <row r="86" spans="1:9">
      <c r="A86" s="81">
        <v>44584</v>
      </c>
      <c r="B86" s="1" t="s">
        <v>388</v>
      </c>
      <c r="C86" s="1" t="s">
        <v>267</v>
      </c>
      <c r="D86" s="3" t="s">
        <v>1</v>
      </c>
      <c r="E86" s="3" t="s">
        <v>6</v>
      </c>
      <c r="F86" s="1" t="s">
        <v>110</v>
      </c>
    </row>
    <row r="87" spans="1:9">
      <c r="A87" s="81">
        <v>44585</v>
      </c>
      <c r="B87" s="1" t="s">
        <v>466</v>
      </c>
      <c r="C87" s="1" t="s">
        <v>740</v>
      </c>
      <c r="D87" s="3" t="s">
        <v>1</v>
      </c>
      <c r="E87" s="3" t="s">
        <v>6</v>
      </c>
      <c r="F87" s="1" t="s">
        <v>110</v>
      </c>
    </row>
    <row r="88" spans="1:9">
      <c r="A88" s="81">
        <v>44585</v>
      </c>
      <c r="B88" s="1" t="s">
        <v>741</v>
      </c>
      <c r="C88" s="1" t="s">
        <v>232</v>
      </c>
      <c r="D88" s="3" t="s">
        <v>1</v>
      </c>
      <c r="E88" s="3" t="s">
        <v>6</v>
      </c>
      <c r="F88" s="1" t="s">
        <v>110</v>
      </c>
    </row>
    <row r="89" spans="1:9">
      <c r="A89" s="81">
        <v>44585</v>
      </c>
      <c r="B89" s="1" t="s">
        <v>742</v>
      </c>
      <c r="C89" s="1" t="s">
        <v>743</v>
      </c>
      <c r="D89" s="3" t="s">
        <v>2</v>
      </c>
      <c r="E89" s="3" t="s">
        <v>7</v>
      </c>
      <c r="F89" s="1" t="s">
        <v>119</v>
      </c>
    </row>
    <row r="90" spans="1:9">
      <c r="A90" s="82">
        <v>44586</v>
      </c>
      <c r="B90" s="77"/>
      <c r="C90" s="77"/>
      <c r="D90" s="78"/>
      <c r="E90" s="78"/>
      <c r="F90" s="77"/>
      <c r="G90" s="77"/>
      <c r="H90" s="77"/>
      <c r="I90" s="77"/>
    </row>
    <row r="91" spans="1:9">
      <c r="A91" s="81">
        <v>44584</v>
      </c>
      <c r="B91" s="1" t="s">
        <v>266</v>
      </c>
      <c r="C91" s="1" t="s">
        <v>267</v>
      </c>
      <c r="D91" s="3" t="s">
        <v>1</v>
      </c>
      <c r="E91" s="3" t="s">
        <v>6</v>
      </c>
      <c r="F91" s="1" t="s">
        <v>110</v>
      </c>
    </row>
    <row r="92" spans="1:9">
      <c r="A92" s="81">
        <v>44584</v>
      </c>
      <c r="B92" s="1" t="s">
        <v>388</v>
      </c>
      <c r="C92" s="1" t="s">
        <v>267</v>
      </c>
      <c r="D92" s="3" t="s">
        <v>1</v>
      </c>
      <c r="E92" s="3" t="s">
        <v>6</v>
      </c>
      <c r="F92" s="1" t="s">
        <v>110</v>
      </c>
    </row>
    <row r="93" spans="1:9">
      <c r="A93" s="81">
        <v>44585</v>
      </c>
      <c r="B93" s="1" t="s">
        <v>742</v>
      </c>
      <c r="C93" s="1" t="s">
        <v>743</v>
      </c>
      <c r="D93" s="3" t="s">
        <v>2</v>
      </c>
      <c r="E93" s="3" t="s">
        <v>7</v>
      </c>
      <c r="F93" s="1" t="s">
        <v>744</v>
      </c>
    </row>
    <row r="94" spans="1:9">
      <c r="A94" s="81">
        <v>44586</v>
      </c>
      <c r="B94" s="1" t="s">
        <v>95</v>
      </c>
      <c r="C94" s="1" t="s">
        <v>96</v>
      </c>
      <c r="D94" s="3" t="s">
        <v>2</v>
      </c>
      <c r="E94" s="3" t="s">
        <v>7</v>
      </c>
      <c r="F94" s="1" t="s">
        <v>119</v>
      </c>
    </row>
    <row r="95" spans="1:9">
      <c r="A95" s="82">
        <v>44587</v>
      </c>
      <c r="B95" s="77"/>
      <c r="C95" s="77"/>
      <c r="D95" s="78"/>
      <c r="E95" s="78"/>
      <c r="F95" s="77"/>
      <c r="G95" s="77"/>
      <c r="H95" s="77"/>
      <c r="I95" s="77"/>
    </row>
    <row r="96" spans="1:9">
      <c r="A96" s="81">
        <v>44584</v>
      </c>
      <c r="B96" s="1" t="s">
        <v>266</v>
      </c>
      <c r="C96" s="1" t="s">
        <v>267</v>
      </c>
      <c r="D96" s="3" t="s">
        <v>1</v>
      </c>
      <c r="E96" s="3" t="s">
        <v>6</v>
      </c>
      <c r="F96" s="1" t="s">
        <v>745</v>
      </c>
    </row>
    <row r="97" spans="1:9">
      <c r="A97" s="81">
        <v>44584</v>
      </c>
      <c r="B97" s="1" t="s">
        <v>388</v>
      </c>
      <c r="C97" s="1" t="s">
        <v>267</v>
      </c>
      <c r="D97" s="3" t="s">
        <v>1</v>
      </c>
      <c r="E97" s="3" t="s">
        <v>6</v>
      </c>
      <c r="F97" s="1" t="s">
        <v>745</v>
      </c>
    </row>
    <row r="98" spans="1:9">
      <c r="A98" s="81">
        <v>44587</v>
      </c>
      <c r="B98" s="1" t="s">
        <v>617</v>
      </c>
      <c r="C98" s="1" t="s">
        <v>746</v>
      </c>
      <c r="D98" s="3" t="s">
        <v>1</v>
      </c>
      <c r="E98" s="3" t="s">
        <v>6</v>
      </c>
      <c r="F98" s="1" t="s">
        <v>110</v>
      </c>
    </row>
    <row r="99" spans="1:9">
      <c r="A99" s="81">
        <v>44585</v>
      </c>
      <c r="B99" s="1" t="s">
        <v>742</v>
      </c>
      <c r="C99" s="1" t="s">
        <v>743</v>
      </c>
      <c r="D99" s="3" t="s">
        <v>2</v>
      </c>
      <c r="E99" s="3" t="s">
        <v>7</v>
      </c>
      <c r="F99" s="1" t="s">
        <v>119</v>
      </c>
    </row>
    <row r="100" spans="1:9">
      <c r="A100" s="81">
        <v>44587</v>
      </c>
      <c r="B100" s="1" t="s">
        <v>95</v>
      </c>
      <c r="C100" s="1" t="s">
        <v>96</v>
      </c>
      <c r="D100" s="3" t="s">
        <v>2</v>
      </c>
      <c r="E100" s="3" t="s">
        <v>7</v>
      </c>
      <c r="F100" s="1" t="s">
        <v>119</v>
      </c>
    </row>
    <row r="101" spans="1:9">
      <c r="A101" s="81">
        <v>44587</v>
      </c>
      <c r="B101" s="1" t="s">
        <v>670</v>
      </c>
      <c r="C101" s="1" t="s">
        <v>747</v>
      </c>
      <c r="D101" s="3" t="s">
        <v>2</v>
      </c>
      <c r="E101" s="3" t="s">
        <v>7</v>
      </c>
      <c r="F101" s="1" t="s">
        <v>119</v>
      </c>
    </row>
    <row r="102" spans="1:9">
      <c r="A102" s="81">
        <v>44587</v>
      </c>
      <c r="B102" s="1" t="s">
        <v>58</v>
      </c>
      <c r="C102" s="1" t="s">
        <v>731</v>
      </c>
      <c r="D102" s="3" t="s">
        <v>2</v>
      </c>
      <c r="E102" s="3" t="s">
        <v>7</v>
      </c>
      <c r="F102" s="1" t="s">
        <v>119</v>
      </c>
    </row>
    <row r="103" spans="1:9">
      <c r="A103" s="82">
        <v>44588</v>
      </c>
      <c r="B103" s="77"/>
      <c r="C103" s="77"/>
      <c r="D103" s="78"/>
      <c r="E103" s="78"/>
      <c r="F103" s="77"/>
      <c r="G103" s="77"/>
      <c r="H103" s="77"/>
      <c r="I103" s="77"/>
    </row>
    <row r="104" spans="1:9">
      <c r="A104" s="81">
        <v>44584</v>
      </c>
      <c r="B104" s="1" t="s">
        <v>266</v>
      </c>
      <c r="C104" s="1" t="s">
        <v>267</v>
      </c>
      <c r="D104" s="3" t="s">
        <v>1</v>
      </c>
      <c r="E104" s="3" t="s">
        <v>6</v>
      </c>
      <c r="F104" s="1" t="s">
        <v>745</v>
      </c>
    </row>
    <row r="105" spans="1:9">
      <c r="A105" s="81">
        <v>44584</v>
      </c>
      <c r="B105" s="1" t="s">
        <v>388</v>
      </c>
      <c r="C105" s="1" t="s">
        <v>267</v>
      </c>
      <c r="D105" s="3" t="s">
        <v>1</v>
      </c>
      <c r="E105" s="3" t="s">
        <v>6</v>
      </c>
      <c r="F105" s="1" t="s">
        <v>745</v>
      </c>
    </row>
    <row r="106" spans="1:9">
      <c r="A106" s="81">
        <v>44588</v>
      </c>
      <c r="B106" s="1" t="s">
        <v>741</v>
      </c>
      <c r="C106" s="1" t="s">
        <v>232</v>
      </c>
      <c r="D106" s="3" t="s">
        <v>1</v>
      </c>
      <c r="E106" s="3" t="s">
        <v>6</v>
      </c>
      <c r="F106" s="1" t="s">
        <v>110</v>
      </c>
    </row>
    <row r="107" spans="1:9">
      <c r="A107" s="81">
        <v>44588</v>
      </c>
      <c r="B107" s="1" t="s">
        <v>748</v>
      </c>
      <c r="C107" s="1" t="s">
        <v>749</v>
      </c>
      <c r="D107" s="3" t="s">
        <v>1</v>
      </c>
      <c r="E107" s="3" t="s">
        <v>6</v>
      </c>
      <c r="F107" s="1" t="s">
        <v>110</v>
      </c>
    </row>
    <row r="108" spans="1:9">
      <c r="A108" s="81">
        <v>44588</v>
      </c>
      <c r="B108" s="1" t="s">
        <v>248</v>
      </c>
      <c r="C108" s="1" t="s">
        <v>750</v>
      </c>
      <c r="D108" s="3" t="s">
        <v>2</v>
      </c>
      <c r="E108" s="3" t="s">
        <v>7</v>
      </c>
      <c r="F108" s="1" t="s">
        <v>119</v>
      </c>
    </row>
    <row r="109" spans="1:9">
      <c r="A109" s="81">
        <v>44588</v>
      </c>
      <c r="B109" s="1" t="s">
        <v>238</v>
      </c>
      <c r="C109" s="1" t="s">
        <v>751</v>
      </c>
      <c r="D109" s="3" t="s">
        <v>2</v>
      </c>
      <c r="E109" s="3" t="s">
        <v>7</v>
      </c>
      <c r="F109" s="1" t="s">
        <v>119</v>
      </c>
    </row>
    <row r="110" spans="1:9">
      <c r="A110" s="81">
        <v>44588</v>
      </c>
      <c r="B110" s="1" t="s">
        <v>95</v>
      </c>
      <c r="C110" s="1" t="s">
        <v>752</v>
      </c>
      <c r="D110" s="3" t="s">
        <v>2</v>
      </c>
      <c r="E110" s="3" t="s">
        <v>7</v>
      </c>
      <c r="F110" s="1" t="s">
        <v>119</v>
      </c>
    </row>
    <row r="111" spans="1:9">
      <c r="A111" s="81">
        <v>44588</v>
      </c>
      <c r="B111" s="1" t="s">
        <v>611</v>
      </c>
      <c r="C111" s="1" t="s">
        <v>753</v>
      </c>
      <c r="D111" s="3" t="s">
        <v>2</v>
      </c>
      <c r="E111" s="3" t="s">
        <v>7</v>
      </c>
      <c r="F111" s="1" t="s">
        <v>119</v>
      </c>
    </row>
    <row r="112" spans="1:9">
      <c r="A112" s="81">
        <v>44588</v>
      </c>
      <c r="B112" s="1" t="s">
        <v>617</v>
      </c>
      <c r="C112" s="1" t="s">
        <v>746</v>
      </c>
      <c r="D112" s="3" t="s">
        <v>2</v>
      </c>
      <c r="E112" s="3" t="s">
        <v>7</v>
      </c>
      <c r="F112" s="1" t="s">
        <v>119</v>
      </c>
    </row>
    <row r="113" spans="1:9">
      <c r="A113" s="82">
        <v>44589</v>
      </c>
      <c r="B113" s="77"/>
      <c r="C113" s="77"/>
      <c r="D113" s="78"/>
      <c r="E113" s="78"/>
      <c r="F113" s="77"/>
      <c r="G113" s="77"/>
      <c r="H113" s="77"/>
      <c r="I113" s="77"/>
    </row>
    <row r="114" spans="1:9">
      <c r="A114" s="81">
        <v>44584</v>
      </c>
      <c r="B114" s="1" t="s">
        <v>266</v>
      </c>
      <c r="C114" s="1" t="s">
        <v>267</v>
      </c>
      <c r="D114" s="3" t="s">
        <v>1</v>
      </c>
      <c r="E114" s="3" t="s">
        <v>6</v>
      </c>
      <c r="F114" s="1" t="s">
        <v>745</v>
      </c>
    </row>
    <row r="115" spans="1:9">
      <c r="A115" s="81">
        <v>44584</v>
      </c>
      <c r="B115" s="1" t="s">
        <v>388</v>
      </c>
      <c r="C115" s="1" t="s">
        <v>267</v>
      </c>
      <c r="D115" s="3" t="s">
        <v>1</v>
      </c>
      <c r="E115" s="3" t="s">
        <v>6</v>
      </c>
      <c r="F115" s="1" t="s">
        <v>745</v>
      </c>
    </row>
    <row r="116" spans="1:9">
      <c r="A116" s="81">
        <v>44588</v>
      </c>
      <c r="B116" s="1" t="s">
        <v>741</v>
      </c>
      <c r="C116" s="1" t="s">
        <v>232</v>
      </c>
      <c r="D116" s="3" t="s">
        <v>2</v>
      </c>
      <c r="E116" s="3" t="s">
        <v>754</v>
      </c>
      <c r="F116" s="1" t="s">
        <v>119</v>
      </c>
    </row>
    <row r="117" spans="1:9">
      <c r="A117" s="81">
        <v>44589</v>
      </c>
      <c r="B117" s="1" t="s">
        <v>11</v>
      </c>
      <c r="C117" s="1" t="s">
        <v>25</v>
      </c>
      <c r="D117" s="3" t="s">
        <v>2</v>
      </c>
      <c r="E117" s="3" t="s">
        <v>7</v>
      </c>
      <c r="F117" s="1" t="s">
        <v>119</v>
      </c>
    </row>
    <row r="118" spans="1:9">
      <c r="A118" s="81">
        <v>44589</v>
      </c>
      <c r="B118" s="1" t="s">
        <v>440</v>
      </c>
      <c r="C118" s="1" t="s">
        <v>666</v>
      </c>
      <c r="D118" s="3" t="s">
        <v>2</v>
      </c>
      <c r="E118" s="3" t="s">
        <v>7</v>
      </c>
      <c r="F118" s="1" t="s">
        <v>119</v>
      </c>
    </row>
    <row r="119" spans="1:9">
      <c r="A119" s="81">
        <v>44589</v>
      </c>
      <c r="B119" s="1" t="s">
        <v>670</v>
      </c>
      <c r="C119" s="1" t="s">
        <v>672</v>
      </c>
      <c r="D119" s="3" t="s">
        <v>2</v>
      </c>
      <c r="E119" s="3" t="s">
        <v>7</v>
      </c>
      <c r="F119" s="1" t="s">
        <v>119</v>
      </c>
    </row>
    <row r="120" spans="1:9">
      <c r="A120" s="81">
        <v>44589</v>
      </c>
      <c r="B120" s="1" t="s">
        <v>184</v>
      </c>
      <c r="C120" s="1" t="s">
        <v>589</v>
      </c>
      <c r="D120" s="3" t="s">
        <v>2</v>
      </c>
      <c r="E120" s="3" t="s">
        <v>7</v>
      </c>
      <c r="F120" s="1" t="s">
        <v>119</v>
      </c>
    </row>
    <row r="121" spans="1:9">
      <c r="A121" s="82">
        <v>44590</v>
      </c>
      <c r="B121" s="77"/>
      <c r="C121" s="77"/>
      <c r="D121" s="78"/>
      <c r="E121" s="78"/>
      <c r="F121" s="77"/>
      <c r="G121" s="77"/>
      <c r="H121" s="77"/>
      <c r="I121" s="77"/>
    </row>
    <row r="122" spans="1:9">
      <c r="A122" s="81">
        <v>44590</v>
      </c>
      <c r="B122" s="1" t="s">
        <v>670</v>
      </c>
      <c r="C122" s="1" t="s">
        <v>672</v>
      </c>
      <c r="D122" s="3" t="s">
        <v>2</v>
      </c>
      <c r="E122" s="3" t="s">
        <v>7</v>
      </c>
      <c r="F122" s="1" t="s">
        <v>119</v>
      </c>
    </row>
    <row r="123" spans="1:9">
      <c r="A123" s="82">
        <v>44592</v>
      </c>
      <c r="B123" s="77"/>
      <c r="C123" s="77"/>
      <c r="D123" s="78"/>
      <c r="E123" s="78"/>
      <c r="F123" s="77"/>
      <c r="G123" s="77"/>
      <c r="H123" s="77"/>
      <c r="I123" s="77"/>
    </row>
    <row r="124" spans="1:9">
      <c r="A124" s="81">
        <v>44592</v>
      </c>
      <c r="B124" s="1" t="s">
        <v>12</v>
      </c>
      <c r="C124" s="1" t="s">
        <v>26</v>
      </c>
      <c r="D124" s="3" t="s">
        <v>2</v>
      </c>
      <c r="E124" s="3" t="s">
        <v>7</v>
      </c>
      <c r="F124" s="1" t="s">
        <v>119</v>
      </c>
    </row>
    <row r="125" spans="1:9">
      <c r="A125" s="81">
        <v>44592</v>
      </c>
      <c r="B125" s="1" t="s">
        <v>381</v>
      </c>
      <c r="C125" s="1" t="s">
        <v>385</v>
      </c>
      <c r="D125" s="3" t="s">
        <v>2</v>
      </c>
      <c r="E125" s="3" t="s">
        <v>7</v>
      </c>
      <c r="F125" s="1" t="s">
        <v>119</v>
      </c>
    </row>
    <row r="126" spans="1:9">
      <c r="A126" s="81">
        <v>44592</v>
      </c>
      <c r="B126" s="1" t="s">
        <v>303</v>
      </c>
      <c r="C126" s="1" t="s">
        <v>639</v>
      </c>
      <c r="D126" s="3" t="s">
        <v>2</v>
      </c>
      <c r="E126" s="3" t="s">
        <v>7</v>
      </c>
      <c r="F126" s="1" t="s">
        <v>119</v>
      </c>
    </row>
    <row r="127" spans="1:9">
      <c r="A127" s="81">
        <v>44592</v>
      </c>
      <c r="B127" s="1" t="s">
        <v>719</v>
      </c>
      <c r="C127" s="1" t="s">
        <v>721</v>
      </c>
      <c r="D127" s="3" t="s">
        <v>2</v>
      </c>
      <c r="E127" s="3" t="s">
        <v>7</v>
      </c>
      <c r="F127" s="1" t="s">
        <v>119</v>
      </c>
    </row>
    <row r="128" spans="1:9">
      <c r="A128" s="81">
        <v>44592</v>
      </c>
      <c r="B128" s="1" t="s">
        <v>748</v>
      </c>
      <c r="C128" s="1" t="s">
        <v>755</v>
      </c>
      <c r="D128" s="3" t="s">
        <v>2</v>
      </c>
      <c r="E128" s="3" t="s">
        <v>7</v>
      </c>
      <c r="F128" s="1" t="s">
        <v>119</v>
      </c>
    </row>
    <row r="129" spans="1:9">
      <c r="A129" s="84">
        <v>44593</v>
      </c>
      <c r="B129" s="47"/>
      <c r="C129" s="47"/>
      <c r="D129" s="48"/>
      <c r="E129" s="48"/>
      <c r="F129" s="47"/>
      <c r="G129" s="47"/>
      <c r="H129" s="47"/>
      <c r="I129" s="47"/>
    </row>
    <row r="130" spans="1:9">
      <c r="A130" s="81">
        <v>44593</v>
      </c>
      <c r="B130" s="1" t="s">
        <v>558</v>
      </c>
      <c r="C130" s="1" t="s">
        <v>560</v>
      </c>
      <c r="D130" s="3" t="s">
        <v>2</v>
      </c>
      <c r="E130" s="3" t="s">
        <v>7</v>
      </c>
      <c r="F130" s="1" t="s">
        <v>119</v>
      </c>
    </row>
    <row r="131" spans="1:9">
      <c r="A131" s="84">
        <v>44594</v>
      </c>
      <c r="B131" s="47"/>
      <c r="C131" s="47"/>
      <c r="D131" s="48"/>
      <c r="E131" s="48"/>
      <c r="F131" s="47"/>
      <c r="G131" s="47"/>
      <c r="H131" s="47"/>
      <c r="I131" s="47"/>
    </row>
    <row r="132" spans="1:9">
      <c r="A132" s="81">
        <v>44593</v>
      </c>
      <c r="B132" s="1" t="s">
        <v>738</v>
      </c>
      <c r="C132" s="1" t="s">
        <v>739</v>
      </c>
      <c r="D132" s="3" t="s">
        <v>1</v>
      </c>
      <c r="E132" s="3" t="s">
        <v>6</v>
      </c>
      <c r="F132" s="1" t="s">
        <v>110</v>
      </c>
    </row>
    <row r="133" spans="1:9">
      <c r="A133" s="81">
        <v>44593</v>
      </c>
      <c r="B133" s="1" t="s">
        <v>359</v>
      </c>
      <c r="C133" s="1" t="s">
        <v>194</v>
      </c>
      <c r="D133" s="3" t="s">
        <v>1</v>
      </c>
      <c r="E133" s="3" t="s">
        <v>6</v>
      </c>
      <c r="F133" s="1" t="s">
        <v>110</v>
      </c>
    </row>
    <row r="134" spans="1:9">
      <c r="A134" s="81">
        <v>44594</v>
      </c>
      <c r="B134" s="1" t="s">
        <v>333</v>
      </c>
      <c r="C134" s="1" t="s">
        <v>339</v>
      </c>
      <c r="D134" s="3" t="s">
        <v>1</v>
      </c>
      <c r="E134" s="3" t="s">
        <v>6</v>
      </c>
      <c r="F134" s="1" t="s">
        <v>110</v>
      </c>
    </row>
    <row r="135" spans="1:9">
      <c r="A135" s="81">
        <v>44594</v>
      </c>
      <c r="B135" s="1" t="s">
        <v>114</v>
      </c>
      <c r="C135" s="1" t="s">
        <v>116</v>
      </c>
      <c r="D135" s="3" t="s">
        <v>2</v>
      </c>
      <c r="E135" s="3" t="s">
        <v>7</v>
      </c>
      <c r="F135" s="1" t="s">
        <v>119</v>
      </c>
    </row>
    <row r="136" spans="1:9">
      <c r="A136" s="81">
        <v>44594</v>
      </c>
      <c r="B136" s="1" t="s">
        <v>103</v>
      </c>
      <c r="C136" s="1" t="s">
        <v>104</v>
      </c>
      <c r="D136" s="3" t="s">
        <v>2</v>
      </c>
      <c r="E136" s="3" t="s">
        <v>7</v>
      </c>
      <c r="F136" s="1" t="s">
        <v>119</v>
      </c>
    </row>
    <row r="137" spans="1:9">
      <c r="A137" s="84">
        <v>44595</v>
      </c>
      <c r="B137" s="47"/>
      <c r="C137" s="47"/>
      <c r="D137" s="48"/>
      <c r="E137" s="48"/>
      <c r="F137" s="47"/>
      <c r="G137" s="47"/>
      <c r="H137" s="47"/>
      <c r="I137" s="47"/>
    </row>
    <row r="138" spans="1:9">
      <c r="A138" s="83">
        <v>44595</v>
      </c>
      <c r="B138" s="20" t="s">
        <v>370</v>
      </c>
      <c r="C138" s="20" t="s">
        <v>374</v>
      </c>
      <c r="D138" s="21" t="s">
        <v>1</v>
      </c>
      <c r="E138" s="3" t="s">
        <v>6</v>
      </c>
      <c r="F138" s="20" t="s">
        <v>110</v>
      </c>
      <c r="G138" s="20"/>
      <c r="H138" s="20"/>
      <c r="I138" s="20"/>
    </row>
    <row r="139" spans="1:9">
      <c r="A139" s="81">
        <v>44593</v>
      </c>
      <c r="B139" s="1" t="s">
        <v>738</v>
      </c>
      <c r="C139" s="1" t="s">
        <v>739</v>
      </c>
      <c r="D139" s="3" t="s">
        <v>2</v>
      </c>
      <c r="E139" s="3" t="s">
        <v>7</v>
      </c>
      <c r="F139" s="1" t="s">
        <v>110</v>
      </c>
    </row>
    <row r="140" spans="1:9">
      <c r="A140" s="81">
        <v>44593</v>
      </c>
      <c r="B140" s="1" t="s">
        <v>359</v>
      </c>
      <c r="C140" s="1" t="s">
        <v>194</v>
      </c>
      <c r="D140" s="3" t="s">
        <v>2</v>
      </c>
      <c r="E140" s="3" t="s">
        <v>7</v>
      </c>
      <c r="F140" s="1" t="s">
        <v>110</v>
      </c>
    </row>
    <row r="141" spans="1:9">
      <c r="A141" s="81">
        <v>44595</v>
      </c>
      <c r="B141" s="1" t="s">
        <v>201</v>
      </c>
      <c r="C141" s="1" t="s">
        <v>756</v>
      </c>
      <c r="D141" s="3" t="s">
        <v>2</v>
      </c>
      <c r="E141" s="3" t="s">
        <v>7</v>
      </c>
      <c r="F141" s="1" t="s">
        <v>119</v>
      </c>
    </row>
    <row r="142" spans="1:9">
      <c r="A142" s="81">
        <v>44595</v>
      </c>
      <c r="B142" s="1" t="s">
        <v>114</v>
      </c>
      <c r="C142" s="1" t="s">
        <v>757</v>
      </c>
      <c r="D142" s="3" t="s">
        <v>2</v>
      </c>
      <c r="E142" s="3" t="s">
        <v>7</v>
      </c>
      <c r="F142" s="1" t="s">
        <v>119</v>
      </c>
    </row>
    <row r="143" spans="1:9">
      <c r="A143" s="81">
        <v>44595</v>
      </c>
      <c r="B143" s="1" t="s">
        <v>92</v>
      </c>
      <c r="C143" s="1" t="s">
        <v>91</v>
      </c>
      <c r="D143" s="3" t="s">
        <v>2</v>
      </c>
      <c r="E143" s="3" t="s">
        <v>7</v>
      </c>
      <c r="F143" s="1" t="s">
        <v>119</v>
      </c>
    </row>
    <row r="144" spans="1:9">
      <c r="A144" s="84">
        <v>44596</v>
      </c>
      <c r="B144" s="47"/>
      <c r="C144" s="47"/>
      <c r="D144" s="48"/>
      <c r="E144" s="48"/>
      <c r="F144" s="47"/>
      <c r="G144" s="47"/>
      <c r="H144" s="47"/>
      <c r="I144" s="47"/>
    </row>
    <row r="145" spans="1:9">
      <c r="A145" s="83">
        <v>44595</v>
      </c>
      <c r="B145" s="20" t="s">
        <v>370</v>
      </c>
      <c r="C145" s="20" t="s">
        <v>374</v>
      </c>
      <c r="D145" s="21" t="s">
        <v>1</v>
      </c>
      <c r="E145" s="3" t="s">
        <v>6</v>
      </c>
      <c r="F145" s="20" t="s">
        <v>110</v>
      </c>
      <c r="G145" s="20"/>
      <c r="H145" s="20"/>
      <c r="I145" s="20"/>
    </row>
    <row r="146" spans="1:9">
      <c r="A146" s="81">
        <v>44596</v>
      </c>
      <c r="B146" s="1" t="s">
        <v>280</v>
      </c>
      <c r="C146" s="1" t="s">
        <v>283</v>
      </c>
      <c r="D146" s="3" t="s">
        <v>2</v>
      </c>
      <c r="E146" s="3" t="s">
        <v>7</v>
      </c>
      <c r="F146" s="1" t="s">
        <v>119</v>
      </c>
    </row>
    <row r="147" spans="1:9">
      <c r="A147" s="81">
        <v>44596</v>
      </c>
      <c r="B147" s="1" t="s">
        <v>10</v>
      </c>
      <c r="C147" s="1" t="s">
        <v>118</v>
      </c>
      <c r="D147" s="3" t="s">
        <v>2</v>
      </c>
      <c r="E147" s="3" t="s">
        <v>7</v>
      </c>
      <c r="F147" s="1" t="s">
        <v>759</v>
      </c>
    </row>
    <row r="148" spans="1:9">
      <c r="A148" s="81">
        <v>44596</v>
      </c>
      <c r="B148" s="1" t="s">
        <v>742</v>
      </c>
      <c r="C148" s="1" t="s">
        <v>743</v>
      </c>
      <c r="D148" s="3" t="s">
        <v>2</v>
      </c>
      <c r="E148" s="3" t="s">
        <v>7</v>
      </c>
      <c r="F148" s="1" t="s">
        <v>119</v>
      </c>
    </row>
    <row r="149" spans="1:9">
      <c r="A149" s="81">
        <v>44596</v>
      </c>
      <c r="B149" s="1" t="s">
        <v>567</v>
      </c>
      <c r="C149" s="1" t="s">
        <v>758</v>
      </c>
      <c r="D149" s="3" t="s">
        <v>2</v>
      </c>
      <c r="E149" s="3" t="s">
        <v>7</v>
      </c>
      <c r="F149" s="1" t="s">
        <v>119</v>
      </c>
    </row>
    <row r="150" spans="1:9">
      <c r="A150" s="84">
        <v>44597</v>
      </c>
      <c r="B150" s="47"/>
      <c r="C150" s="47"/>
      <c r="D150" s="48"/>
      <c r="E150" s="48"/>
      <c r="F150" s="47"/>
      <c r="G150" s="47"/>
      <c r="H150" s="47"/>
      <c r="I150" s="47"/>
    </row>
    <row r="151" spans="1:9">
      <c r="A151" s="81">
        <v>44597</v>
      </c>
      <c r="B151" s="1" t="s">
        <v>10</v>
      </c>
      <c r="C151" s="1" t="s">
        <v>118</v>
      </c>
      <c r="D151" s="3" t="s">
        <v>1</v>
      </c>
      <c r="E151" s="3" t="s">
        <v>6</v>
      </c>
      <c r="F151" s="1" t="s">
        <v>110</v>
      </c>
    </row>
    <row r="152" spans="1:9">
      <c r="A152" s="81">
        <v>44597</v>
      </c>
      <c r="B152" s="1" t="s">
        <v>52</v>
      </c>
      <c r="C152" s="1" t="s">
        <v>61</v>
      </c>
      <c r="D152" s="3" t="s">
        <v>1</v>
      </c>
      <c r="E152" s="3" t="s">
        <v>6</v>
      </c>
      <c r="F152" s="1" t="s">
        <v>110</v>
      </c>
    </row>
    <row r="153" spans="1:9">
      <c r="A153" s="81">
        <v>44597</v>
      </c>
      <c r="B153" s="1" t="s">
        <v>654</v>
      </c>
      <c r="C153" s="1" t="s">
        <v>653</v>
      </c>
      <c r="D153" s="3" t="s">
        <v>1</v>
      </c>
      <c r="E153" s="3" t="s">
        <v>6</v>
      </c>
      <c r="F153" s="1" t="s">
        <v>110</v>
      </c>
    </row>
    <row r="154" spans="1:9">
      <c r="A154" s="81">
        <v>44597</v>
      </c>
      <c r="B154" s="1" t="s">
        <v>244</v>
      </c>
      <c r="C154" s="1" t="s">
        <v>243</v>
      </c>
      <c r="D154" s="3" t="s">
        <v>1</v>
      </c>
      <c r="E154" s="3" t="s">
        <v>6</v>
      </c>
      <c r="F154" s="1" t="s">
        <v>110</v>
      </c>
    </row>
    <row r="155" spans="1:9">
      <c r="A155" s="81">
        <v>44597</v>
      </c>
      <c r="B155" s="1" t="s">
        <v>473</v>
      </c>
      <c r="C155" s="1" t="s">
        <v>243</v>
      </c>
      <c r="D155" s="3" t="s">
        <v>1</v>
      </c>
      <c r="E155" s="3" t="s">
        <v>6</v>
      </c>
      <c r="F155" s="1" t="s">
        <v>110</v>
      </c>
    </row>
    <row r="156" spans="1:9">
      <c r="A156" s="81">
        <v>44597</v>
      </c>
      <c r="B156" s="1" t="s">
        <v>683</v>
      </c>
      <c r="C156" s="1" t="s">
        <v>684</v>
      </c>
      <c r="D156" s="3" t="s">
        <v>2</v>
      </c>
      <c r="E156" s="3" t="s">
        <v>7</v>
      </c>
      <c r="F156" s="1" t="s">
        <v>119</v>
      </c>
    </row>
    <row r="157" spans="1:9">
      <c r="A157" s="81">
        <v>44597</v>
      </c>
      <c r="B157" s="1" t="s">
        <v>260</v>
      </c>
      <c r="C157" s="1" t="s">
        <v>327</v>
      </c>
      <c r="D157" s="3" t="s">
        <v>2</v>
      </c>
      <c r="E157" s="3" t="s">
        <v>7</v>
      </c>
      <c r="F157" s="1" t="s">
        <v>119</v>
      </c>
    </row>
    <row r="158" spans="1:9">
      <c r="A158" s="84">
        <v>44599</v>
      </c>
      <c r="B158" s="47"/>
      <c r="C158" s="47"/>
      <c r="D158" s="48"/>
      <c r="E158" s="48"/>
      <c r="F158" s="47"/>
      <c r="G158" s="47"/>
      <c r="H158" s="47"/>
      <c r="I158" s="47"/>
    </row>
    <row r="159" spans="1:9">
      <c r="A159" s="81">
        <v>44599</v>
      </c>
      <c r="B159" s="31" t="s">
        <v>169</v>
      </c>
      <c r="C159" s="1" t="s">
        <v>763</v>
      </c>
      <c r="D159" s="3" t="s">
        <v>2</v>
      </c>
      <c r="E159" s="3" t="s">
        <v>7</v>
      </c>
      <c r="F159" s="1" t="s">
        <v>119</v>
      </c>
    </row>
    <row r="160" spans="1:9">
      <c r="A160" s="81">
        <v>44599</v>
      </c>
      <c r="B160" s="1" t="s">
        <v>760</v>
      </c>
      <c r="C160" s="1" t="s">
        <v>652</v>
      </c>
      <c r="D160" s="3" t="s">
        <v>2</v>
      </c>
      <c r="E160" s="3" t="s">
        <v>7</v>
      </c>
      <c r="F160" s="1" t="s">
        <v>119</v>
      </c>
    </row>
    <row r="161" spans="1:9">
      <c r="A161" s="81">
        <v>44599</v>
      </c>
      <c r="B161" s="1" t="s">
        <v>761</v>
      </c>
      <c r="C161" s="1" t="s">
        <v>764</v>
      </c>
      <c r="D161" s="3" t="s">
        <v>2</v>
      </c>
      <c r="E161" s="3" t="s">
        <v>7</v>
      </c>
      <c r="F161" s="1" t="s">
        <v>119</v>
      </c>
    </row>
    <row r="162" spans="1:9">
      <c r="A162" s="81">
        <v>44599</v>
      </c>
      <c r="B162" s="1" t="s">
        <v>114</v>
      </c>
      <c r="C162" s="1" t="s">
        <v>765</v>
      </c>
      <c r="D162" s="3" t="s">
        <v>2</v>
      </c>
      <c r="E162" s="3" t="s">
        <v>7</v>
      </c>
      <c r="F162" s="1" t="s">
        <v>119</v>
      </c>
    </row>
    <row r="163" spans="1:9">
      <c r="A163" s="81">
        <v>44599</v>
      </c>
      <c r="B163" s="1" t="s">
        <v>440</v>
      </c>
      <c r="C163" s="1" t="s">
        <v>766</v>
      </c>
      <c r="D163" s="3" t="s">
        <v>2</v>
      </c>
      <c r="E163" s="3" t="s">
        <v>7</v>
      </c>
      <c r="F163" s="1" t="s">
        <v>119</v>
      </c>
    </row>
    <row r="164" spans="1:9">
      <c r="A164" s="81">
        <v>44599</v>
      </c>
      <c r="B164" s="1" t="s">
        <v>260</v>
      </c>
      <c r="C164" s="1" t="s">
        <v>127</v>
      </c>
      <c r="D164" s="3" t="s">
        <v>2</v>
      </c>
      <c r="E164" s="3" t="s">
        <v>7</v>
      </c>
      <c r="F164" s="1" t="s">
        <v>119</v>
      </c>
    </row>
    <row r="165" spans="1:9">
      <c r="A165" s="81">
        <v>44599</v>
      </c>
      <c r="B165" s="1" t="s">
        <v>742</v>
      </c>
      <c r="C165" s="1" t="s">
        <v>767</v>
      </c>
      <c r="D165" s="3" t="s">
        <v>2</v>
      </c>
      <c r="E165" s="3" t="s">
        <v>7</v>
      </c>
      <c r="F165" s="1" t="s">
        <v>119</v>
      </c>
    </row>
    <row r="166" spans="1:9">
      <c r="A166" s="81">
        <v>44599</v>
      </c>
      <c r="B166" s="1" t="s">
        <v>762</v>
      </c>
      <c r="C166" s="1" t="s">
        <v>768</v>
      </c>
      <c r="D166" s="3" t="s">
        <v>2</v>
      </c>
      <c r="E166" s="3" t="s">
        <v>7</v>
      </c>
      <c r="F166" s="1" t="s">
        <v>119</v>
      </c>
    </row>
    <row r="167" spans="1:9">
      <c r="A167" s="81">
        <v>44599</v>
      </c>
      <c r="B167" s="1" t="s">
        <v>58</v>
      </c>
      <c r="C167" s="1" t="s">
        <v>214</v>
      </c>
      <c r="D167" s="3" t="s">
        <v>2</v>
      </c>
      <c r="E167" s="3" t="s">
        <v>7</v>
      </c>
      <c r="F167" s="1" t="s">
        <v>119</v>
      </c>
    </row>
    <row r="168" spans="1:9">
      <c r="A168" s="84">
        <v>44600</v>
      </c>
      <c r="B168" s="47"/>
      <c r="C168" s="47"/>
      <c r="D168" s="48"/>
      <c r="E168" s="48"/>
      <c r="F168" s="47"/>
      <c r="G168" s="47"/>
      <c r="H168" s="47"/>
      <c r="I168" s="47"/>
    </row>
    <row r="169" spans="1:9">
      <c r="A169" s="81">
        <v>44600</v>
      </c>
      <c r="B169" s="1" t="s">
        <v>90</v>
      </c>
      <c r="C169" s="1" t="s">
        <v>769</v>
      </c>
      <c r="D169" s="3" t="s">
        <v>2</v>
      </c>
      <c r="E169" s="3" t="s">
        <v>7</v>
      </c>
      <c r="F169" s="1" t="s">
        <v>119</v>
      </c>
    </row>
    <row r="170" spans="1:9">
      <c r="A170" s="81">
        <v>44600</v>
      </c>
      <c r="B170" s="1" t="s">
        <v>58</v>
      </c>
      <c r="C170" s="1" t="s">
        <v>770</v>
      </c>
      <c r="D170" s="3" t="s">
        <v>2</v>
      </c>
      <c r="E170" s="3" t="s">
        <v>7</v>
      </c>
      <c r="F170" s="1" t="s">
        <v>119</v>
      </c>
    </row>
    <row r="171" spans="1:9">
      <c r="A171" s="81">
        <v>44600</v>
      </c>
      <c r="B171" s="1" t="s">
        <v>529</v>
      </c>
      <c r="C171" s="1" t="s">
        <v>531</v>
      </c>
      <c r="D171" s="3" t="s">
        <v>2</v>
      </c>
      <c r="E171" s="3" t="s">
        <v>7</v>
      </c>
      <c r="F171" s="1" t="s">
        <v>119</v>
      </c>
    </row>
    <row r="172" spans="1:9">
      <c r="A172" s="81">
        <v>44600</v>
      </c>
      <c r="B172" s="1" t="s">
        <v>382</v>
      </c>
      <c r="C172" s="1" t="s">
        <v>771</v>
      </c>
      <c r="D172" s="3" t="s">
        <v>2</v>
      </c>
      <c r="E172" s="3" t="s">
        <v>7</v>
      </c>
      <c r="F172" s="1" t="s">
        <v>119</v>
      </c>
    </row>
    <row r="173" spans="1:9">
      <c r="A173" s="81">
        <v>44600</v>
      </c>
      <c r="B173" s="1" t="s">
        <v>558</v>
      </c>
      <c r="C173" s="1" t="s">
        <v>772</v>
      </c>
      <c r="D173" s="3" t="s">
        <v>2</v>
      </c>
      <c r="E173" s="3" t="s">
        <v>7</v>
      </c>
      <c r="F173" s="1" t="s">
        <v>119</v>
      </c>
    </row>
    <row r="174" spans="1:9">
      <c r="A174" s="84">
        <v>44601</v>
      </c>
      <c r="B174" s="47"/>
      <c r="C174" s="47"/>
      <c r="D174" s="48"/>
      <c r="E174" s="48"/>
      <c r="F174" s="47"/>
      <c r="G174" s="47"/>
      <c r="H174" s="47"/>
      <c r="I174" s="47"/>
    </row>
    <row r="175" spans="1:9">
      <c r="A175" s="81">
        <v>44601</v>
      </c>
      <c r="B175" s="1" t="s">
        <v>567</v>
      </c>
      <c r="C175" s="1" t="s">
        <v>570</v>
      </c>
      <c r="D175" s="3" t="s">
        <v>2</v>
      </c>
      <c r="E175" s="3" t="s">
        <v>7</v>
      </c>
      <c r="F175" s="1" t="s">
        <v>119</v>
      </c>
    </row>
    <row r="176" spans="1:9">
      <c r="A176" s="81">
        <v>44601</v>
      </c>
      <c r="B176" s="1" t="s">
        <v>12</v>
      </c>
      <c r="C176" s="1" t="s">
        <v>26</v>
      </c>
      <c r="D176" s="3" t="s">
        <v>2</v>
      </c>
      <c r="E176" s="3" t="s">
        <v>7</v>
      </c>
      <c r="F176" s="1" t="s">
        <v>119</v>
      </c>
    </row>
    <row r="177" spans="1:9">
      <c r="A177" s="81">
        <v>44601</v>
      </c>
      <c r="B177" s="1" t="s">
        <v>236</v>
      </c>
      <c r="C177" s="1" t="s">
        <v>237</v>
      </c>
      <c r="D177" s="3" t="s">
        <v>2</v>
      </c>
      <c r="E177" s="3" t="s">
        <v>7</v>
      </c>
      <c r="F177" s="1" t="s">
        <v>119</v>
      </c>
    </row>
    <row r="178" spans="1:9">
      <c r="A178" s="81">
        <v>44601</v>
      </c>
      <c r="B178" s="1" t="s">
        <v>58</v>
      </c>
      <c r="C178" s="1" t="s">
        <v>214</v>
      </c>
      <c r="D178" s="3" t="s">
        <v>2</v>
      </c>
      <c r="E178" s="3" t="s">
        <v>7</v>
      </c>
      <c r="F178" s="1" t="s">
        <v>119</v>
      </c>
    </row>
    <row r="179" spans="1:9">
      <c r="A179" s="84">
        <v>44602</v>
      </c>
      <c r="B179" s="47"/>
      <c r="C179" s="47"/>
      <c r="D179" s="48"/>
      <c r="E179" s="48"/>
      <c r="F179" s="47"/>
      <c r="G179" s="47"/>
      <c r="H179" s="47"/>
      <c r="I179" s="47"/>
    </row>
    <row r="180" spans="1:9">
      <c r="A180" s="81">
        <v>44602</v>
      </c>
      <c r="B180" s="1" t="s">
        <v>650</v>
      </c>
      <c r="C180" s="1" t="s">
        <v>652</v>
      </c>
      <c r="D180" s="3" t="s">
        <v>2</v>
      </c>
      <c r="E180" s="3" t="s">
        <v>7</v>
      </c>
      <c r="F180" s="1" t="s">
        <v>119</v>
      </c>
    </row>
    <row r="181" spans="1:9">
      <c r="A181" s="81">
        <v>44602</v>
      </c>
      <c r="B181" s="1" t="s">
        <v>152</v>
      </c>
      <c r="C181" s="1" t="s">
        <v>151</v>
      </c>
      <c r="D181" s="3" t="s">
        <v>2</v>
      </c>
      <c r="E181" s="3" t="s">
        <v>7</v>
      </c>
      <c r="F181" s="1" t="s">
        <v>119</v>
      </c>
    </row>
    <row r="182" spans="1:9">
      <c r="A182" s="81">
        <v>44602</v>
      </c>
      <c r="B182" s="1" t="s">
        <v>114</v>
      </c>
      <c r="C182" s="1" t="s">
        <v>116</v>
      </c>
      <c r="D182" s="3" t="s">
        <v>2</v>
      </c>
      <c r="E182" s="3" t="s">
        <v>7</v>
      </c>
      <c r="F182" s="1" t="s">
        <v>119</v>
      </c>
    </row>
    <row r="183" spans="1:9">
      <c r="A183" s="81">
        <v>44602</v>
      </c>
      <c r="B183" s="1" t="s">
        <v>773</v>
      </c>
      <c r="C183" s="1" t="s">
        <v>774</v>
      </c>
      <c r="D183" s="3" t="s">
        <v>2</v>
      </c>
      <c r="E183" s="3" t="s">
        <v>7</v>
      </c>
      <c r="F183" s="1" t="s">
        <v>119</v>
      </c>
    </row>
    <row r="184" spans="1:9">
      <c r="A184" s="81">
        <v>44602</v>
      </c>
      <c r="B184" s="1" t="s">
        <v>393</v>
      </c>
      <c r="C184" s="1" t="s">
        <v>775</v>
      </c>
      <c r="D184" s="3" t="s">
        <v>2</v>
      </c>
      <c r="E184" s="3" t="s">
        <v>7</v>
      </c>
      <c r="F184" s="1" t="s">
        <v>119</v>
      </c>
    </row>
    <row r="185" spans="1:9">
      <c r="A185" s="81">
        <v>44602</v>
      </c>
      <c r="B185" s="1" t="s">
        <v>300</v>
      </c>
      <c r="C185" s="1" t="s">
        <v>127</v>
      </c>
      <c r="D185" s="3" t="s">
        <v>2</v>
      </c>
      <c r="E185" s="3" t="s">
        <v>7</v>
      </c>
      <c r="F185" s="1" t="s">
        <v>119</v>
      </c>
    </row>
    <row r="186" spans="1:9">
      <c r="A186" s="84">
        <v>44603</v>
      </c>
      <c r="B186" s="47"/>
      <c r="C186" s="47"/>
      <c r="D186" s="48"/>
      <c r="E186" s="48"/>
      <c r="F186" s="47"/>
      <c r="G186" s="47"/>
      <c r="H186" s="47"/>
      <c r="I186" s="47"/>
    </row>
    <row r="187" spans="1:9">
      <c r="A187" s="81">
        <v>44603</v>
      </c>
      <c r="B187" s="1" t="s">
        <v>776</v>
      </c>
      <c r="C187" s="1" t="s">
        <v>777</v>
      </c>
      <c r="D187" s="3" t="s">
        <v>2</v>
      </c>
      <c r="E187" s="3" t="s">
        <v>7</v>
      </c>
      <c r="F187" s="1" t="s">
        <v>119</v>
      </c>
    </row>
    <row r="188" spans="1:9">
      <c r="A188" s="81">
        <v>44603</v>
      </c>
      <c r="B188" s="1" t="s">
        <v>12</v>
      </c>
      <c r="C188" s="1" t="s">
        <v>712</v>
      </c>
      <c r="D188" s="3" t="s">
        <v>2</v>
      </c>
      <c r="E188" s="3" t="s">
        <v>7</v>
      </c>
      <c r="F188" s="1" t="s">
        <v>119</v>
      </c>
    </row>
    <row r="189" spans="1:9">
      <c r="A189" s="81">
        <v>44603</v>
      </c>
      <c r="B189" s="1" t="s">
        <v>393</v>
      </c>
      <c r="C189" s="1" t="s">
        <v>396</v>
      </c>
      <c r="D189" s="3" t="s">
        <v>2</v>
      </c>
      <c r="E189" s="3" t="s">
        <v>7</v>
      </c>
      <c r="F189" s="1" t="s">
        <v>119</v>
      </c>
    </row>
    <row r="190" spans="1:9">
      <c r="A190" s="81">
        <v>44603</v>
      </c>
      <c r="B190" s="1" t="s">
        <v>231</v>
      </c>
      <c r="C190" s="1" t="s">
        <v>778</v>
      </c>
      <c r="D190" s="3" t="s">
        <v>2</v>
      </c>
      <c r="E190" s="3" t="s">
        <v>7</v>
      </c>
      <c r="F190" s="1" t="s">
        <v>119</v>
      </c>
    </row>
    <row r="191" spans="1:9">
      <c r="A191" s="81">
        <v>44603</v>
      </c>
      <c r="B191" s="1" t="s">
        <v>58</v>
      </c>
      <c r="C191" s="1" t="s">
        <v>731</v>
      </c>
      <c r="D191" s="3" t="s">
        <v>2</v>
      </c>
      <c r="E191" s="3" t="s">
        <v>7</v>
      </c>
      <c r="F191" s="1" t="s">
        <v>119</v>
      </c>
    </row>
    <row r="192" spans="1:9">
      <c r="A192" s="84">
        <v>44604</v>
      </c>
      <c r="B192" s="47"/>
      <c r="C192" s="47"/>
      <c r="D192" s="48"/>
      <c r="E192" s="48"/>
      <c r="F192" s="47"/>
      <c r="G192" s="47"/>
      <c r="H192" s="47"/>
      <c r="I192" s="47"/>
    </row>
    <row r="193" spans="1:9">
      <c r="A193" s="81">
        <v>44604</v>
      </c>
      <c r="B193" s="1" t="s">
        <v>165</v>
      </c>
      <c r="C193" s="1" t="s">
        <v>127</v>
      </c>
      <c r="D193" s="3" t="s">
        <v>1</v>
      </c>
      <c r="E193" s="3" t="s">
        <v>6</v>
      </c>
      <c r="F193" s="1" t="s">
        <v>110</v>
      </c>
    </row>
    <row r="194" spans="1:9">
      <c r="A194" s="81">
        <v>44604</v>
      </c>
      <c r="B194" s="1" t="s">
        <v>718</v>
      </c>
      <c r="C194" s="1" t="s">
        <v>127</v>
      </c>
      <c r="D194" s="3" t="s">
        <v>1</v>
      </c>
      <c r="E194" s="3" t="s">
        <v>6</v>
      </c>
      <c r="F194" s="1" t="s">
        <v>110</v>
      </c>
    </row>
    <row r="195" spans="1:9">
      <c r="A195" s="81">
        <v>44604</v>
      </c>
      <c r="B195" s="1" t="s">
        <v>51</v>
      </c>
      <c r="C195" s="1" t="s">
        <v>127</v>
      </c>
      <c r="D195" s="3" t="s">
        <v>1</v>
      </c>
      <c r="E195" s="3" t="s">
        <v>6</v>
      </c>
      <c r="F195" s="1" t="s">
        <v>110</v>
      </c>
    </row>
    <row r="196" spans="1:9">
      <c r="A196" s="81">
        <v>44604</v>
      </c>
      <c r="B196" s="1" t="s">
        <v>776</v>
      </c>
      <c r="C196" s="1" t="s">
        <v>777</v>
      </c>
      <c r="D196" s="3" t="s">
        <v>2</v>
      </c>
      <c r="E196" s="3" t="s">
        <v>7</v>
      </c>
      <c r="F196" s="1" t="s">
        <v>119</v>
      </c>
    </row>
    <row r="197" spans="1:9">
      <c r="A197" s="81">
        <v>44604</v>
      </c>
      <c r="B197" s="1" t="s">
        <v>231</v>
      </c>
      <c r="C197" s="1" t="s">
        <v>778</v>
      </c>
      <c r="D197" s="3" t="s">
        <v>2</v>
      </c>
      <c r="E197" s="3" t="s">
        <v>7</v>
      </c>
      <c r="F197" s="1" t="s">
        <v>119</v>
      </c>
    </row>
    <row r="198" spans="1:9">
      <c r="A198" s="81">
        <v>44604</v>
      </c>
      <c r="B198" s="1" t="s">
        <v>393</v>
      </c>
      <c r="C198" s="1" t="s">
        <v>775</v>
      </c>
      <c r="D198" s="3" t="s">
        <v>2</v>
      </c>
      <c r="E198" s="3" t="s">
        <v>7</v>
      </c>
      <c r="F198" s="1" t="s">
        <v>119</v>
      </c>
    </row>
    <row r="199" spans="1:9">
      <c r="A199" s="81">
        <v>44604</v>
      </c>
      <c r="B199" s="1" t="s">
        <v>779</v>
      </c>
      <c r="C199" s="1" t="s">
        <v>781</v>
      </c>
      <c r="D199" s="3" t="s">
        <v>2</v>
      </c>
      <c r="E199" s="3" t="s">
        <v>7</v>
      </c>
      <c r="F199" s="1" t="s">
        <v>119</v>
      </c>
    </row>
    <row r="200" spans="1:9">
      <c r="A200" s="81">
        <v>44604</v>
      </c>
      <c r="B200" s="1" t="s">
        <v>106</v>
      </c>
      <c r="C200" s="1" t="s">
        <v>780</v>
      </c>
      <c r="D200" s="3" t="s">
        <v>2</v>
      </c>
      <c r="E200" s="3" t="s">
        <v>7</v>
      </c>
      <c r="F200" s="1" t="s">
        <v>119</v>
      </c>
    </row>
    <row r="201" spans="1:9">
      <c r="A201" s="84">
        <v>44606</v>
      </c>
      <c r="B201" s="47"/>
      <c r="C201" s="47"/>
      <c r="D201" s="48"/>
      <c r="E201" s="48"/>
      <c r="F201" s="47"/>
      <c r="G201" s="47"/>
      <c r="H201" s="47"/>
      <c r="I201" s="47"/>
    </row>
    <row r="202" spans="1:9">
      <c r="A202" s="81">
        <v>44604</v>
      </c>
      <c r="B202" s="1" t="s">
        <v>782</v>
      </c>
      <c r="C202" s="1" t="s">
        <v>784</v>
      </c>
      <c r="D202" s="3" t="s">
        <v>1</v>
      </c>
      <c r="E202" s="3" t="s">
        <v>6</v>
      </c>
      <c r="F202" s="1" t="s">
        <v>110</v>
      </c>
    </row>
    <row r="203" spans="1:9">
      <c r="A203" s="81">
        <v>44605</v>
      </c>
      <c r="B203" s="1" t="s">
        <v>783</v>
      </c>
      <c r="C203" s="1" t="s">
        <v>785</v>
      </c>
      <c r="D203" s="3" t="s">
        <v>1</v>
      </c>
      <c r="E203" s="3" t="s">
        <v>6</v>
      </c>
      <c r="F203" s="1" t="s">
        <v>110</v>
      </c>
    </row>
    <row r="204" spans="1:9">
      <c r="A204" s="81">
        <v>44605</v>
      </c>
      <c r="B204" s="1" t="s">
        <v>393</v>
      </c>
      <c r="C204" s="1" t="s">
        <v>775</v>
      </c>
      <c r="D204" s="3" t="s">
        <v>2</v>
      </c>
      <c r="E204" s="3" t="s">
        <v>7</v>
      </c>
      <c r="F204" s="1" t="s">
        <v>119</v>
      </c>
    </row>
    <row r="205" spans="1:9">
      <c r="A205" s="81">
        <v>44606</v>
      </c>
      <c r="B205" s="1" t="s">
        <v>201</v>
      </c>
      <c r="C205" s="1" t="s">
        <v>756</v>
      </c>
      <c r="D205" s="3" t="s">
        <v>2</v>
      </c>
      <c r="E205" s="3" t="s">
        <v>7</v>
      </c>
      <c r="F205" s="1" t="s">
        <v>119</v>
      </c>
    </row>
    <row r="206" spans="1:9">
      <c r="A206" s="81">
        <v>44606</v>
      </c>
      <c r="B206" s="1" t="s">
        <v>786</v>
      </c>
      <c r="C206" s="1" t="s">
        <v>787</v>
      </c>
      <c r="D206" s="3" t="s">
        <v>2</v>
      </c>
      <c r="E206" s="3" t="s">
        <v>7</v>
      </c>
      <c r="F206" s="1" t="s">
        <v>119</v>
      </c>
    </row>
    <row r="207" spans="1:9">
      <c r="A207" s="81">
        <v>44606</v>
      </c>
      <c r="B207" s="1" t="s">
        <v>12</v>
      </c>
      <c r="C207" s="1" t="s">
        <v>26</v>
      </c>
      <c r="D207" s="3" t="s">
        <v>2</v>
      </c>
      <c r="E207" s="3" t="s">
        <v>7</v>
      </c>
      <c r="F207" s="1" t="s">
        <v>119</v>
      </c>
    </row>
    <row r="208" spans="1:9">
      <c r="A208" s="81">
        <v>44606</v>
      </c>
      <c r="B208" s="1" t="s">
        <v>583</v>
      </c>
      <c r="C208" s="1" t="s">
        <v>788</v>
      </c>
      <c r="D208" s="3" t="s">
        <v>2</v>
      </c>
      <c r="E208" s="3" t="s">
        <v>7</v>
      </c>
      <c r="F208" s="1" t="s">
        <v>119</v>
      </c>
    </row>
    <row r="209" spans="1:9">
      <c r="A209" s="81">
        <v>44606</v>
      </c>
      <c r="B209" s="1" t="s">
        <v>600</v>
      </c>
      <c r="C209" s="1" t="s">
        <v>789</v>
      </c>
      <c r="D209" s="3" t="s">
        <v>2</v>
      </c>
      <c r="E209" s="3" t="s">
        <v>7</v>
      </c>
      <c r="F209" s="1" t="s">
        <v>119</v>
      </c>
    </row>
    <row r="210" spans="1:9">
      <c r="A210" s="81">
        <v>44606</v>
      </c>
      <c r="B210" s="1" t="s">
        <v>371</v>
      </c>
      <c r="C210" s="1" t="s">
        <v>377</v>
      </c>
      <c r="D210" s="3" t="s">
        <v>2</v>
      </c>
      <c r="E210" s="3" t="s">
        <v>7</v>
      </c>
      <c r="F210" s="1" t="s">
        <v>119</v>
      </c>
    </row>
    <row r="211" spans="1:9">
      <c r="A211" s="84">
        <v>44607</v>
      </c>
      <c r="B211" s="47"/>
      <c r="C211" s="47"/>
      <c r="D211" s="48"/>
      <c r="E211" s="48"/>
      <c r="F211" s="47"/>
      <c r="G211" s="47"/>
      <c r="H211" s="47"/>
      <c r="I211" s="47"/>
    </row>
    <row r="212" spans="1:9">
      <c r="A212" s="81">
        <v>44607</v>
      </c>
      <c r="B212" s="1" t="s">
        <v>201</v>
      </c>
      <c r="C212" s="1" t="s">
        <v>756</v>
      </c>
      <c r="D212" s="3" t="s">
        <v>2</v>
      </c>
      <c r="E212" s="3" t="s">
        <v>7</v>
      </c>
      <c r="F212" s="1" t="s">
        <v>119</v>
      </c>
    </row>
    <row r="213" spans="1:9">
      <c r="A213" s="81">
        <v>44607</v>
      </c>
      <c r="B213" s="1" t="s">
        <v>600</v>
      </c>
      <c r="C213" s="1" t="s">
        <v>789</v>
      </c>
      <c r="D213" s="3" t="s">
        <v>2</v>
      </c>
      <c r="E213" s="3" t="s">
        <v>7</v>
      </c>
      <c r="F213" s="1" t="s">
        <v>119</v>
      </c>
    </row>
    <row r="214" spans="1:9">
      <c r="A214" s="81">
        <v>44607</v>
      </c>
      <c r="B214" s="1" t="s">
        <v>612</v>
      </c>
      <c r="C214" s="1" t="s">
        <v>285</v>
      </c>
      <c r="D214" s="3" t="s">
        <v>2</v>
      </c>
      <c r="E214" s="3" t="s">
        <v>7</v>
      </c>
      <c r="F214" s="1" t="s">
        <v>119</v>
      </c>
    </row>
    <row r="215" spans="1:9">
      <c r="A215" s="81">
        <v>44607</v>
      </c>
      <c r="B215" s="1" t="s">
        <v>742</v>
      </c>
      <c r="C215" s="1" t="s">
        <v>743</v>
      </c>
      <c r="D215" s="3" t="s">
        <v>2</v>
      </c>
      <c r="E215" s="3" t="s">
        <v>7</v>
      </c>
      <c r="F215" s="1" t="s">
        <v>119</v>
      </c>
    </row>
    <row r="216" spans="1:9">
      <c r="A216" s="84">
        <v>44609</v>
      </c>
      <c r="B216" s="47"/>
      <c r="C216" s="47"/>
      <c r="D216" s="48"/>
      <c r="E216" s="48"/>
      <c r="F216" s="47"/>
      <c r="G216" s="47"/>
      <c r="H216" s="47"/>
      <c r="I216" s="47"/>
    </row>
    <row r="217" spans="1:9">
      <c r="A217" s="81">
        <v>44609</v>
      </c>
      <c r="B217" s="1" t="s">
        <v>790</v>
      </c>
      <c r="C217" s="1" t="s">
        <v>791</v>
      </c>
      <c r="D217" s="3" t="s">
        <v>2</v>
      </c>
      <c r="E217" s="3" t="s">
        <v>7</v>
      </c>
      <c r="F217" s="1" t="s">
        <v>119</v>
      </c>
    </row>
    <row r="218" spans="1:9">
      <c r="A218" s="81">
        <v>44609</v>
      </c>
      <c r="B218" s="1" t="s">
        <v>670</v>
      </c>
      <c r="C218" s="1" t="s">
        <v>672</v>
      </c>
      <c r="D218" s="3" t="s">
        <v>2</v>
      </c>
      <c r="E218" s="3" t="s">
        <v>7</v>
      </c>
      <c r="F218" s="1" t="s">
        <v>119</v>
      </c>
    </row>
    <row r="219" spans="1:9">
      <c r="A219" s="81">
        <v>44609</v>
      </c>
      <c r="B219" s="1" t="s">
        <v>58</v>
      </c>
      <c r="C219" s="1" t="s">
        <v>214</v>
      </c>
      <c r="D219" s="3" t="s">
        <v>2</v>
      </c>
      <c r="E219" s="3" t="s">
        <v>7</v>
      </c>
      <c r="F219" s="1" t="s">
        <v>119</v>
      </c>
    </row>
    <row r="220" spans="1:9">
      <c r="A220" s="81">
        <v>44609</v>
      </c>
      <c r="B220" s="1" t="s">
        <v>440</v>
      </c>
      <c r="C220" s="1" t="s">
        <v>792</v>
      </c>
      <c r="D220" s="3" t="s">
        <v>2</v>
      </c>
      <c r="E220" s="3" t="s">
        <v>7</v>
      </c>
      <c r="F220" s="1" t="s">
        <v>119</v>
      </c>
    </row>
    <row r="221" spans="1:9">
      <c r="A221" s="84">
        <v>44610</v>
      </c>
      <c r="B221" s="47"/>
      <c r="C221" s="47"/>
      <c r="D221" s="48"/>
      <c r="E221" s="48"/>
      <c r="F221" s="47"/>
      <c r="G221" s="47"/>
      <c r="H221" s="47"/>
      <c r="I221" s="47"/>
    </row>
    <row r="222" spans="1:9">
      <c r="A222" s="81">
        <v>44610</v>
      </c>
      <c r="B222" s="1" t="s">
        <v>492</v>
      </c>
      <c r="C222" s="1" t="s">
        <v>793</v>
      </c>
      <c r="D222" s="3" t="s">
        <v>1</v>
      </c>
      <c r="E222" s="3" t="s">
        <v>6</v>
      </c>
      <c r="F222" s="1" t="s">
        <v>110</v>
      </c>
    </row>
    <row r="223" spans="1:9">
      <c r="A223" s="81">
        <v>44610</v>
      </c>
      <c r="B223" s="1" t="s">
        <v>165</v>
      </c>
      <c r="C223" s="1" t="s">
        <v>127</v>
      </c>
      <c r="D223" s="3" t="s">
        <v>1</v>
      </c>
      <c r="E223" s="3" t="s">
        <v>6</v>
      </c>
      <c r="F223" s="1" t="s">
        <v>110</v>
      </c>
    </row>
    <row r="224" spans="1:9">
      <c r="A224" s="81">
        <v>44610</v>
      </c>
      <c r="B224" s="1" t="s">
        <v>718</v>
      </c>
      <c r="C224" s="1" t="s">
        <v>127</v>
      </c>
      <c r="D224" s="3" t="s">
        <v>1</v>
      </c>
      <c r="E224" s="3" t="s">
        <v>6</v>
      </c>
      <c r="F224" s="1" t="s">
        <v>110</v>
      </c>
    </row>
    <row r="225" spans="1:9">
      <c r="A225" s="81">
        <v>44610</v>
      </c>
      <c r="B225" s="1" t="s">
        <v>51</v>
      </c>
      <c r="C225" s="1" t="s">
        <v>127</v>
      </c>
      <c r="D225" s="3" t="s">
        <v>1</v>
      </c>
      <c r="E225" s="3" t="s">
        <v>6</v>
      </c>
      <c r="F225" s="1" t="s">
        <v>110</v>
      </c>
    </row>
    <row r="226" spans="1:9">
      <c r="A226" s="81">
        <v>44610</v>
      </c>
      <c r="B226" s="1" t="s">
        <v>189</v>
      </c>
      <c r="C226" s="1" t="s">
        <v>794</v>
      </c>
      <c r="D226" s="3" t="s">
        <v>2</v>
      </c>
      <c r="E226" s="3" t="s">
        <v>7</v>
      </c>
      <c r="F226" s="1" t="s">
        <v>119</v>
      </c>
    </row>
    <row r="227" spans="1:9">
      <c r="A227" s="81">
        <v>44610</v>
      </c>
      <c r="B227" s="1" t="s">
        <v>335</v>
      </c>
      <c r="C227" s="1" t="s">
        <v>337</v>
      </c>
      <c r="D227" s="3" t="s">
        <v>2</v>
      </c>
      <c r="E227" s="3" t="s">
        <v>7</v>
      </c>
      <c r="F227" s="1" t="s">
        <v>119</v>
      </c>
    </row>
    <row r="228" spans="1:9">
      <c r="A228" s="81">
        <v>44610</v>
      </c>
      <c r="B228" s="1" t="s">
        <v>440</v>
      </c>
      <c r="C228" s="1" t="s">
        <v>666</v>
      </c>
      <c r="D228" s="3" t="s">
        <v>2</v>
      </c>
      <c r="E228" s="3" t="s">
        <v>7</v>
      </c>
      <c r="F228" s="1" t="s">
        <v>119</v>
      </c>
    </row>
    <row r="229" spans="1:9">
      <c r="A229" s="81">
        <v>44610</v>
      </c>
      <c r="B229" s="1" t="s">
        <v>742</v>
      </c>
      <c r="C229" s="1" t="s">
        <v>743</v>
      </c>
      <c r="D229" s="3" t="s">
        <v>2</v>
      </c>
      <c r="E229" s="3" t="s">
        <v>7</v>
      </c>
      <c r="F229" s="1" t="s">
        <v>119</v>
      </c>
    </row>
    <row r="230" spans="1:9">
      <c r="A230" s="84">
        <v>44611</v>
      </c>
      <c r="B230" s="47"/>
      <c r="C230" s="47"/>
      <c r="D230" s="48"/>
      <c r="E230" s="48"/>
      <c r="F230" s="47"/>
      <c r="G230" s="47"/>
      <c r="H230" s="47"/>
      <c r="I230" s="47"/>
    </row>
    <row r="231" spans="1:9">
      <c r="A231" s="81">
        <v>44610</v>
      </c>
      <c r="B231" s="1" t="s">
        <v>51</v>
      </c>
      <c r="C231" s="1" t="s">
        <v>127</v>
      </c>
      <c r="D231" s="3" t="s">
        <v>1</v>
      </c>
      <c r="E231" s="3" t="s">
        <v>6</v>
      </c>
      <c r="F231" s="1" t="s">
        <v>110</v>
      </c>
    </row>
    <row r="232" spans="1:9">
      <c r="A232" s="81">
        <v>44610</v>
      </c>
      <c r="B232" s="1" t="s">
        <v>492</v>
      </c>
      <c r="C232" s="1" t="s">
        <v>793</v>
      </c>
      <c r="D232" s="3" t="s">
        <v>1</v>
      </c>
      <c r="E232" s="3" t="s">
        <v>6</v>
      </c>
      <c r="F232" s="1" t="s">
        <v>110</v>
      </c>
    </row>
    <row r="233" spans="1:9">
      <c r="A233" s="81">
        <v>44610</v>
      </c>
      <c r="B233" s="1" t="s">
        <v>11</v>
      </c>
      <c r="C233" s="1" t="s">
        <v>25</v>
      </c>
      <c r="D233" s="3" t="s">
        <v>1</v>
      </c>
      <c r="E233" s="3" t="s">
        <v>6</v>
      </c>
      <c r="F233" s="1" t="s">
        <v>110</v>
      </c>
    </row>
    <row r="234" spans="1:9">
      <c r="A234" s="81">
        <v>44610</v>
      </c>
      <c r="B234" s="1" t="s">
        <v>436</v>
      </c>
      <c r="C234" s="1" t="s">
        <v>25</v>
      </c>
      <c r="D234" s="3" t="s">
        <v>1</v>
      </c>
      <c r="E234" s="3" t="s">
        <v>6</v>
      </c>
      <c r="F234" s="1" t="s">
        <v>110</v>
      </c>
    </row>
    <row r="235" spans="1:9">
      <c r="A235" s="81">
        <v>44610</v>
      </c>
      <c r="B235" s="1" t="s">
        <v>472</v>
      </c>
      <c r="C235" s="1" t="s">
        <v>25</v>
      </c>
      <c r="D235" s="3" t="s">
        <v>1</v>
      </c>
      <c r="E235" s="3" t="s">
        <v>6</v>
      </c>
      <c r="F235" s="1" t="s">
        <v>110</v>
      </c>
    </row>
    <row r="236" spans="1:9">
      <c r="A236" s="81">
        <v>44611</v>
      </c>
      <c r="B236" s="1" t="s">
        <v>57</v>
      </c>
      <c r="C236" s="1" t="s">
        <v>414</v>
      </c>
      <c r="D236" s="3" t="s">
        <v>1</v>
      </c>
      <c r="E236" s="3" t="s">
        <v>6</v>
      </c>
      <c r="F236" s="1" t="s">
        <v>110</v>
      </c>
    </row>
    <row r="237" spans="1:9">
      <c r="A237" s="81">
        <v>44611</v>
      </c>
      <c r="B237" s="1" t="s">
        <v>352</v>
      </c>
      <c r="C237" s="1" t="s">
        <v>353</v>
      </c>
      <c r="D237" s="3" t="s">
        <v>2</v>
      </c>
      <c r="E237" s="3" t="s">
        <v>7</v>
      </c>
      <c r="F237" s="1" t="s">
        <v>119</v>
      </c>
    </row>
    <row r="238" spans="1:9">
      <c r="A238" s="84">
        <v>44613</v>
      </c>
      <c r="B238" s="47"/>
      <c r="C238" s="47"/>
      <c r="D238" s="48"/>
      <c r="E238" s="48"/>
      <c r="F238" s="47"/>
      <c r="G238" s="47"/>
      <c r="H238" s="47"/>
      <c r="I238" s="47"/>
    </row>
    <row r="239" spans="1:9">
      <c r="A239" s="81">
        <v>44610</v>
      </c>
      <c r="B239" s="1" t="s">
        <v>11</v>
      </c>
      <c r="C239" s="1" t="s">
        <v>25</v>
      </c>
      <c r="D239" s="3" t="s">
        <v>1</v>
      </c>
      <c r="E239" s="3" t="s">
        <v>6</v>
      </c>
      <c r="F239" s="1" t="s">
        <v>110</v>
      </c>
    </row>
    <row r="240" spans="1:9">
      <c r="A240" s="81">
        <v>44610</v>
      </c>
      <c r="B240" s="1" t="s">
        <v>436</v>
      </c>
      <c r="C240" s="1" t="s">
        <v>25</v>
      </c>
      <c r="D240" s="3" t="s">
        <v>1</v>
      </c>
      <c r="E240" s="3" t="s">
        <v>6</v>
      </c>
      <c r="F240" s="1" t="s">
        <v>110</v>
      </c>
    </row>
    <row r="241" spans="1:9">
      <c r="A241" s="81">
        <v>44610</v>
      </c>
      <c r="B241" s="1" t="s">
        <v>472</v>
      </c>
      <c r="C241" s="1" t="s">
        <v>25</v>
      </c>
      <c r="D241" s="3" t="s">
        <v>1</v>
      </c>
      <c r="E241" s="3" t="s">
        <v>6</v>
      </c>
      <c r="F241" s="1" t="s">
        <v>110</v>
      </c>
    </row>
    <row r="242" spans="1:9">
      <c r="A242" s="81">
        <v>44613</v>
      </c>
      <c r="B242" s="1" t="s">
        <v>94</v>
      </c>
      <c r="C242" s="1" t="s">
        <v>32</v>
      </c>
      <c r="D242" s="3" t="s">
        <v>1</v>
      </c>
      <c r="E242" s="3" t="s">
        <v>6</v>
      </c>
      <c r="F242" s="1" t="s">
        <v>110</v>
      </c>
    </row>
    <row r="243" spans="1:9">
      <c r="A243" s="81">
        <v>44613</v>
      </c>
      <c r="B243" s="1" t="s">
        <v>588</v>
      </c>
      <c r="C243" s="1" t="s">
        <v>589</v>
      </c>
      <c r="D243" s="3" t="s">
        <v>2</v>
      </c>
      <c r="E243" s="3" t="s">
        <v>7</v>
      </c>
      <c r="F243" s="1" t="s">
        <v>119</v>
      </c>
    </row>
    <row r="244" spans="1:9">
      <c r="A244" s="81">
        <v>44613</v>
      </c>
      <c r="B244" s="1" t="s">
        <v>513</v>
      </c>
      <c r="C244" s="1" t="s">
        <v>795</v>
      </c>
      <c r="D244" s="3" t="s">
        <v>2</v>
      </c>
      <c r="E244" s="3" t="s">
        <v>7</v>
      </c>
      <c r="F244" s="1" t="s">
        <v>119</v>
      </c>
    </row>
    <row r="245" spans="1:9">
      <c r="A245" s="81">
        <v>44613</v>
      </c>
      <c r="B245" s="1" t="s">
        <v>416</v>
      </c>
      <c r="C245" s="1" t="s">
        <v>796</v>
      </c>
      <c r="D245" s="3" t="s">
        <v>2</v>
      </c>
      <c r="E245" s="3" t="s">
        <v>7</v>
      </c>
      <c r="F245" s="1" t="s">
        <v>119</v>
      </c>
    </row>
    <row r="246" spans="1:9">
      <c r="A246" s="84">
        <v>44614</v>
      </c>
      <c r="B246" s="47"/>
      <c r="C246" s="47"/>
      <c r="D246" s="48"/>
      <c r="E246" s="48"/>
      <c r="F246" s="47"/>
      <c r="G246" s="47"/>
      <c r="H246" s="47"/>
      <c r="I246" s="47"/>
    </row>
    <row r="247" spans="1:9">
      <c r="A247" s="81">
        <v>44614</v>
      </c>
      <c r="B247" s="1" t="s">
        <v>460</v>
      </c>
      <c r="C247" s="1" t="s">
        <v>463</v>
      </c>
      <c r="D247" s="3" t="s">
        <v>1</v>
      </c>
      <c r="E247" s="3" t="s">
        <v>6</v>
      </c>
      <c r="F247" s="1" t="s">
        <v>110</v>
      </c>
    </row>
    <row r="248" spans="1:9">
      <c r="A248" s="81">
        <v>44614</v>
      </c>
      <c r="B248" s="1" t="s">
        <v>136</v>
      </c>
      <c r="C248" s="1" t="s">
        <v>137</v>
      </c>
      <c r="D248" s="3" t="s">
        <v>1</v>
      </c>
      <c r="E248" s="3" t="s">
        <v>6</v>
      </c>
      <c r="F248" s="1" t="s">
        <v>110</v>
      </c>
    </row>
    <row r="249" spans="1:9">
      <c r="A249" s="81">
        <v>44614</v>
      </c>
      <c r="B249" s="1" t="s">
        <v>90</v>
      </c>
      <c r="C249" s="1" t="s">
        <v>91</v>
      </c>
      <c r="D249" s="3" t="s">
        <v>1</v>
      </c>
      <c r="E249" s="3" t="s">
        <v>6</v>
      </c>
      <c r="F249" s="1" t="s">
        <v>110</v>
      </c>
    </row>
    <row r="250" spans="1:9">
      <c r="A250" s="81">
        <v>44614</v>
      </c>
      <c r="B250" s="1" t="s">
        <v>93</v>
      </c>
      <c r="C250" s="1" t="s">
        <v>91</v>
      </c>
      <c r="D250" s="3" t="s">
        <v>1</v>
      </c>
      <c r="E250" s="3" t="s">
        <v>6</v>
      </c>
      <c r="F250" s="1" t="s">
        <v>110</v>
      </c>
    </row>
    <row r="251" spans="1:9">
      <c r="A251" s="81">
        <v>44614</v>
      </c>
      <c r="B251" s="1" t="s">
        <v>92</v>
      </c>
      <c r="C251" s="1" t="s">
        <v>91</v>
      </c>
      <c r="D251" s="3" t="s">
        <v>1</v>
      </c>
      <c r="E251" s="3" t="s">
        <v>6</v>
      </c>
      <c r="F251" s="1" t="s">
        <v>110</v>
      </c>
    </row>
    <row r="252" spans="1:9">
      <c r="A252" s="81">
        <v>44614</v>
      </c>
      <c r="B252" s="1" t="s">
        <v>670</v>
      </c>
      <c r="C252" s="1" t="s">
        <v>747</v>
      </c>
      <c r="D252" s="3" t="s">
        <v>2</v>
      </c>
      <c r="E252" s="3" t="s">
        <v>7</v>
      </c>
      <c r="F252" s="1" t="s">
        <v>119</v>
      </c>
    </row>
    <row r="253" spans="1:9">
      <c r="A253" s="81">
        <v>44614</v>
      </c>
      <c r="B253" s="1" t="s">
        <v>382</v>
      </c>
      <c r="C253" s="1" t="s">
        <v>771</v>
      </c>
      <c r="D253" s="3" t="s">
        <v>2</v>
      </c>
      <c r="E253" s="3" t="s">
        <v>7</v>
      </c>
      <c r="F253" s="1" t="s">
        <v>119</v>
      </c>
    </row>
    <row r="254" spans="1:9">
      <c r="A254" s="81">
        <v>44614</v>
      </c>
      <c r="B254" s="1" t="s">
        <v>797</v>
      </c>
      <c r="C254" s="1" t="s">
        <v>798</v>
      </c>
      <c r="D254" s="3" t="s">
        <v>2</v>
      </c>
      <c r="E254" s="3" t="s">
        <v>7</v>
      </c>
      <c r="F254" s="1" t="s">
        <v>119</v>
      </c>
    </row>
    <row r="255" spans="1:9">
      <c r="A255" s="81">
        <v>44614</v>
      </c>
      <c r="B255" s="1" t="s">
        <v>58</v>
      </c>
      <c r="C255" s="1" t="s">
        <v>731</v>
      </c>
      <c r="D255" s="3" t="s">
        <v>2</v>
      </c>
      <c r="E255" s="3" t="s">
        <v>7</v>
      </c>
      <c r="F255" s="1" t="s">
        <v>119</v>
      </c>
    </row>
    <row r="256" spans="1:9">
      <c r="A256" s="84">
        <v>44615</v>
      </c>
      <c r="B256" s="47"/>
      <c r="C256" s="47"/>
      <c r="D256" s="48"/>
      <c r="E256" s="48"/>
      <c r="F256" s="47"/>
      <c r="G256" s="47"/>
      <c r="H256" s="47"/>
      <c r="I256" s="47"/>
    </row>
    <row r="257" spans="1:9">
      <c r="A257" s="81">
        <v>44615</v>
      </c>
      <c r="B257" s="1" t="s">
        <v>797</v>
      </c>
      <c r="C257" s="1" t="s">
        <v>798</v>
      </c>
      <c r="D257" s="3" t="s">
        <v>2</v>
      </c>
      <c r="E257" s="3" t="s">
        <v>7</v>
      </c>
      <c r="F257" s="1" t="s">
        <v>119</v>
      </c>
    </row>
    <row r="258" spans="1:9">
      <c r="A258" s="84">
        <v>44616</v>
      </c>
      <c r="B258" s="47"/>
      <c r="C258" s="47"/>
      <c r="D258" s="48"/>
      <c r="E258" s="48"/>
      <c r="F258" s="47"/>
      <c r="G258" s="47"/>
      <c r="H258" s="47"/>
      <c r="I258" s="47"/>
    </row>
    <row r="259" spans="1:9">
      <c r="A259" s="81">
        <v>44616</v>
      </c>
      <c r="B259" s="1" t="s">
        <v>797</v>
      </c>
      <c r="C259" s="1" t="s">
        <v>798</v>
      </c>
      <c r="D259" s="3" t="s">
        <v>2</v>
      </c>
      <c r="E259" s="3" t="s">
        <v>7</v>
      </c>
      <c r="F259" s="1" t="s">
        <v>119</v>
      </c>
    </row>
    <row r="260" spans="1:9">
      <c r="A260" s="81">
        <v>44616</v>
      </c>
      <c r="B260" s="1" t="s">
        <v>10</v>
      </c>
      <c r="C260" s="1" t="s">
        <v>800</v>
      </c>
      <c r="D260" s="3" t="s">
        <v>2</v>
      </c>
      <c r="E260" s="3" t="s">
        <v>7</v>
      </c>
      <c r="F260" s="1" t="s">
        <v>119</v>
      </c>
    </row>
    <row r="261" spans="1:9">
      <c r="A261" s="81">
        <v>44616</v>
      </c>
      <c r="B261" s="1" t="s">
        <v>282</v>
      </c>
      <c r="C261" s="1" t="s">
        <v>801</v>
      </c>
      <c r="D261" s="3" t="s">
        <v>2</v>
      </c>
      <c r="E261" s="3" t="s">
        <v>7</v>
      </c>
      <c r="F261" s="1" t="s">
        <v>119</v>
      </c>
    </row>
    <row r="262" spans="1:9">
      <c r="A262" s="81">
        <v>44616</v>
      </c>
      <c r="B262" s="1" t="s">
        <v>799</v>
      </c>
      <c r="C262" s="1" t="s">
        <v>802</v>
      </c>
      <c r="D262" s="3" t="s">
        <v>2</v>
      </c>
      <c r="E262" s="3" t="s">
        <v>7</v>
      </c>
      <c r="F262" s="1" t="s">
        <v>119</v>
      </c>
    </row>
    <row r="263" spans="1:9">
      <c r="A263" s="84">
        <v>44617</v>
      </c>
      <c r="B263" s="47"/>
      <c r="C263" s="47"/>
      <c r="D263" s="48"/>
      <c r="E263" s="48"/>
      <c r="F263" s="47"/>
      <c r="G263" s="47"/>
      <c r="H263" s="47"/>
      <c r="I263" s="47"/>
    </row>
    <row r="264" spans="1:9">
      <c r="A264" s="81">
        <v>44617</v>
      </c>
      <c r="B264" s="1" t="s">
        <v>803</v>
      </c>
      <c r="C264" s="1" t="s">
        <v>804</v>
      </c>
      <c r="D264" s="3" t="s">
        <v>1</v>
      </c>
      <c r="E264" s="3" t="s">
        <v>6</v>
      </c>
      <c r="F264" s="1" t="s">
        <v>110</v>
      </c>
    </row>
    <row r="265" spans="1:9">
      <c r="A265" s="81">
        <v>44617</v>
      </c>
      <c r="B265" s="1" t="s">
        <v>523</v>
      </c>
      <c r="C265" s="1" t="s">
        <v>524</v>
      </c>
      <c r="D265" s="3" t="s">
        <v>2</v>
      </c>
      <c r="E265" s="3" t="s">
        <v>7</v>
      </c>
      <c r="F265" s="1" t="s">
        <v>119</v>
      </c>
    </row>
    <row r="266" spans="1:9">
      <c r="A266" s="81">
        <v>44617</v>
      </c>
      <c r="B266" s="1" t="s">
        <v>670</v>
      </c>
      <c r="C266" s="1" t="s">
        <v>672</v>
      </c>
      <c r="D266" s="3" t="s">
        <v>2</v>
      </c>
      <c r="E266" s="3" t="s">
        <v>7</v>
      </c>
      <c r="F266" s="1" t="s">
        <v>119</v>
      </c>
    </row>
    <row r="267" spans="1:9">
      <c r="A267" s="81">
        <v>44617</v>
      </c>
      <c r="B267" s="1" t="s">
        <v>683</v>
      </c>
      <c r="C267" s="1" t="s">
        <v>805</v>
      </c>
      <c r="D267" s="3" t="s">
        <v>2</v>
      </c>
      <c r="E267" s="3" t="s">
        <v>7</v>
      </c>
      <c r="F267" s="1" t="s">
        <v>119</v>
      </c>
    </row>
    <row r="268" spans="1:9">
      <c r="A268" s="84">
        <v>44618</v>
      </c>
      <c r="B268" s="47"/>
      <c r="C268" s="47"/>
      <c r="D268" s="48"/>
      <c r="E268" s="48"/>
      <c r="F268" s="47"/>
      <c r="G268" s="47"/>
      <c r="H268" s="47"/>
      <c r="I268" s="47"/>
    </row>
    <row r="269" spans="1:9">
      <c r="A269" s="81">
        <v>44618</v>
      </c>
      <c r="B269" s="1" t="s">
        <v>121</v>
      </c>
      <c r="C269" s="1" t="s">
        <v>28</v>
      </c>
      <c r="D269" s="3" t="s">
        <v>1</v>
      </c>
      <c r="E269" s="3" t="s">
        <v>6</v>
      </c>
      <c r="F269" s="1" t="s">
        <v>110</v>
      </c>
    </row>
    <row r="270" spans="1:9">
      <c r="A270" s="81">
        <v>44618</v>
      </c>
      <c r="B270" s="1" t="s">
        <v>670</v>
      </c>
      <c r="C270" s="1" t="s">
        <v>672</v>
      </c>
      <c r="D270" s="3" t="s">
        <v>2</v>
      </c>
      <c r="E270" s="3" t="s">
        <v>7</v>
      </c>
      <c r="F270" s="1" t="s">
        <v>119</v>
      </c>
    </row>
    <row r="271" spans="1:9">
      <c r="A271" s="81">
        <v>44618</v>
      </c>
      <c r="B271" s="1" t="s">
        <v>93</v>
      </c>
      <c r="C271" s="1" t="s">
        <v>769</v>
      </c>
      <c r="D271" s="3" t="s">
        <v>2</v>
      </c>
      <c r="E271" s="3" t="s">
        <v>7</v>
      </c>
      <c r="F271" s="1" t="s">
        <v>119</v>
      </c>
    </row>
    <row r="272" spans="1:9">
      <c r="A272" s="81">
        <v>44618</v>
      </c>
      <c r="B272" s="1" t="s">
        <v>803</v>
      </c>
      <c r="C272" s="1" t="s">
        <v>806</v>
      </c>
      <c r="D272" s="3" t="s">
        <v>2</v>
      </c>
      <c r="E272" s="3" t="s">
        <v>7</v>
      </c>
      <c r="F272" s="1" t="s">
        <v>119</v>
      </c>
    </row>
    <row r="273" spans="1:9">
      <c r="A273" s="84">
        <v>44620</v>
      </c>
      <c r="B273" s="47"/>
      <c r="C273" s="47"/>
      <c r="D273" s="48"/>
      <c r="E273" s="48"/>
      <c r="F273" s="47"/>
      <c r="G273" s="47"/>
      <c r="H273" s="47"/>
      <c r="I273" s="47"/>
    </row>
    <row r="274" spans="1:9">
      <c r="A274" s="81">
        <v>44619</v>
      </c>
      <c r="B274" s="1" t="s">
        <v>803</v>
      </c>
      <c r="C274" s="1" t="s">
        <v>804</v>
      </c>
      <c r="D274" s="3" t="s">
        <v>1</v>
      </c>
      <c r="E274" s="3" t="s">
        <v>6</v>
      </c>
      <c r="F274" s="1" t="s">
        <v>110</v>
      </c>
    </row>
    <row r="275" spans="1:9">
      <c r="A275" s="81">
        <v>44620</v>
      </c>
      <c r="B275" s="1" t="s">
        <v>11</v>
      </c>
      <c r="C275" s="1" t="s">
        <v>338</v>
      </c>
      <c r="D275" s="3" t="s">
        <v>2</v>
      </c>
      <c r="E275" s="3" t="s">
        <v>7</v>
      </c>
      <c r="F275" s="1" t="s">
        <v>119</v>
      </c>
    </row>
    <row r="276" spans="1:9">
      <c r="A276" s="81">
        <v>44620</v>
      </c>
      <c r="B276" s="1" t="s">
        <v>742</v>
      </c>
      <c r="C276" s="1" t="s">
        <v>807</v>
      </c>
      <c r="D276" s="3" t="s">
        <v>2</v>
      </c>
      <c r="E276" s="3" t="s">
        <v>7</v>
      </c>
      <c r="F276" s="1" t="s">
        <v>119</v>
      </c>
    </row>
    <row r="277" spans="1:9">
      <c r="A277" s="81">
        <v>44620</v>
      </c>
      <c r="B277" s="1" t="s">
        <v>292</v>
      </c>
      <c r="C277" s="1" t="s">
        <v>291</v>
      </c>
      <c r="D277" s="3" t="s">
        <v>2</v>
      </c>
      <c r="E277" s="3" t="s">
        <v>7</v>
      </c>
      <c r="F277" s="1" t="s">
        <v>119</v>
      </c>
    </row>
    <row r="278" spans="1:9">
      <c r="A278" s="86">
        <v>44621</v>
      </c>
      <c r="B278" s="85"/>
      <c r="C278" s="85"/>
      <c r="D278" s="5"/>
      <c r="E278" s="5"/>
      <c r="F278" s="85"/>
      <c r="G278" s="85"/>
      <c r="H278" s="85"/>
      <c r="I278" s="85"/>
    </row>
    <row r="279" spans="1:9">
      <c r="A279" s="81">
        <v>44621</v>
      </c>
      <c r="B279" s="1" t="s">
        <v>803</v>
      </c>
      <c r="C279" s="1" t="s">
        <v>804</v>
      </c>
      <c r="D279" s="3" t="s">
        <v>1</v>
      </c>
      <c r="E279" s="3" t="s">
        <v>6</v>
      </c>
      <c r="F279" s="1" t="s">
        <v>110</v>
      </c>
    </row>
    <row r="280" spans="1:9">
      <c r="A280" s="81">
        <v>44621</v>
      </c>
      <c r="B280" s="1" t="s">
        <v>284</v>
      </c>
      <c r="C280" s="1" t="s">
        <v>285</v>
      </c>
      <c r="D280" s="3" t="s">
        <v>1</v>
      </c>
      <c r="E280" s="3" t="s">
        <v>6</v>
      </c>
      <c r="F280" s="1" t="s">
        <v>110</v>
      </c>
    </row>
    <row r="281" spans="1:9">
      <c r="A281" s="81">
        <v>44621</v>
      </c>
      <c r="B281" s="1" t="s">
        <v>388</v>
      </c>
      <c r="C281" s="1" t="s">
        <v>267</v>
      </c>
      <c r="D281" s="3" t="s">
        <v>1</v>
      </c>
      <c r="E281" s="3" t="s">
        <v>6</v>
      </c>
      <c r="F281" s="1" t="s">
        <v>110</v>
      </c>
    </row>
    <row r="282" spans="1:9">
      <c r="A282" s="81">
        <v>44621</v>
      </c>
      <c r="B282" s="1" t="s">
        <v>655</v>
      </c>
      <c r="C282" s="1" t="s">
        <v>657</v>
      </c>
      <c r="D282" s="3" t="s">
        <v>1</v>
      </c>
      <c r="E282" s="3" t="s">
        <v>6</v>
      </c>
      <c r="F282" s="1" t="s">
        <v>110</v>
      </c>
    </row>
    <row r="283" spans="1:9">
      <c r="A283" s="81">
        <v>44621</v>
      </c>
      <c r="B283" s="1" t="s">
        <v>292</v>
      </c>
      <c r="C283" s="1" t="s">
        <v>291</v>
      </c>
      <c r="D283" s="3" t="s">
        <v>2</v>
      </c>
      <c r="E283" s="3" t="s">
        <v>7</v>
      </c>
      <c r="F283" s="1" t="s">
        <v>119</v>
      </c>
    </row>
    <row r="284" spans="1:9">
      <c r="A284" s="81">
        <v>44621</v>
      </c>
      <c r="B284" s="1" t="s">
        <v>170</v>
      </c>
      <c r="C284" s="1" t="s">
        <v>808</v>
      </c>
      <c r="D284" s="3" t="s">
        <v>2</v>
      </c>
      <c r="E284" s="3" t="s">
        <v>7</v>
      </c>
      <c r="F284" s="1" t="s">
        <v>119</v>
      </c>
    </row>
    <row r="285" spans="1:9">
      <c r="A285" s="81">
        <v>44621</v>
      </c>
      <c r="B285" s="1" t="s">
        <v>250</v>
      </c>
      <c r="C285" s="1" t="s">
        <v>809</v>
      </c>
      <c r="D285" s="3" t="s">
        <v>2</v>
      </c>
      <c r="E285" s="3" t="s">
        <v>7</v>
      </c>
      <c r="F285" s="1" t="s">
        <v>119</v>
      </c>
    </row>
    <row r="286" spans="1:9">
      <c r="A286" s="81">
        <v>44621</v>
      </c>
      <c r="B286" s="1" t="s">
        <v>596</v>
      </c>
      <c r="C286" s="1" t="s">
        <v>597</v>
      </c>
      <c r="D286" s="3" t="s">
        <v>2</v>
      </c>
      <c r="E286" s="3" t="s">
        <v>7</v>
      </c>
      <c r="F286" s="1" t="s">
        <v>119</v>
      </c>
    </row>
    <row r="287" spans="1:9">
      <c r="A287" s="81">
        <v>44621</v>
      </c>
      <c r="B287" s="1" t="s">
        <v>567</v>
      </c>
      <c r="C287" s="1" t="s">
        <v>570</v>
      </c>
      <c r="D287" s="3" t="s">
        <v>2</v>
      </c>
      <c r="E287" s="3" t="s">
        <v>7</v>
      </c>
      <c r="F287" s="1" t="s">
        <v>119</v>
      </c>
    </row>
    <row r="288" spans="1:9">
      <c r="A288" s="86">
        <v>44622</v>
      </c>
      <c r="B288" s="85"/>
      <c r="C288" s="85"/>
      <c r="D288" s="5"/>
      <c r="E288" s="5"/>
      <c r="F288" s="85"/>
      <c r="G288" s="85"/>
      <c r="H288" s="85"/>
      <c r="I288" s="85"/>
    </row>
    <row r="289" spans="1:9">
      <c r="A289" s="81">
        <v>44622</v>
      </c>
      <c r="B289" s="1" t="s">
        <v>803</v>
      </c>
      <c r="C289" s="1" t="s">
        <v>804</v>
      </c>
      <c r="D289" s="3" t="s">
        <v>1</v>
      </c>
      <c r="E289" s="3" t="s">
        <v>6</v>
      </c>
      <c r="F289" s="1" t="s">
        <v>110</v>
      </c>
    </row>
    <row r="290" spans="1:9">
      <c r="A290" s="81">
        <v>44622</v>
      </c>
      <c r="B290" s="1" t="s">
        <v>284</v>
      </c>
      <c r="C290" s="1" t="s">
        <v>285</v>
      </c>
      <c r="D290" s="3" t="s">
        <v>1</v>
      </c>
      <c r="E290" s="3" t="s">
        <v>6</v>
      </c>
      <c r="F290" s="1" t="s">
        <v>110</v>
      </c>
    </row>
    <row r="291" spans="1:9">
      <c r="A291" s="81">
        <v>44622</v>
      </c>
      <c r="B291" s="1" t="s">
        <v>388</v>
      </c>
      <c r="C291" s="1" t="s">
        <v>267</v>
      </c>
      <c r="D291" s="3" t="s">
        <v>1</v>
      </c>
      <c r="E291" s="3" t="s">
        <v>6</v>
      </c>
      <c r="F291" s="1" t="s">
        <v>110</v>
      </c>
    </row>
    <row r="292" spans="1:9">
      <c r="A292" s="81">
        <v>44622</v>
      </c>
      <c r="B292" s="1" t="s">
        <v>655</v>
      </c>
      <c r="C292" s="1" t="s">
        <v>657</v>
      </c>
      <c r="D292" s="3" t="s">
        <v>1</v>
      </c>
      <c r="E292" s="3" t="s">
        <v>6</v>
      </c>
      <c r="F292" s="1" t="s">
        <v>110</v>
      </c>
    </row>
    <row r="293" spans="1:9">
      <c r="A293" s="81">
        <v>44622</v>
      </c>
      <c r="B293" s="1" t="s">
        <v>90</v>
      </c>
      <c r="C293" s="1" t="s">
        <v>91</v>
      </c>
      <c r="D293" s="3" t="s">
        <v>1</v>
      </c>
      <c r="E293" s="3" t="s">
        <v>6</v>
      </c>
      <c r="F293" s="1" t="s">
        <v>110</v>
      </c>
    </row>
    <row r="294" spans="1:9">
      <c r="A294" s="81">
        <v>44622</v>
      </c>
      <c r="B294" s="1" t="s">
        <v>196</v>
      </c>
      <c r="C294" s="1" t="s">
        <v>197</v>
      </c>
      <c r="D294" s="3" t="s">
        <v>2</v>
      </c>
      <c r="E294" s="3" t="s">
        <v>7</v>
      </c>
      <c r="F294" s="1" t="s">
        <v>119</v>
      </c>
    </row>
    <row r="295" spans="1:9">
      <c r="A295" s="81">
        <v>44622</v>
      </c>
      <c r="B295" s="1" t="s">
        <v>103</v>
      </c>
      <c r="C295" s="1" t="s">
        <v>104</v>
      </c>
      <c r="D295" s="3" t="s">
        <v>2</v>
      </c>
      <c r="E295" s="3" t="s">
        <v>7</v>
      </c>
      <c r="F295" s="1" t="s">
        <v>119</v>
      </c>
    </row>
    <row r="296" spans="1:9">
      <c r="A296" s="81">
        <v>44622</v>
      </c>
      <c r="B296" s="1" t="s">
        <v>529</v>
      </c>
      <c r="C296" s="1" t="s">
        <v>531</v>
      </c>
      <c r="D296" s="3" t="s">
        <v>2</v>
      </c>
      <c r="E296" s="3" t="s">
        <v>7</v>
      </c>
      <c r="F296" s="1" t="s">
        <v>119</v>
      </c>
    </row>
    <row r="297" spans="1:9">
      <c r="A297" s="87">
        <v>44623</v>
      </c>
      <c r="B297" s="10"/>
      <c r="C297" s="10"/>
      <c r="D297" s="11"/>
      <c r="E297" s="11"/>
      <c r="F297" s="10"/>
      <c r="G297" s="10"/>
      <c r="H297" s="10"/>
      <c r="I297" s="10"/>
    </row>
    <row r="298" spans="1:9">
      <c r="A298" s="81">
        <v>44622</v>
      </c>
      <c r="B298" s="1" t="s">
        <v>803</v>
      </c>
      <c r="C298" s="1" t="s">
        <v>804</v>
      </c>
      <c r="D298" s="3" t="s">
        <v>1</v>
      </c>
      <c r="E298" s="3" t="s">
        <v>6</v>
      </c>
      <c r="F298" s="1" t="s">
        <v>110</v>
      </c>
    </row>
    <row r="299" spans="1:9">
      <c r="A299" s="81">
        <v>44622</v>
      </c>
      <c r="B299" s="1" t="s">
        <v>388</v>
      </c>
      <c r="C299" s="1" t="s">
        <v>267</v>
      </c>
      <c r="D299" s="3" t="s">
        <v>1</v>
      </c>
      <c r="E299" s="3" t="s">
        <v>6</v>
      </c>
      <c r="F299" s="1" t="s">
        <v>110</v>
      </c>
    </row>
    <row r="300" spans="1:9">
      <c r="A300" s="81">
        <v>44622</v>
      </c>
      <c r="B300" s="1" t="s">
        <v>266</v>
      </c>
      <c r="C300" s="1" t="s">
        <v>267</v>
      </c>
      <c r="D300" s="3" t="s">
        <v>1</v>
      </c>
      <c r="E300" s="3" t="s">
        <v>6</v>
      </c>
      <c r="F300" s="1" t="s">
        <v>110</v>
      </c>
    </row>
    <row r="301" spans="1:9">
      <c r="A301" s="81">
        <v>44623</v>
      </c>
      <c r="B301" s="1" t="s">
        <v>810</v>
      </c>
      <c r="C301" s="1" t="s">
        <v>707</v>
      </c>
      <c r="D301" s="3" t="s">
        <v>2</v>
      </c>
      <c r="E301" s="3" t="s">
        <v>7</v>
      </c>
      <c r="F301" s="1" t="s">
        <v>744</v>
      </c>
    </row>
    <row r="302" spans="1:9">
      <c r="A302" s="81">
        <v>44623</v>
      </c>
      <c r="B302" s="1" t="s">
        <v>365</v>
      </c>
      <c r="C302" s="1" t="s">
        <v>368</v>
      </c>
      <c r="D302" s="3" t="s">
        <v>2</v>
      </c>
      <c r="E302" s="3" t="s">
        <v>7</v>
      </c>
      <c r="F302" s="1" t="s">
        <v>119</v>
      </c>
    </row>
    <row r="303" spans="1:9">
      <c r="A303" s="87">
        <v>44624</v>
      </c>
      <c r="B303" s="10"/>
      <c r="C303" s="10"/>
      <c r="D303" s="11"/>
      <c r="E303" s="11"/>
      <c r="F303" s="10"/>
      <c r="G303" s="10"/>
      <c r="H303" s="10"/>
      <c r="I303" s="10"/>
    </row>
    <row r="304" spans="1:9">
      <c r="A304" s="81">
        <v>44622</v>
      </c>
      <c r="B304" s="1" t="s">
        <v>388</v>
      </c>
      <c r="C304" s="1" t="s">
        <v>267</v>
      </c>
      <c r="D304" s="3" t="s">
        <v>1</v>
      </c>
      <c r="E304" s="3" t="s">
        <v>6</v>
      </c>
      <c r="F304" s="1" t="s">
        <v>110</v>
      </c>
    </row>
    <row r="305" spans="1:9">
      <c r="A305" s="81">
        <v>44622</v>
      </c>
      <c r="B305" s="1" t="s">
        <v>266</v>
      </c>
      <c r="C305" s="1" t="s">
        <v>267</v>
      </c>
      <c r="D305" s="3" t="s">
        <v>1</v>
      </c>
      <c r="E305" s="3" t="s">
        <v>6</v>
      </c>
      <c r="F305" s="1" t="s">
        <v>110</v>
      </c>
    </row>
    <row r="306" spans="1:9">
      <c r="A306" s="81">
        <v>44624</v>
      </c>
      <c r="B306" s="1" t="s">
        <v>810</v>
      </c>
      <c r="C306" s="1" t="s">
        <v>707</v>
      </c>
      <c r="D306" s="3" t="s">
        <v>2</v>
      </c>
      <c r="E306" s="3" t="s">
        <v>7</v>
      </c>
      <c r="F306" s="1" t="s">
        <v>119</v>
      </c>
    </row>
    <row r="307" spans="1:9">
      <c r="A307" s="81">
        <v>44624</v>
      </c>
      <c r="B307" s="1" t="s">
        <v>229</v>
      </c>
      <c r="C307" s="1" t="s">
        <v>707</v>
      </c>
      <c r="D307" s="3" t="s">
        <v>2</v>
      </c>
      <c r="E307" s="3" t="s">
        <v>7</v>
      </c>
      <c r="F307" s="1" t="s">
        <v>119</v>
      </c>
    </row>
    <row r="308" spans="1:9">
      <c r="A308" s="81">
        <v>44624</v>
      </c>
      <c r="B308" s="1" t="s">
        <v>811</v>
      </c>
      <c r="C308" s="1" t="s">
        <v>812</v>
      </c>
      <c r="D308" s="3" t="s">
        <v>2</v>
      </c>
      <c r="E308" s="3" t="s">
        <v>7</v>
      </c>
      <c r="F308" s="1" t="s">
        <v>119</v>
      </c>
    </row>
    <row r="309" spans="1:9">
      <c r="A309" s="81">
        <v>44624</v>
      </c>
      <c r="B309" s="1" t="s">
        <v>78</v>
      </c>
      <c r="C309" s="1" t="s">
        <v>85</v>
      </c>
      <c r="D309" s="3" t="s">
        <v>2</v>
      </c>
      <c r="E309" s="3" t="s">
        <v>7</v>
      </c>
      <c r="F309" s="1" t="s">
        <v>119</v>
      </c>
    </row>
    <row r="310" spans="1:9">
      <c r="A310" s="81">
        <v>44624</v>
      </c>
      <c r="B310" s="1" t="s">
        <v>456</v>
      </c>
      <c r="C310" s="1" t="s">
        <v>813</v>
      </c>
      <c r="D310" s="3" t="s">
        <v>2</v>
      </c>
      <c r="E310" s="3" t="s">
        <v>7</v>
      </c>
      <c r="F310" s="1" t="s">
        <v>119</v>
      </c>
    </row>
    <row r="311" spans="1:9">
      <c r="A311" s="81">
        <v>44624</v>
      </c>
      <c r="B311" s="1" t="s">
        <v>233</v>
      </c>
      <c r="C311" s="1" t="s">
        <v>814</v>
      </c>
      <c r="D311" s="3" t="s">
        <v>2</v>
      </c>
      <c r="E311" s="3" t="s">
        <v>7</v>
      </c>
      <c r="F311" s="1" t="s">
        <v>119</v>
      </c>
    </row>
    <row r="312" spans="1:9">
      <c r="A312" s="86">
        <v>44627</v>
      </c>
      <c r="B312" s="85"/>
      <c r="C312" s="85"/>
      <c r="D312" s="5"/>
      <c r="E312" s="5"/>
      <c r="F312" s="85"/>
      <c r="G312" s="85"/>
      <c r="H312" s="85"/>
      <c r="I312" s="85"/>
    </row>
    <row r="313" spans="1:9">
      <c r="A313" s="81">
        <v>44622</v>
      </c>
      <c r="B313" s="1" t="s">
        <v>388</v>
      </c>
      <c r="C313" s="1" t="s">
        <v>267</v>
      </c>
      <c r="D313" s="3" t="s">
        <v>1</v>
      </c>
      <c r="E313" s="3" t="s">
        <v>6</v>
      </c>
      <c r="F313" s="1" t="s">
        <v>110</v>
      </c>
    </row>
    <row r="314" spans="1:9">
      <c r="A314" s="81">
        <v>44622</v>
      </c>
      <c r="B314" s="1" t="s">
        <v>266</v>
      </c>
      <c r="C314" s="1" t="s">
        <v>267</v>
      </c>
      <c r="D314" s="3" t="s">
        <v>1</v>
      </c>
      <c r="E314" s="3" t="s">
        <v>6</v>
      </c>
      <c r="F314" s="1" t="s">
        <v>110</v>
      </c>
    </row>
    <row r="315" spans="1:9">
      <c r="A315" s="81">
        <v>44627</v>
      </c>
      <c r="B315" s="1" t="s">
        <v>419</v>
      </c>
      <c r="C315" s="1" t="s">
        <v>426</v>
      </c>
      <c r="D315" s="3" t="s">
        <v>1</v>
      </c>
      <c r="E315" s="3" t="s">
        <v>6</v>
      </c>
      <c r="F315" s="1" t="s">
        <v>110</v>
      </c>
    </row>
    <row r="316" spans="1:9">
      <c r="A316" s="81">
        <v>44627</v>
      </c>
      <c r="B316" s="1" t="s">
        <v>229</v>
      </c>
      <c r="C316" s="1" t="s">
        <v>707</v>
      </c>
      <c r="D316" s="3" t="s">
        <v>2</v>
      </c>
      <c r="E316" s="3" t="s">
        <v>7</v>
      </c>
      <c r="F316" s="1" t="s">
        <v>119</v>
      </c>
    </row>
    <row r="317" spans="1:9">
      <c r="A317" s="81">
        <v>44627</v>
      </c>
      <c r="B317" s="1" t="s">
        <v>811</v>
      </c>
      <c r="C317" s="1" t="s">
        <v>812</v>
      </c>
      <c r="D317" s="3" t="s">
        <v>2</v>
      </c>
      <c r="E317" s="3" t="s">
        <v>7</v>
      </c>
      <c r="F317" s="1" t="s">
        <v>119</v>
      </c>
    </row>
    <row r="318" spans="1:9">
      <c r="A318" s="81">
        <v>44627</v>
      </c>
      <c r="B318" s="1" t="s">
        <v>456</v>
      </c>
      <c r="C318" s="1" t="s">
        <v>813</v>
      </c>
      <c r="D318" s="3" t="s">
        <v>2</v>
      </c>
      <c r="E318" s="3" t="s">
        <v>7</v>
      </c>
      <c r="F318" s="1" t="s">
        <v>119</v>
      </c>
    </row>
    <row r="319" spans="1:9">
      <c r="A319" s="81">
        <v>44627</v>
      </c>
      <c r="B319" s="1" t="s">
        <v>233</v>
      </c>
      <c r="C319" s="1" t="s">
        <v>814</v>
      </c>
      <c r="D319" s="3" t="s">
        <v>2</v>
      </c>
      <c r="E319" s="3" t="s">
        <v>7</v>
      </c>
      <c r="F319" s="1" t="s">
        <v>119</v>
      </c>
    </row>
    <row r="320" spans="1:9">
      <c r="A320" s="81">
        <v>44627</v>
      </c>
      <c r="B320" s="1" t="s">
        <v>815</v>
      </c>
      <c r="C320" s="1" t="s">
        <v>816</v>
      </c>
      <c r="D320" s="3" t="s">
        <v>2</v>
      </c>
      <c r="E320" s="3" t="s">
        <v>7</v>
      </c>
      <c r="F320" s="1" t="s">
        <v>119</v>
      </c>
    </row>
    <row r="321" spans="1:9">
      <c r="A321" s="81">
        <v>44627</v>
      </c>
      <c r="B321" s="1" t="s">
        <v>817</v>
      </c>
      <c r="C321" s="1" t="s">
        <v>818</v>
      </c>
      <c r="D321" s="3" t="s">
        <v>2</v>
      </c>
      <c r="E321" s="3" t="s">
        <v>7</v>
      </c>
      <c r="F321" s="1" t="s">
        <v>119</v>
      </c>
    </row>
    <row r="322" spans="1:9">
      <c r="A322" s="81">
        <v>44627</v>
      </c>
      <c r="B322" s="1" t="s">
        <v>453</v>
      </c>
      <c r="C322" s="1" t="s">
        <v>622</v>
      </c>
      <c r="D322" s="3" t="s">
        <v>2</v>
      </c>
      <c r="E322" s="3" t="s">
        <v>7</v>
      </c>
      <c r="F322" s="1" t="s">
        <v>119</v>
      </c>
    </row>
    <row r="323" spans="1:9">
      <c r="A323" s="81">
        <v>44627</v>
      </c>
      <c r="B323" s="1" t="s">
        <v>741</v>
      </c>
      <c r="C323" s="1" t="s">
        <v>778</v>
      </c>
      <c r="D323" s="3" t="s">
        <v>2</v>
      </c>
      <c r="E323" s="3" t="s">
        <v>7</v>
      </c>
      <c r="F323" s="1" t="s">
        <v>119</v>
      </c>
    </row>
    <row r="324" spans="1:9">
      <c r="A324" s="81">
        <v>44627</v>
      </c>
      <c r="B324" s="1" t="s">
        <v>819</v>
      </c>
      <c r="C324" s="1" t="s">
        <v>820</v>
      </c>
      <c r="D324" s="3" t="s">
        <v>2</v>
      </c>
      <c r="E324" s="3" t="s">
        <v>7</v>
      </c>
      <c r="F324" s="1" t="s">
        <v>119</v>
      </c>
    </row>
    <row r="325" spans="1:9">
      <c r="A325" s="87">
        <v>43900</v>
      </c>
      <c r="B325" s="10"/>
      <c r="C325" s="10"/>
      <c r="D325" s="11"/>
      <c r="E325" s="11"/>
      <c r="F325" s="10"/>
      <c r="G325" s="10"/>
      <c r="H325" s="10"/>
      <c r="I325" s="10"/>
    </row>
    <row r="326" spans="1:9">
      <c r="A326" s="81">
        <v>44622</v>
      </c>
      <c r="B326" s="1" t="s">
        <v>388</v>
      </c>
      <c r="C326" s="1" t="s">
        <v>267</v>
      </c>
      <c r="D326" s="3" t="s">
        <v>1</v>
      </c>
      <c r="E326" s="3" t="s">
        <v>6</v>
      </c>
      <c r="F326" s="1" t="s">
        <v>110</v>
      </c>
    </row>
    <row r="327" spans="1:9">
      <c r="A327" s="81">
        <v>44622</v>
      </c>
      <c r="B327" s="1" t="s">
        <v>266</v>
      </c>
      <c r="C327" s="1" t="s">
        <v>267</v>
      </c>
      <c r="D327" s="3" t="s">
        <v>1</v>
      </c>
      <c r="E327" s="3" t="s">
        <v>6</v>
      </c>
      <c r="F327" s="1" t="s">
        <v>110</v>
      </c>
    </row>
    <row r="328" spans="1:9">
      <c r="A328" s="81">
        <v>44629</v>
      </c>
      <c r="B328" s="1" t="s">
        <v>93</v>
      </c>
      <c r="C328" s="1" t="s">
        <v>516</v>
      </c>
      <c r="D328" s="3" t="s">
        <v>1</v>
      </c>
      <c r="E328" s="3" t="s">
        <v>6</v>
      </c>
      <c r="F328" s="1" t="s">
        <v>110</v>
      </c>
    </row>
    <row r="329" spans="1:9">
      <c r="A329" s="81">
        <v>44629</v>
      </c>
      <c r="B329" s="1" t="s">
        <v>90</v>
      </c>
      <c r="C329" s="1" t="s">
        <v>516</v>
      </c>
      <c r="D329" s="3" t="s">
        <v>1</v>
      </c>
      <c r="E329" s="3" t="s">
        <v>6</v>
      </c>
      <c r="F329" s="1" t="s">
        <v>110</v>
      </c>
    </row>
    <row r="330" spans="1:9">
      <c r="A330" s="81">
        <v>44629</v>
      </c>
      <c r="B330" s="1" t="s">
        <v>92</v>
      </c>
      <c r="C330" s="1" t="s">
        <v>516</v>
      </c>
      <c r="D330" s="3" t="s">
        <v>1</v>
      </c>
      <c r="E330" s="3" t="s">
        <v>6</v>
      </c>
      <c r="F330" s="1" t="s">
        <v>110</v>
      </c>
    </row>
    <row r="331" spans="1:9">
      <c r="A331" s="81">
        <v>44629</v>
      </c>
      <c r="B331" s="1" t="s">
        <v>655</v>
      </c>
      <c r="C331" s="1" t="s">
        <v>275</v>
      </c>
      <c r="D331" s="3" t="s">
        <v>1</v>
      </c>
      <c r="E331" s="3" t="s">
        <v>6</v>
      </c>
      <c r="F331" s="1" t="s">
        <v>110</v>
      </c>
    </row>
    <row r="332" spans="1:9">
      <c r="A332" s="81">
        <v>44629</v>
      </c>
      <c r="B332" s="1" t="s">
        <v>369</v>
      </c>
      <c r="C332" s="1" t="s">
        <v>421</v>
      </c>
      <c r="D332" s="3" t="s">
        <v>2</v>
      </c>
      <c r="E332" s="3" t="s">
        <v>7</v>
      </c>
      <c r="F332" s="1" t="s">
        <v>119</v>
      </c>
    </row>
    <row r="333" spans="1:9">
      <c r="A333" s="81">
        <v>44630</v>
      </c>
      <c r="B333" s="1" t="s">
        <v>453</v>
      </c>
      <c r="C333" s="1" t="s">
        <v>622</v>
      </c>
      <c r="D333" s="3" t="s">
        <v>2</v>
      </c>
      <c r="E333" s="3" t="s">
        <v>7</v>
      </c>
      <c r="F333" s="1" t="s">
        <v>119</v>
      </c>
    </row>
    <row r="334" spans="1:9">
      <c r="A334" s="81">
        <v>44630</v>
      </c>
      <c r="B334" s="1" t="s">
        <v>656</v>
      </c>
      <c r="C334" s="1" t="s">
        <v>660</v>
      </c>
      <c r="D334" s="3" t="s">
        <v>2</v>
      </c>
      <c r="E334" s="3" t="s">
        <v>7</v>
      </c>
      <c r="F334" s="1" t="s">
        <v>119</v>
      </c>
    </row>
    <row r="335" spans="1:9">
      <c r="A335" s="81">
        <v>44630</v>
      </c>
      <c r="B335" s="1" t="s">
        <v>811</v>
      </c>
      <c r="C335" s="1" t="s">
        <v>821</v>
      </c>
      <c r="D335" s="3" t="s">
        <v>2</v>
      </c>
      <c r="E335" s="3" t="s">
        <v>7</v>
      </c>
      <c r="F335" s="1" t="s">
        <v>119</v>
      </c>
    </row>
    <row r="336" spans="1:9">
      <c r="A336" s="81">
        <v>44630</v>
      </c>
      <c r="B336" s="1" t="s">
        <v>229</v>
      </c>
      <c r="C336" s="1" t="s">
        <v>316</v>
      </c>
      <c r="D336" s="3" t="s">
        <v>2</v>
      </c>
      <c r="E336" s="3" t="s">
        <v>7</v>
      </c>
      <c r="F336" s="1" t="s">
        <v>119</v>
      </c>
    </row>
    <row r="337" spans="1:9">
      <c r="A337" s="87">
        <v>44631</v>
      </c>
      <c r="B337" s="10"/>
      <c r="C337" s="10"/>
      <c r="D337" s="11"/>
      <c r="E337" s="11"/>
      <c r="F337" s="10"/>
      <c r="G337" s="10"/>
      <c r="H337" s="10"/>
      <c r="I337" s="10"/>
    </row>
    <row r="338" spans="1:9">
      <c r="A338" s="81">
        <v>44622</v>
      </c>
      <c r="B338" s="1" t="s">
        <v>388</v>
      </c>
      <c r="C338" s="1" t="s">
        <v>267</v>
      </c>
      <c r="D338" s="3" t="s">
        <v>1</v>
      </c>
      <c r="E338" s="3" t="s">
        <v>6</v>
      </c>
      <c r="F338" s="1" t="s">
        <v>824</v>
      </c>
    </row>
    <row r="339" spans="1:9">
      <c r="A339" s="81">
        <v>44622</v>
      </c>
      <c r="B339" s="1" t="s">
        <v>266</v>
      </c>
      <c r="C339" s="1" t="s">
        <v>267</v>
      </c>
      <c r="D339" s="3" t="s">
        <v>1</v>
      </c>
      <c r="E339" s="3" t="s">
        <v>6</v>
      </c>
      <c r="F339" s="1" t="s">
        <v>824</v>
      </c>
    </row>
    <row r="340" spans="1:9">
      <c r="A340" s="81">
        <v>44629</v>
      </c>
      <c r="B340" s="1" t="s">
        <v>93</v>
      </c>
      <c r="C340" s="1" t="s">
        <v>516</v>
      </c>
      <c r="D340" s="3" t="s">
        <v>1</v>
      </c>
      <c r="E340" s="3" t="s">
        <v>6</v>
      </c>
      <c r="F340" s="1" t="s">
        <v>823</v>
      </c>
    </row>
    <row r="341" spans="1:9">
      <c r="A341" s="81">
        <v>44629</v>
      </c>
      <c r="B341" s="1" t="s">
        <v>90</v>
      </c>
      <c r="C341" s="1" t="s">
        <v>516</v>
      </c>
      <c r="D341" s="3" t="s">
        <v>1</v>
      </c>
      <c r="E341" s="3" t="s">
        <v>6</v>
      </c>
      <c r="F341" s="1" t="s">
        <v>823</v>
      </c>
    </row>
    <row r="342" spans="1:9">
      <c r="A342" s="81">
        <v>44629</v>
      </c>
      <c r="B342" s="1" t="s">
        <v>92</v>
      </c>
      <c r="C342" s="1" t="s">
        <v>516</v>
      </c>
      <c r="D342" s="3" t="s">
        <v>1</v>
      </c>
      <c r="E342" s="3" t="s">
        <v>6</v>
      </c>
      <c r="F342" s="1" t="s">
        <v>823</v>
      </c>
    </row>
    <row r="343" spans="1:9">
      <c r="A343" s="81">
        <v>44629</v>
      </c>
      <c r="B343" s="1" t="s">
        <v>655</v>
      </c>
      <c r="C343" s="1" t="s">
        <v>275</v>
      </c>
      <c r="D343" s="3" t="s">
        <v>1</v>
      </c>
      <c r="E343" s="3" t="s">
        <v>6</v>
      </c>
      <c r="F343" s="1" t="s">
        <v>822</v>
      </c>
    </row>
    <row r="344" spans="1:9">
      <c r="A344" s="81">
        <v>44631</v>
      </c>
      <c r="B344" s="1" t="s">
        <v>608</v>
      </c>
      <c r="C344" s="1" t="s">
        <v>609</v>
      </c>
      <c r="D344" s="3" t="s">
        <v>2</v>
      </c>
      <c r="E344" s="3" t="s">
        <v>7</v>
      </c>
      <c r="F344" s="1" t="s">
        <v>119</v>
      </c>
    </row>
    <row r="345" spans="1:9">
      <c r="A345" s="81">
        <v>44631</v>
      </c>
      <c r="B345" s="1" t="s">
        <v>453</v>
      </c>
      <c r="C345" s="1" t="s">
        <v>197</v>
      </c>
      <c r="D345" s="3" t="s">
        <v>2</v>
      </c>
      <c r="E345" s="3" t="s">
        <v>7</v>
      </c>
      <c r="F345" s="1" t="s">
        <v>119</v>
      </c>
    </row>
    <row r="346" spans="1:9">
      <c r="A346" s="87">
        <v>44632</v>
      </c>
      <c r="B346" s="10"/>
      <c r="C346" s="10"/>
      <c r="D346" s="11"/>
      <c r="E346" s="11"/>
      <c r="F346" s="10"/>
      <c r="G346" s="10"/>
      <c r="H346" s="10"/>
      <c r="I346" s="10"/>
    </row>
    <row r="347" spans="1:9">
      <c r="A347" s="81">
        <v>44622</v>
      </c>
      <c r="B347" s="1" t="s">
        <v>388</v>
      </c>
      <c r="C347" s="1" t="s">
        <v>267</v>
      </c>
      <c r="D347" s="3" t="s">
        <v>1</v>
      </c>
      <c r="E347" s="3" t="s">
        <v>6</v>
      </c>
      <c r="F347" s="1" t="s">
        <v>824</v>
      </c>
    </row>
    <row r="348" spans="1:9">
      <c r="A348" s="81">
        <v>44622</v>
      </c>
      <c r="B348" s="1" t="s">
        <v>266</v>
      </c>
      <c r="C348" s="1" t="s">
        <v>267</v>
      </c>
      <c r="D348" s="3" t="s">
        <v>1</v>
      </c>
      <c r="E348" s="3" t="s">
        <v>6</v>
      </c>
      <c r="F348" s="1" t="s">
        <v>824</v>
      </c>
    </row>
    <row r="349" spans="1:9">
      <c r="A349" s="81">
        <v>44629</v>
      </c>
      <c r="B349" s="1" t="s">
        <v>93</v>
      </c>
      <c r="C349" s="1" t="s">
        <v>516</v>
      </c>
      <c r="D349" s="3" t="s">
        <v>1</v>
      </c>
      <c r="E349" s="3" t="s">
        <v>6</v>
      </c>
      <c r="F349" s="1" t="s">
        <v>823</v>
      </c>
    </row>
    <row r="350" spans="1:9">
      <c r="A350" s="81">
        <v>44629</v>
      </c>
      <c r="B350" s="1" t="s">
        <v>90</v>
      </c>
      <c r="C350" s="1" t="s">
        <v>516</v>
      </c>
      <c r="D350" s="3" t="s">
        <v>1</v>
      </c>
      <c r="E350" s="3" t="s">
        <v>6</v>
      </c>
      <c r="F350" s="1" t="s">
        <v>823</v>
      </c>
    </row>
    <row r="351" spans="1:9">
      <c r="A351" s="81">
        <v>44629</v>
      </c>
      <c r="B351" s="1" t="s">
        <v>92</v>
      </c>
      <c r="C351" s="1" t="s">
        <v>516</v>
      </c>
      <c r="D351" s="3" t="s">
        <v>1</v>
      </c>
      <c r="E351" s="3" t="s">
        <v>6</v>
      </c>
      <c r="F351" s="1" t="s">
        <v>823</v>
      </c>
    </row>
    <row r="352" spans="1:9">
      <c r="A352" s="81">
        <v>44629</v>
      </c>
      <c r="B352" s="1" t="s">
        <v>655</v>
      </c>
      <c r="C352" s="1" t="s">
        <v>275</v>
      </c>
      <c r="D352" s="3" t="s">
        <v>1</v>
      </c>
      <c r="E352" s="3" t="s">
        <v>6</v>
      </c>
      <c r="F352" s="1" t="s">
        <v>822</v>
      </c>
    </row>
    <row r="353" spans="1:9">
      <c r="A353" s="81">
        <v>44632</v>
      </c>
      <c r="B353" s="1" t="s">
        <v>453</v>
      </c>
      <c r="C353" s="1" t="s">
        <v>197</v>
      </c>
      <c r="D353" s="3" t="s">
        <v>2</v>
      </c>
      <c r="E353" s="3" t="s">
        <v>7</v>
      </c>
      <c r="F353" s="1" t="s">
        <v>119</v>
      </c>
    </row>
    <row r="354" spans="1:9">
      <c r="A354" s="81">
        <v>44632</v>
      </c>
      <c r="B354" s="1" t="s">
        <v>819</v>
      </c>
      <c r="C354" s="1" t="s">
        <v>826</v>
      </c>
      <c r="D354" s="3" t="s">
        <v>2</v>
      </c>
      <c r="E354" s="3" t="s">
        <v>7</v>
      </c>
      <c r="F354" s="1" t="s">
        <v>119</v>
      </c>
    </row>
    <row r="355" spans="1:9">
      <c r="A355" s="81">
        <v>44632</v>
      </c>
      <c r="B355" s="1" t="s">
        <v>825</v>
      </c>
      <c r="C355" s="1" t="s">
        <v>827</v>
      </c>
      <c r="D355" s="3" t="s">
        <v>2</v>
      </c>
      <c r="E355" s="3" t="s">
        <v>7</v>
      </c>
      <c r="F355" s="1" t="s">
        <v>119</v>
      </c>
    </row>
    <row r="356" spans="1:9">
      <c r="A356" s="87">
        <v>44634</v>
      </c>
      <c r="B356" s="10"/>
      <c r="C356" s="10"/>
      <c r="D356" s="11"/>
      <c r="E356" s="11"/>
      <c r="F356" s="10"/>
      <c r="G356" s="10"/>
      <c r="H356" s="10"/>
      <c r="I356" s="10"/>
    </row>
    <row r="357" spans="1:9">
      <c r="A357" s="81">
        <v>44622</v>
      </c>
      <c r="B357" s="1" t="s">
        <v>388</v>
      </c>
      <c r="C357" s="1" t="s">
        <v>267</v>
      </c>
      <c r="D357" s="3" t="s">
        <v>1</v>
      </c>
      <c r="E357" s="3" t="s">
        <v>6</v>
      </c>
      <c r="F357" s="1" t="s">
        <v>824</v>
      </c>
    </row>
    <row r="358" spans="1:9">
      <c r="A358" s="81">
        <v>44622</v>
      </c>
      <c r="B358" s="1" t="s">
        <v>266</v>
      </c>
      <c r="C358" s="1" t="s">
        <v>267</v>
      </c>
      <c r="D358" s="3" t="s">
        <v>1</v>
      </c>
      <c r="E358" s="3" t="s">
        <v>6</v>
      </c>
      <c r="F358" s="1" t="s">
        <v>824</v>
      </c>
    </row>
    <row r="359" spans="1:9">
      <c r="A359" s="81">
        <v>44629</v>
      </c>
      <c r="B359" s="1" t="s">
        <v>93</v>
      </c>
      <c r="C359" s="1" t="s">
        <v>516</v>
      </c>
      <c r="D359" s="3" t="s">
        <v>1</v>
      </c>
      <c r="E359" s="3" t="s">
        <v>6</v>
      </c>
      <c r="F359" s="1" t="s">
        <v>823</v>
      </c>
    </row>
    <row r="360" spans="1:9">
      <c r="A360" s="81">
        <v>44629</v>
      </c>
      <c r="B360" s="1" t="s">
        <v>90</v>
      </c>
      <c r="C360" s="1" t="s">
        <v>516</v>
      </c>
      <c r="D360" s="3" t="s">
        <v>1</v>
      </c>
      <c r="E360" s="3" t="s">
        <v>6</v>
      </c>
      <c r="F360" s="1" t="s">
        <v>823</v>
      </c>
    </row>
    <row r="361" spans="1:9">
      <c r="A361" s="81">
        <v>44629</v>
      </c>
      <c r="B361" s="1" t="s">
        <v>92</v>
      </c>
      <c r="C361" s="1" t="s">
        <v>516</v>
      </c>
      <c r="D361" s="3" t="s">
        <v>1</v>
      </c>
      <c r="E361" s="3" t="s">
        <v>6</v>
      </c>
      <c r="F361" s="1" t="s">
        <v>823</v>
      </c>
    </row>
    <row r="362" spans="1:9">
      <c r="A362" s="81">
        <v>44629</v>
      </c>
      <c r="B362" s="1" t="s">
        <v>655</v>
      </c>
      <c r="C362" s="1" t="s">
        <v>275</v>
      </c>
      <c r="D362" s="3" t="s">
        <v>1</v>
      </c>
      <c r="E362" s="3" t="s">
        <v>6</v>
      </c>
      <c r="F362" s="1" t="s">
        <v>822</v>
      </c>
    </row>
    <row r="363" spans="1:9">
      <c r="A363" s="81">
        <v>44634</v>
      </c>
      <c r="B363" s="1" t="s">
        <v>114</v>
      </c>
      <c r="C363" s="1" t="s">
        <v>116</v>
      </c>
      <c r="D363" s="3" t="s">
        <v>1</v>
      </c>
      <c r="E363" s="3" t="s">
        <v>6</v>
      </c>
      <c r="F363" s="1" t="s">
        <v>110</v>
      </c>
    </row>
    <row r="364" spans="1:9">
      <c r="A364" s="3" t="s">
        <v>828</v>
      </c>
      <c r="B364" s="1" t="s">
        <v>738</v>
      </c>
      <c r="C364" s="1" t="s">
        <v>739</v>
      </c>
      <c r="D364" s="3" t="s">
        <v>1</v>
      </c>
      <c r="E364" s="3" t="s">
        <v>6</v>
      </c>
      <c r="F364" s="1" t="s">
        <v>110</v>
      </c>
    </row>
    <row r="365" spans="1:9">
      <c r="A365" s="3" t="s">
        <v>828</v>
      </c>
      <c r="B365" s="1" t="s">
        <v>352</v>
      </c>
      <c r="C365" s="1" t="s">
        <v>353</v>
      </c>
      <c r="D365" s="3" t="s">
        <v>1</v>
      </c>
      <c r="E365" s="3" t="s">
        <v>6</v>
      </c>
      <c r="F365" s="1" t="s">
        <v>110</v>
      </c>
    </row>
    <row r="366" spans="1:9">
      <c r="A366" s="3" t="s">
        <v>828</v>
      </c>
      <c r="B366" s="1" t="s">
        <v>819</v>
      </c>
      <c r="C366" s="1" t="s">
        <v>826</v>
      </c>
      <c r="D366" s="3" t="s">
        <v>2</v>
      </c>
      <c r="E366" s="3" t="s">
        <v>7</v>
      </c>
      <c r="F366" s="1" t="s">
        <v>119</v>
      </c>
    </row>
    <row r="367" spans="1:9">
      <c r="A367" s="3" t="s">
        <v>828</v>
      </c>
      <c r="B367" s="1" t="s">
        <v>328</v>
      </c>
      <c r="C367" s="1" t="s">
        <v>330</v>
      </c>
      <c r="D367" s="3" t="s">
        <v>2</v>
      </c>
      <c r="E367" s="3" t="s">
        <v>7</v>
      </c>
      <c r="F367" s="1" t="s">
        <v>119</v>
      </c>
    </row>
    <row r="368" spans="1:9">
      <c r="A368" s="3" t="s">
        <v>828</v>
      </c>
      <c r="B368" s="1" t="s">
        <v>453</v>
      </c>
      <c r="C368" s="1" t="s">
        <v>197</v>
      </c>
      <c r="D368" s="3" t="s">
        <v>2</v>
      </c>
      <c r="E368" s="3" t="s">
        <v>7</v>
      </c>
      <c r="F368" s="1" t="s">
        <v>119</v>
      </c>
    </row>
    <row r="369" spans="1:9">
      <c r="A369" s="3" t="s">
        <v>828</v>
      </c>
      <c r="B369" s="1" t="s">
        <v>438</v>
      </c>
      <c r="C369" s="1" t="s">
        <v>269</v>
      </c>
      <c r="D369" s="3" t="s">
        <v>2</v>
      </c>
      <c r="E369" s="3" t="s">
        <v>7</v>
      </c>
      <c r="F369" s="1" t="s">
        <v>119</v>
      </c>
    </row>
    <row r="370" spans="1:9">
      <c r="A370" s="3" t="s">
        <v>828</v>
      </c>
      <c r="B370" s="1" t="s">
        <v>371</v>
      </c>
      <c r="C370" s="1" t="s">
        <v>377</v>
      </c>
      <c r="D370" s="3" t="s">
        <v>2</v>
      </c>
      <c r="E370" s="3" t="s">
        <v>7</v>
      </c>
      <c r="F370" s="1" t="s">
        <v>119</v>
      </c>
    </row>
    <row r="371" spans="1:9">
      <c r="A371" s="3" t="s">
        <v>828</v>
      </c>
      <c r="B371" s="1" t="s">
        <v>810</v>
      </c>
      <c r="C371" s="1" t="s">
        <v>707</v>
      </c>
      <c r="D371" s="3" t="s">
        <v>2</v>
      </c>
      <c r="E371" s="3" t="s">
        <v>7</v>
      </c>
      <c r="F371" s="1" t="s">
        <v>119</v>
      </c>
    </row>
    <row r="372" spans="1:9">
      <c r="A372" s="81">
        <v>44634</v>
      </c>
      <c r="B372" s="1" t="s">
        <v>11</v>
      </c>
      <c r="C372" s="1" t="s">
        <v>25</v>
      </c>
      <c r="D372" s="3" t="s">
        <v>2</v>
      </c>
      <c r="E372" s="3" t="s">
        <v>7</v>
      </c>
      <c r="F372" s="1" t="s">
        <v>119</v>
      </c>
    </row>
    <row r="373" spans="1:9">
      <c r="A373" s="87">
        <v>44635</v>
      </c>
      <c r="B373" s="10"/>
      <c r="C373" s="10"/>
      <c r="D373" s="11"/>
      <c r="E373" s="11"/>
      <c r="F373" s="10"/>
      <c r="G373" s="10"/>
      <c r="H373" s="10"/>
      <c r="I373" s="10"/>
    </row>
    <row r="374" spans="1:9">
      <c r="A374" s="81">
        <v>44622</v>
      </c>
      <c r="B374" s="1" t="s">
        <v>388</v>
      </c>
      <c r="C374" s="1" t="s">
        <v>267</v>
      </c>
      <c r="D374" s="3" t="s">
        <v>1</v>
      </c>
      <c r="E374" s="3" t="s">
        <v>6</v>
      </c>
      <c r="F374" s="1" t="s">
        <v>824</v>
      </c>
    </row>
    <row r="375" spans="1:9">
      <c r="A375" s="81">
        <v>44622</v>
      </c>
      <c r="B375" s="1" t="s">
        <v>266</v>
      </c>
      <c r="C375" s="1" t="s">
        <v>267</v>
      </c>
      <c r="D375" s="3" t="s">
        <v>1</v>
      </c>
      <c r="E375" s="3" t="s">
        <v>6</v>
      </c>
      <c r="F375" s="1" t="s">
        <v>824</v>
      </c>
    </row>
    <row r="376" spans="1:9">
      <c r="A376" s="81">
        <v>44629</v>
      </c>
      <c r="B376" s="1" t="s">
        <v>93</v>
      </c>
      <c r="C376" s="1" t="s">
        <v>516</v>
      </c>
      <c r="D376" s="3" t="s">
        <v>1</v>
      </c>
      <c r="E376" s="3" t="s">
        <v>6</v>
      </c>
      <c r="F376" s="1" t="s">
        <v>823</v>
      </c>
    </row>
    <row r="377" spans="1:9">
      <c r="A377" s="81">
        <v>44629</v>
      </c>
      <c r="B377" s="1" t="s">
        <v>90</v>
      </c>
      <c r="C377" s="1" t="s">
        <v>516</v>
      </c>
      <c r="D377" s="3" t="s">
        <v>1</v>
      </c>
      <c r="E377" s="3" t="s">
        <v>6</v>
      </c>
      <c r="F377" s="1" t="s">
        <v>823</v>
      </c>
    </row>
    <row r="378" spans="1:9">
      <c r="A378" s="81">
        <v>44629</v>
      </c>
      <c r="B378" s="1" t="s">
        <v>92</v>
      </c>
      <c r="C378" s="1" t="s">
        <v>516</v>
      </c>
      <c r="D378" s="3" t="s">
        <v>1</v>
      </c>
      <c r="E378" s="3" t="s">
        <v>6</v>
      </c>
      <c r="F378" s="1" t="s">
        <v>823</v>
      </c>
    </row>
    <row r="379" spans="1:9">
      <c r="A379" s="81">
        <v>44629</v>
      </c>
      <c r="B379" s="1" t="s">
        <v>655</v>
      </c>
      <c r="C379" s="1" t="s">
        <v>275</v>
      </c>
      <c r="D379" s="3" t="s">
        <v>1</v>
      </c>
      <c r="E379" s="3" t="s">
        <v>6</v>
      </c>
      <c r="F379" s="1" t="s">
        <v>822</v>
      </c>
    </row>
    <row r="380" spans="1:9">
      <c r="A380" s="81">
        <v>44635</v>
      </c>
      <c r="B380" s="1" t="s">
        <v>829</v>
      </c>
      <c r="C380" s="1" t="s">
        <v>830</v>
      </c>
      <c r="D380" s="3" t="s">
        <v>1</v>
      </c>
      <c r="E380" s="3" t="s">
        <v>6</v>
      </c>
      <c r="F380" s="1" t="s">
        <v>110</v>
      </c>
    </row>
    <row r="381" spans="1:9">
      <c r="A381" s="81">
        <v>44635</v>
      </c>
      <c r="B381" s="1" t="s">
        <v>58</v>
      </c>
      <c r="C381" s="1" t="s">
        <v>770</v>
      </c>
      <c r="D381" s="3" t="s">
        <v>2</v>
      </c>
      <c r="E381" s="3" t="s">
        <v>7</v>
      </c>
      <c r="F381" s="1" t="s">
        <v>119</v>
      </c>
    </row>
    <row r="382" spans="1:9">
      <c r="A382" s="87">
        <v>44636</v>
      </c>
      <c r="B382" s="10"/>
      <c r="C382" s="10"/>
      <c r="D382" s="11"/>
      <c r="E382" s="11"/>
      <c r="F382" s="10"/>
      <c r="G382" s="10"/>
      <c r="H382" s="10"/>
      <c r="I382" s="10"/>
    </row>
    <row r="383" spans="1:9">
      <c r="A383" s="81">
        <v>44622</v>
      </c>
      <c r="B383" s="1" t="s">
        <v>388</v>
      </c>
      <c r="C383" s="1" t="s">
        <v>267</v>
      </c>
      <c r="D383" s="3" t="s">
        <v>1</v>
      </c>
      <c r="E383" s="3" t="s">
        <v>6</v>
      </c>
      <c r="F383" s="1" t="s">
        <v>824</v>
      </c>
    </row>
    <row r="384" spans="1:9">
      <c r="A384" s="81">
        <v>44622</v>
      </c>
      <c r="B384" s="1" t="s">
        <v>266</v>
      </c>
      <c r="C384" s="1" t="s">
        <v>267</v>
      </c>
      <c r="D384" s="3" t="s">
        <v>1</v>
      </c>
      <c r="E384" s="3" t="s">
        <v>6</v>
      </c>
      <c r="F384" s="1" t="s">
        <v>824</v>
      </c>
    </row>
    <row r="385" spans="1:9">
      <c r="A385" s="81">
        <v>44629</v>
      </c>
      <c r="B385" s="1" t="s">
        <v>93</v>
      </c>
      <c r="C385" s="1" t="s">
        <v>516</v>
      </c>
      <c r="D385" s="3" t="s">
        <v>1</v>
      </c>
      <c r="E385" s="3" t="s">
        <v>6</v>
      </c>
      <c r="F385" s="1" t="s">
        <v>823</v>
      </c>
    </row>
    <row r="386" spans="1:9">
      <c r="A386" s="81">
        <v>44629</v>
      </c>
      <c r="B386" s="1" t="s">
        <v>90</v>
      </c>
      <c r="C386" s="1" t="s">
        <v>516</v>
      </c>
      <c r="D386" s="3" t="s">
        <v>1</v>
      </c>
      <c r="E386" s="3" t="s">
        <v>6</v>
      </c>
      <c r="F386" s="1" t="s">
        <v>823</v>
      </c>
    </row>
    <row r="387" spans="1:9">
      <c r="A387" s="81">
        <v>44629</v>
      </c>
      <c r="B387" s="1" t="s">
        <v>92</v>
      </c>
      <c r="C387" s="1" t="s">
        <v>516</v>
      </c>
      <c r="D387" s="3" t="s">
        <v>1</v>
      </c>
      <c r="E387" s="3" t="s">
        <v>6</v>
      </c>
      <c r="F387" s="1" t="s">
        <v>823</v>
      </c>
    </row>
    <row r="388" spans="1:9">
      <c r="A388" s="81">
        <v>44629</v>
      </c>
      <c r="B388" s="1" t="s">
        <v>655</v>
      </c>
      <c r="C388" s="1" t="s">
        <v>275</v>
      </c>
      <c r="D388" s="3" t="s">
        <v>1</v>
      </c>
      <c r="E388" s="3" t="s">
        <v>6</v>
      </c>
      <c r="F388" s="1" t="s">
        <v>822</v>
      </c>
    </row>
    <row r="389" spans="1:9">
      <c r="A389" s="81">
        <v>44635</v>
      </c>
      <c r="B389" s="1" t="s">
        <v>829</v>
      </c>
      <c r="C389" s="1" t="s">
        <v>830</v>
      </c>
      <c r="D389" s="3" t="s">
        <v>1</v>
      </c>
      <c r="E389" s="3" t="s">
        <v>6</v>
      </c>
      <c r="F389" s="1" t="s">
        <v>110</v>
      </c>
    </row>
    <row r="390" spans="1:9">
      <c r="A390" s="81">
        <v>44636</v>
      </c>
      <c r="B390" s="1" t="s">
        <v>58</v>
      </c>
      <c r="C390" s="1" t="s">
        <v>770</v>
      </c>
      <c r="D390" s="3" t="s">
        <v>2</v>
      </c>
      <c r="E390" s="3" t="s">
        <v>7</v>
      </c>
      <c r="F390" s="1" t="s">
        <v>119</v>
      </c>
    </row>
    <row r="391" spans="1:9">
      <c r="A391" s="81">
        <v>44636</v>
      </c>
      <c r="B391" s="1" t="s">
        <v>11</v>
      </c>
      <c r="C391" s="1" t="s">
        <v>25</v>
      </c>
      <c r="D391" s="3" t="s">
        <v>2</v>
      </c>
      <c r="E391" s="3" t="s">
        <v>7</v>
      </c>
      <c r="F391" s="1" t="s">
        <v>119</v>
      </c>
    </row>
    <row r="392" spans="1:9">
      <c r="A392" s="87">
        <v>44637</v>
      </c>
      <c r="B392" s="10"/>
      <c r="C392" s="10"/>
      <c r="D392" s="11"/>
      <c r="E392" s="11"/>
      <c r="F392" s="10"/>
      <c r="G392" s="10"/>
      <c r="H392" s="10"/>
      <c r="I392" s="10"/>
    </row>
    <row r="393" spans="1:9">
      <c r="A393" s="81">
        <v>44622</v>
      </c>
      <c r="B393" s="1" t="s">
        <v>388</v>
      </c>
      <c r="C393" s="1" t="s">
        <v>267</v>
      </c>
      <c r="D393" s="3" t="s">
        <v>1</v>
      </c>
      <c r="E393" s="3" t="s">
        <v>6</v>
      </c>
      <c r="F393" s="1" t="s">
        <v>824</v>
      </c>
    </row>
    <row r="394" spans="1:9">
      <c r="A394" s="81">
        <v>44622</v>
      </c>
      <c r="B394" s="1" t="s">
        <v>266</v>
      </c>
      <c r="C394" s="1" t="s">
        <v>267</v>
      </c>
      <c r="D394" s="3" t="s">
        <v>1</v>
      </c>
      <c r="E394" s="3" t="s">
        <v>6</v>
      </c>
      <c r="F394" s="1" t="s">
        <v>824</v>
      </c>
    </row>
    <row r="395" spans="1:9">
      <c r="A395" s="81">
        <v>44629</v>
      </c>
      <c r="B395" s="1" t="s">
        <v>93</v>
      </c>
      <c r="C395" s="1" t="s">
        <v>516</v>
      </c>
      <c r="D395" s="3" t="s">
        <v>1</v>
      </c>
      <c r="E395" s="3" t="s">
        <v>6</v>
      </c>
      <c r="F395" s="1" t="s">
        <v>823</v>
      </c>
    </row>
    <row r="396" spans="1:9">
      <c r="A396" s="81">
        <v>44629</v>
      </c>
      <c r="B396" s="1" t="s">
        <v>90</v>
      </c>
      <c r="C396" s="1" t="s">
        <v>516</v>
      </c>
      <c r="D396" s="3" t="s">
        <v>1</v>
      </c>
      <c r="E396" s="3" t="s">
        <v>6</v>
      </c>
      <c r="F396" s="1" t="s">
        <v>823</v>
      </c>
    </row>
    <row r="397" spans="1:9">
      <c r="A397" s="81">
        <v>44629</v>
      </c>
      <c r="B397" s="1" t="s">
        <v>92</v>
      </c>
      <c r="C397" s="1" t="s">
        <v>516</v>
      </c>
      <c r="D397" s="3" t="s">
        <v>1</v>
      </c>
      <c r="E397" s="3" t="s">
        <v>6</v>
      </c>
      <c r="F397" s="1" t="s">
        <v>823</v>
      </c>
    </row>
    <row r="398" spans="1:9">
      <c r="A398" s="81">
        <v>44629</v>
      </c>
      <c r="B398" s="1" t="s">
        <v>655</v>
      </c>
      <c r="C398" s="1" t="s">
        <v>275</v>
      </c>
      <c r="D398" s="3" t="s">
        <v>1</v>
      </c>
      <c r="E398" s="3" t="s">
        <v>6</v>
      </c>
      <c r="F398" s="1" t="s">
        <v>822</v>
      </c>
    </row>
    <row r="399" spans="1:9">
      <c r="A399" s="81">
        <v>44637</v>
      </c>
      <c r="B399" s="1" t="s">
        <v>651</v>
      </c>
      <c r="C399" s="1" t="s">
        <v>653</v>
      </c>
      <c r="D399" s="3" t="s">
        <v>2</v>
      </c>
      <c r="E399" s="3" t="s">
        <v>831</v>
      </c>
      <c r="F399" s="1" t="s">
        <v>119</v>
      </c>
    </row>
    <row r="400" spans="1:9">
      <c r="A400" s="87">
        <v>44638</v>
      </c>
      <c r="B400" s="10"/>
      <c r="C400" s="10"/>
      <c r="D400" s="11"/>
      <c r="E400" s="11"/>
      <c r="F400" s="10"/>
      <c r="G400" s="10"/>
      <c r="H400" s="10"/>
      <c r="I400" s="10"/>
    </row>
    <row r="401" spans="1:9">
      <c r="A401" s="81">
        <v>44622</v>
      </c>
      <c r="B401" s="1" t="s">
        <v>388</v>
      </c>
      <c r="C401" s="1" t="s">
        <v>267</v>
      </c>
      <c r="D401" s="3" t="s">
        <v>1</v>
      </c>
      <c r="E401" s="3" t="s">
        <v>6</v>
      </c>
      <c r="F401" s="1" t="s">
        <v>824</v>
      </c>
    </row>
    <row r="402" spans="1:9">
      <c r="A402" s="81">
        <v>44622</v>
      </c>
      <c r="B402" s="1" t="s">
        <v>266</v>
      </c>
      <c r="C402" s="1" t="s">
        <v>267</v>
      </c>
      <c r="D402" s="3" t="s">
        <v>1</v>
      </c>
      <c r="E402" s="3" t="s">
        <v>6</v>
      </c>
      <c r="F402" s="1" t="s">
        <v>824</v>
      </c>
    </row>
    <row r="403" spans="1:9">
      <c r="A403" s="81">
        <v>44629</v>
      </c>
      <c r="B403" s="1" t="s">
        <v>93</v>
      </c>
      <c r="C403" s="1" t="s">
        <v>516</v>
      </c>
      <c r="D403" s="3" t="s">
        <v>1</v>
      </c>
      <c r="E403" s="3" t="s">
        <v>6</v>
      </c>
      <c r="F403" s="1" t="s">
        <v>823</v>
      </c>
    </row>
    <row r="404" spans="1:9">
      <c r="A404" s="81">
        <v>44629</v>
      </c>
      <c r="B404" s="1" t="s">
        <v>90</v>
      </c>
      <c r="C404" s="1" t="s">
        <v>516</v>
      </c>
      <c r="D404" s="3" t="s">
        <v>1</v>
      </c>
      <c r="E404" s="3" t="s">
        <v>6</v>
      </c>
      <c r="F404" s="1" t="s">
        <v>823</v>
      </c>
    </row>
    <row r="405" spans="1:9">
      <c r="A405" s="81">
        <v>44629</v>
      </c>
      <c r="B405" s="1" t="s">
        <v>92</v>
      </c>
      <c r="C405" s="1" t="s">
        <v>516</v>
      </c>
      <c r="D405" s="3" t="s">
        <v>1</v>
      </c>
      <c r="E405" s="3" t="s">
        <v>6</v>
      </c>
      <c r="F405" s="1" t="s">
        <v>823</v>
      </c>
    </row>
    <row r="406" spans="1:9">
      <c r="A406" s="81">
        <v>44629</v>
      </c>
      <c r="B406" s="1" t="s">
        <v>655</v>
      </c>
      <c r="C406" s="1" t="s">
        <v>275</v>
      </c>
      <c r="D406" s="3" t="s">
        <v>1</v>
      </c>
      <c r="E406" s="3" t="s">
        <v>6</v>
      </c>
      <c r="F406" s="1" t="s">
        <v>822</v>
      </c>
    </row>
    <row r="407" spans="1:9">
      <c r="A407" s="81">
        <v>44638</v>
      </c>
      <c r="B407" s="1" t="s">
        <v>58</v>
      </c>
      <c r="C407" s="1" t="s">
        <v>770</v>
      </c>
      <c r="D407" s="3" t="s">
        <v>2</v>
      </c>
      <c r="E407" s="3" t="s">
        <v>7</v>
      </c>
      <c r="F407" s="1" t="s">
        <v>119</v>
      </c>
    </row>
    <row r="408" spans="1:9">
      <c r="A408" s="87">
        <v>44641</v>
      </c>
      <c r="B408" s="10"/>
      <c r="C408" s="10"/>
      <c r="D408" s="11"/>
      <c r="E408" s="11"/>
      <c r="F408" s="10"/>
      <c r="G408" s="10"/>
      <c r="H408" s="10"/>
      <c r="I408" s="10"/>
    </row>
    <row r="409" spans="1:9">
      <c r="A409" s="81">
        <v>44622</v>
      </c>
      <c r="B409" s="1" t="s">
        <v>388</v>
      </c>
      <c r="C409" s="1" t="s">
        <v>267</v>
      </c>
      <c r="D409" s="3" t="s">
        <v>1</v>
      </c>
      <c r="E409" s="3" t="s">
        <v>6</v>
      </c>
      <c r="F409" s="1" t="s">
        <v>824</v>
      </c>
    </row>
    <row r="410" spans="1:9">
      <c r="A410" s="81">
        <v>44622</v>
      </c>
      <c r="B410" s="1" t="s">
        <v>266</v>
      </c>
      <c r="C410" s="1" t="s">
        <v>267</v>
      </c>
      <c r="D410" s="3" t="s">
        <v>1</v>
      </c>
      <c r="E410" s="3" t="s">
        <v>6</v>
      </c>
      <c r="F410" s="1" t="s">
        <v>824</v>
      </c>
    </row>
    <row r="411" spans="1:9">
      <c r="A411" s="81">
        <v>44629</v>
      </c>
      <c r="B411" s="1" t="s">
        <v>93</v>
      </c>
      <c r="C411" s="1" t="s">
        <v>516</v>
      </c>
      <c r="D411" s="3" t="s">
        <v>1</v>
      </c>
      <c r="E411" s="3" t="s">
        <v>6</v>
      </c>
      <c r="F411" s="1" t="s">
        <v>823</v>
      </c>
    </row>
    <row r="412" spans="1:9">
      <c r="A412" s="81">
        <v>44629</v>
      </c>
      <c r="B412" s="1" t="s">
        <v>90</v>
      </c>
      <c r="C412" s="1" t="s">
        <v>516</v>
      </c>
      <c r="D412" s="3" t="s">
        <v>1</v>
      </c>
      <c r="E412" s="3" t="s">
        <v>6</v>
      </c>
      <c r="F412" s="1" t="s">
        <v>823</v>
      </c>
    </row>
    <row r="413" spans="1:9">
      <c r="A413" s="81">
        <v>44629</v>
      </c>
      <c r="B413" s="1" t="s">
        <v>92</v>
      </c>
      <c r="C413" s="1" t="s">
        <v>516</v>
      </c>
      <c r="D413" s="3" t="s">
        <v>1</v>
      </c>
      <c r="E413" s="3" t="s">
        <v>6</v>
      </c>
      <c r="F413" s="1" t="s">
        <v>823</v>
      </c>
    </row>
    <row r="414" spans="1:9">
      <c r="A414" s="81">
        <v>44629</v>
      </c>
      <c r="B414" s="1" t="s">
        <v>655</v>
      </c>
      <c r="C414" s="1" t="s">
        <v>275</v>
      </c>
      <c r="D414" s="3" t="s">
        <v>1</v>
      </c>
      <c r="E414" s="3" t="s">
        <v>6</v>
      </c>
      <c r="F414" s="1" t="s">
        <v>822</v>
      </c>
    </row>
    <row r="415" spans="1:9">
      <c r="A415" s="81">
        <v>44641</v>
      </c>
      <c r="B415" s="1" t="s">
        <v>165</v>
      </c>
      <c r="C415" s="1" t="s">
        <v>127</v>
      </c>
      <c r="D415" s="3" t="s">
        <v>1</v>
      </c>
      <c r="E415" s="3" t="s">
        <v>6</v>
      </c>
      <c r="F415" s="1" t="s">
        <v>110</v>
      </c>
    </row>
    <row r="416" spans="1:9">
      <c r="A416" s="81">
        <v>44641</v>
      </c>
      <c r="B416" s="1" t="s">
        <v>53</v>
      </c>
      <c r="C416" s="1" t="s">
        <v>61</v>
      </c>
      <c r="D416" s="3" t="s">
        <v>1</v>
      </c>
      <c r="E416" s="3" t="s">
        <v>6</v>
      </c>
      <c r="F416" s="1" t="s">
        <v>110</v>
      </c>
    </row>
    <row r="417" spans="1:9">
      <c r="A417" s="81">
        <v>44641</v>
      </c>
      <c r="B417" s="1" t="s">
        <v>284</v>
      </c>
      <c r="C417" s="1" t="s">
        <v>285</v>
      </c>
      <c r="D417" s="3" t="s">
        <v>1</v>
      </c>
      <c r="E417" s="3" t="s">
        <v>6</v>
      </c>
      <c r="F417" s="1" t="s">
        <v>110</v>
      </c>
    </row>
    <row r="418" spans="1:9">
      <c r="A418" s="81">
        <v>44641</v>
      </c>
      <c r="B418" s="1" t="s">
        <v>427</v>
      </c>
      <c r="C418" s="1" t="s">
        <v>213</v>
      </c>
      <c r="D418" s="3" t="s">
        <v>1</v>
      </c>
      <c r="E418" s="3" t="s">
        <v>6</v>
      </c>
      <c r="F418" s="1" t="s">
        <v>110</v>
      </c>
    </row>
    <row r="419" spans="1:9">
      <c r="A419" s="81">
        <v>44641</v>
      </c>
      <c r="B419" s="1" t="s">
        <v>209</v>
      </c>
      <c r="C419" s="1" t="s">
        <v>213</v>
      </c>
      <c r="D419" s="3" t="s">
        <v>1</v>
      </c>
      <c r="E419" s="3" t="s">
        <v>6</v>
      </c>
      <c r="F419" s="1" t="s">
        <v>110</v>
      </c>
    </row>
    <row r="420" spans="1:9">
      <c r="A420" s="81">
        <v>44641</v>
      </c>
      <c r="B420" s="1" t="s">
        <v>352</v>
      </c>
      <c r="C420" s="1" t="s">
        <v>353</v>
      </c>
      <c r="D420" s="3" t="s">
        <v>1</v>
      </c>
      <c r="E420" s="3" t="s">
        <v>6</v>
      </c>
      <c r="F420" s="1" t="s">
        <v>110</v>
      </c>
    </row>
    <row r="421" spans="1:9">
      <c r="A421" s="81">
        <v>44641</v>
      </c>
      <c r="B421" s="1" t="s">
        <v>420</v>
      </c>
      <c r="C421" s="1" t="s">
        <v>787</v>
      </c>
      <c r="D421" s="3" t="s">
        <v>2</v>
      </c>
      <c r="E421" s="3" t="s">
        <v>7</v>
      </c>
      <c r="F421" s="1" t="s">
        <v>119</v>
      </c>
    </row>
    <row r="422" spans="1:9">
      <c r="A422" s="81">
        <v>44641</v>
      </c>
      <c r="B422" s="1" t="s">
        <v>335</v>
      </c>
      <c r="C422" s="1" t="s">
        <v>337</v>
      </c>
      <c r="D422" s="3" t="s">
        <v>2</v>
      </c>
      <c r="E422" s="3" t="s">
        <v>7</v>
      </c>
      <c r="F422" s="1" t="s">
        <v>119</v>
      </c>
    </row>
    <row r="423" spans="1:9">
      <c r="A423" s="81">
        <v>44641</v>
      </c>
      <c r="B423" s="1" t="s">
        <v>256</v>
      </c>
      <c r="C423" s="1" t="s">
        <v>835</v>
      </c>
      <c r="D423" s="3" t="s">
        <v>2</v>
      </c>
      <c r="E423" s="3" t="s">
        <v>7</v>
      </c>
      <c r="F423" s="1" t="s">
        <v>119</v>
      </c>
    </row>
    <row r="424" spans="1:9">
      <c r="A424" s="81">
        <v>44641</v>
      </c>
      <c r="B424" s="1" t="s">
        <v>832</v>
      </c>
      <c r="C424" s="1" t="s">
        <v>836</v>
      </c>
      <c r="D424" s="3" t="s">
        <v>2</v>
      </c>
      <c r="E424" s="3" t="s">
        <v>7</v>
      </c>
      <c r="F424" s="1" t="s">
        <v>119</v>
      </c>
    </row>
    <row r="425" spans="1:9">
      <c r="A425" s="81">
        <v>44641</v>
      </c>
      <c r="B425" s="1" t="s">
        <v>58</v>
      </c>
      <c r="C425" s="1" t="s">
        <v>837</v>
      </c>
      <c r="D425" s="3" t="s">
        <v>2</v>
      </c>
      <c r="E425" s="3" t="s">
        <v>7</v>
      </c>
      <c r="F425" s="1" t="s">
        <v>119</v>
      </c>
    </row>
    <row r="426" spans="1:9">
      <c r="A426" s="81">
        <v>44641</v>
      </c>
      <c r="B426" s="1" t="s">
        <v>833</v>
      </c>
      <c r="C426" s="1" t="s">
        <v>838</v>
      </c>
      <c r="D426" s="3" t="s">
        <v>2</v>
      </c>
      <c r="E426" s="3" t="s">
        <v>7</v>
      </c>
      <c r="F426" s="1" t="s">
        <v>119</v>
      </c>
    </row>
    <row r="427" spans="1:9">
      <c r="A427" s="81">
        <v>44641</v>
      </c>
      <c r="B427" s="1" t="s">
        <v>300</v>
      </c>
      <c r="C427" s="1" t="s">
        <v>839</v>
      </c>
      <c r="D427" s="3" t="s">
        <v>2</v>
      </c>
      <c r="E427" s="3" t="s">
        <v>7</v>
      </c>
      <c r="F427" s="1" t="s">
        <v>119</v>
      </c>
    </row>
    <row r="428" spans="1:9">
      <c r="A428" s="81">
        <v>44641</v>
      </c>
      <c r="B428" s="1" t="s">
        <v>834</v>
      </c>
      <c r="C428" s="1" t="s">
        <v>237</v>
      </c>
      <c r="D428" s="3" t="s">
        <v>2</v>
      </c>
      <c r="E428" s="3" t="s">
        <v>7</v>
      </c>
      <c r="F428" s="1" t="s">
        <v>119</v>
      </c>
    </row>
    <row r="429" spans="1:9">
      <c r="A429" s="87">
        <v>44642</v>
      </c>
      <c r="B429" s="10"/>
      <c r="C429" s="10"/>
      <c r="D429" s="11"/>
      <c r="E429" s="11"/>
      <c r="F429" s="10"/>
      <c r="G429" s="10"/>
      <c r="H429" s="10"/>
      <c r="I429" s="10"/>
    </row>
    <row r="430" spans="1:9">
      <c r="A430" s="81">
        <v>44622</v>
      </c>
      <c r="B430" s="1" t="s">
        <v>388</v>
      </c>
      <c r="C430" s="1" t="s">
        <v>267</v>
      </c>
      <c r="D430" s="3" t="s">
        <v>1</v>
      </c>
      <c r="E430" s="3" t="s">
        <v>6</v>
      </c>
      <c r="F430" s="1" t="s">
        <v>824</v>
      </c>
    </row>
    <row r="431" spans="1:9">
      <c r="A431" s="81">
        <v>44622</v>
      </c>
      <c r="B431" s="1" t="s">
        <v>266</v>
      </c>
      <c r="C431" s="1" t="s">
        <v>267</v>
      </c>
      <c r="D431" s="3" t="s">
        <v>1</v>
      </c>
      <c r="E431" s="3" t="s">
        <v>6</v>
      </c>
      <c r="F431" s="1" t="s">
        <v>824</v>
      </c>
    </row>
    <row r="432" spans="1:9">
      <c r="A432" s="81">
        <v>44629</v>
      </c>
      <c r="B432" s="1" t="s">
        <v>93</v>
      </c>
      <c r="C432" s="1" t="s">
        <v>516</v>
      </c>
      <c r="D432" s="3" t="s">
        <v>1</v>
      </c>
      <c r="E432" s="3" t="s">
        <v>6</v>
      </c>
      <c r="F432" s="1" t="s">
        <v>823</v>
      </c>
    </row>
    <row r="433" spans="1:9">
      <c r="A433" s="81">
        <v>44629</v>
      </c>
      <c r="B433" s="1" t="s">
        <v>90</v>
      </c>
      <c r="C433" s="1" t="s">
        <v>516</v>
      </c>
      <c r="D433" s="3" t="s">
        <v>1</v>
      </c>
      <c r="E433" s="3" t="s">
        <v>6</v>
      </c>
      <c r="F433" s="1" t="s">
        <v>823</v>
      </c>
    </row>
    <row r="434" spans="1:9">
      <c r="A434" s="81">
        <v>44629</v>
      </c>
      <c r="B434" s="1" t="s">
        <v>92</v>
      </c>
      <c r="C434" s="1" t="s">
        <v>516</v>
      </c>
      <c r="D434" s="3" t="s">
        <v>1</v>
      </c>
      <c r="E434" s="3" t="s">
        <v>6</v>
      </c>
      <c r="F434" s="1" t="s">
        <v>823</v>
      </c>
    </row>
    <row r="435" spans="1:9">
      <c r="A435" s="81">
        <v>44629</v>
      </c>
      <c r="B435" s="1" t="s">
        <v>655</v>
      </c>
      <c r="C435" s="1" t="s">
        <v>275</v>
      </c>
      <c r="D435" s="3" t="s">
        <v>1</v>
      </c>
      <c r="E435" s="3" t="s">
        <v>6</v>
      </c>
      <c r="F435" s="1" t="s">
        <v>822</v>
      </c>
    </row>
    <row r="436" spans="1:9">
      <c r="A436" s="81">
        <v>44641</v>
      </c>
      <c r="B436" s="1" t="s">
        <v>165</v>
      </c>
      <c r="C436" s="1" t="s">
        <v>127</v>
      </c>
      <c r="D436" s="3" t="s">
        <v>1</v>
      </c>
      <c r="E436" s="3" t="s">
        <v>6</v>
      </c>
      <c r="F436" s="1" t="s">
        <v>110</v>
      </c>
    </row>
    <row r="437" spans="1:9">
      <c r="A437" s="81">
        <v>44641</v>
      </c>
      <c r="B437" s="1" t="s">
        <v>53</v>
      </c>
      <c r="C437" s="1" t="s">
        <v>61</v>
      </c>
      <c r="D437" s="3" t="s">
        <v>1</v>
      </c>
      <c r="E437" s="3" t="s">
        <v>6</v>
      </c>
      <c r="F437" s="1" t="s">
        <v>110</v>
      </c>
    </row>
    <row r="438" spans="1:9">
      <c r="A438" s="81">
        <v>44641</v>
      </c>
      <c r="B438" s="1" t="s">
        <v>284</v>
      </c>
      <c r="C438" s="1" t="s">
        <v>285</v>
      </c>
      <c r="D438" s="3" t="s">
        <v>1</v>
      </c>
      <c r="E438" s="3" t="s">
        <v>6</v>
      </c>
      <c r="F438" s="1" t="s">
        <v>110</v>
      </c>
    </row>
    <row r="439" spans="1:9">
      <c r="A439" s="81">
        <v>44642</v>
      </c>
      <c r="B439" s="1" t="s">
        <v>51</v>
      </c>
      <c r="C439" s="1" t="s">
        <v>127</v>
      </c>
      <c r="D439" s="3" t="s">
        <v>1</v>
      </c>
      <c r="E439" s="3" t="s">
        <v>6</v>
      </c>
      <c r="F439" s="1" t="s">
        <v>110</v>
      </c>
    </row>
    <row r="440" spans="1:9">
      <c r="A440" s="81">
        <v>44642</v>
      </c>
      <c r="B440" s="1" t="s">
        <v>718</v>
      </c>
      <c r="C440" s="1" t="s">
        <v>127</v>
      </c>
      <c r="D440" s="3" t="s">
        <v>1</v>
      </c>
      <c r="E440" s="3" t="s">
        <v>6</v>
      </c>
      <c r="F440" s="1" t="s">
        <v>110</v>
      </c>
    </row>
    <row r="441" spans="1:9">
      <c r="A441" s="81">
        <v>44642</v>
      </c>
      <c r="B441" s="1" t="s">
        <v>58</v>
      </c>
      <c r="C441" s="1" t="s">
        <v>837</v>
      </c>
      <c r="D441" s="3" t="s">
        <v>2</v>
      </c>
      <c r="E441" s="3" t="s">
        <v>7</v>
      </c>
      <c r="F441" s="1" t="s">
        <v>119</v>
      </c>
    </row>
    <row r="442" spans="1:9">
      <c r="A442" s="81">
        <v>44642</v>
      </c>
      <c r="B442" s="1" t="s">
        <v>833</v>
      </c>
      <c r="C442" s="1" t="s">
        <v>838</v>
      </c>
      <c r="D442" s="3" t="s">
        <v>2</v>
      </c>
      <c r="E442" s="3" t="s">
        <v>7</v>
      </c>
      <c r="F442" s="1" t="s">
        <v>119</v>
      </c>
    </row>
    <row r="443" spans="1:9">
      <c r="A443" s="81">
        <v>44642</v>
      </c>
      <c r="B443" s="1" t="s">
        <v>834</v>
      </c>
      <c r="C443" s="1" t="s">
        <v>237</v>
      </c>
      <c r="D443" s="3" t="s">
        <v>2</v>
      </c>
      <c r="E443" s="3" t="s">
        <v>7</v>
      </c>
      <c r="F443" s="1" t="s">
        <v>119</v>
      </c>
    </row>
    <row r="444" spans="1:9">
      <c r="A444" s="81">
        <v>44642</v>
      </c>
      <c r="B444" s="1" t="s">
        <v>558</v>
      </c>
      <c r="C444" s="1" t="s">
        <v>560</v>
      </c>
      <c r="D444" s="3" t="s">
        <v>2</v>
      </c>
      <c r="E444" s="3" t="s">
        <v>7</v>
      </c>
      <c r="F444" s="1" t="s">
        <v>119</v>
      </c>
    </row>
    <row r="445" spans="1:9">
      <c r="A445" s="81">
        <v>44642</v>
      </c>
      <c r="B445" s="1" t="s">
        <v>352</v>
      </c>
      <c r="C445" s="1" t="s">
        <v>353</v>
      </c>
      <c r="D445" s="3" t="s">
        <v>2</v>
      </c>
      <c r="E445" s="3" t="s">
        <v>7</v>
      </c>
      <c r="F445" s="1" t="s">
        <v>119</v>
      </c>
    </row>
    <row r="446" spans="1:9">
      <c r="A446" s="87">
        <v>44643</v>
      </c>
      <c r="B446" s="10"/>
      <c r="C446" s="10"/>
      <c r="D446" s="11"/>
      <c r="E446" s="11"/>
      <c r="F446" s="10"/>
      <c r="G446" s="10"/>
      <c r="H446" s="10"/>
      <c r="I446" s="10"/>
    </row>
    <row r="447" spans="1:9">
      <c r="A447" s="81">
        <v>44622</v>
      </c>
      <c r="B447" s="1" t="s">
        <v>388</v>
      </c>
      <c r="C447" s="1" t="s">
        <v>267</v>
      </c>
      <c r="D447" s="3" t="s">
        <v>1</v>
      </c>
      <c r="E447" s="3" t="s">
        <v>6</v>
      </c>
      <c r="F447" s="1" t="s">
        <v>824</v>
      </c>
    </row>
    <row r="448" spans="1:9">
      <c r="A448" s="81">
        <v>44622</v>
      </c>
      <c r="B448" s="1" t="s">
        <v>266</v>
      </c>
      <c r="C448" s="1" t="s">
        <v>267</v>
      </c>
      <c r="D448" s="3" t="s">
        <v>1</v>
      </c>
      <c r="E448" s="3" t="s">
        <v>6</v>
      </c>
      <c r="F448" s="1" t="s">
        <v>824</v>
      </c>
    </row>
    <row r="449" spans="1:9">
      <c r="A449" s="81">
        <v>44629</v>
      </c>
      <c r="B449" s="1" t="s">
        <v>93</v>
      </c>
      <c r="C449" s="1" t="s">
        <v>516</v>
      </c>
      <c r="D449" s="3" t="s">
        <v>1</v>
      </c>
      <c r="E449" s="3" t="s">
        <v>6</v>
      </c>
      <c r="F449" s="1" t="s">
        <v>823</v>
      </c>
    </row>
    <row r="450" spans="1:9">
      <c r="A450" s="81">
        <v>44629</v>
      </c>
      <c r="B450" s="1" t="s">
        <v>90</v>
      </c>
      <c r="C450" s="1" t="s">
        <v>516</v>
      </c>
      <c r="D450" s="3" t="s">
        <v>1</v>
      </c>
      <c r="E450" s="3" t="s">
        <v>6</v>
      </c>
      <c r="F450" s="1" t="s">
        <v>823</v>
      </c>
    </row>
    <row r="451" spans="1:9">
      <c r="A451" s="81">
        <v>44629</v>
      </c>
      <c r="B451" s="1" t="s">
        <v>92</v>
      </c>
      <c r="C451" s="1" t="s">
        <v>516</v>
      </c>
      <c r="D451" s="3" t="s">
        <v>1</v>
      </c>
      <c r="E451" s="3" t="s">
        <v>6</v>
      </c>
      <c r="F451" s="1" t="s">
        <v>823</v>
      </c>
    </row>
    <row r="452" spans="1:9">
      <c r="A452" s="81">
        <v>44629</v>
      </c>
      <c r="B452" s="1" t="s">
        <v>655</v>
      </c>
      <c r="C452" s="1" t="s">
        <v>275</v>
      </c>
      <c r="D452" s="3" t="s">
        <v>1</v>
      </c>
      <c r="E452" s="3" t="s">
        <v>6</v>
      </c>
      <c r="F452" s="1" t="s">
        <v>822</v>
      </c>
    </row>
    <row r="453" spans="1:9">
      <c r="A453" s="81">
        <v>44641</v>
      </c>
      <c r="B453" s="1" t="s">
        <v>165</v>
      </c>
      <c r="C453" s="1" t="s">
        <v>127</v>
      </c>
      <c r="D453" s="3" t="s">
        <v>1</v>
      </c>
      <c r="E453" s="3" t="s">
        <v>6</v>
      </c>
      <c r="F453" s="1" t="s">
        <v>110</v>
      </c>
    </row>
    <row r="454" spans="1:9">
      <c r="A454" s="81">
        <v>44641</v>
      </c>
      <c r="B454" s="1" t="s">
        <v>53</v>
      </c>
      <c r="C454" s="1" t="s">
        <v>61</v>
      </c>
      <c r="D454" s="3" t="s">
        <v>1</v>
      </c>
      <c r="E454" s="3" t="s">
        <v>6</v>
      </c>
      <c r="F454" s="1" t="s">
        <v>110</v>
      </c>
    </row>
    <row r="455" spans="1:9">
      <c r="A455" s="81">
        <v>44641</v>
      </c>
      <c r="B455" s="1" t="s">
        <v>284</v>
      </c>
      <c r="C455" s="1" t="s">
        <v>285</v>
      </c>
      <c r="D455" s="3" t="s">
        <v>1</v>
      </c>
      <c r="E455" s="3" t="s">
        <v>6</v>
      </c>
      <c r="F455" s="1" t="s">
        <v>110</v>
      </c>
    </row>
    <row r="456" spans="1:9">
      <c r="A456" s="81">
        <v>44642</v>
      </c>
      <c r="B456" s="1" t="s">
        <v>51</v>
      </c>
      <c r="C456" s="1" t="s">
        <v>127</v>
      </c>
      <c r="D456" s="3" t="s">
        <v>1</v>
      </c>
      <c r="E456" s="3" t="s">
        <v>6</v>
      </c>
      <c r="F456" s="1" t="s">
        <v>110</v>
      </c>
    </row>
    <row r="457" spans="1:9">
      <c r="A457" s="81">
        <v>44642</v>
      </c>
      <c r="B457" s="1" t="s">
        <v>718</v>
      </c>
      <c r="C457" s="1" t="s">
        <v>127</v>
      </c>
      <c r="D457" s="3" t="s">
        <v>1</v>
      </c>
      <c r="E457" s="3" t="s">
        <v>6</v>
      </c>
      <c r="F457" s="1" t="s">
        <v>110</v>
      </c>
    </row>
    <row r="458" spans="1:9">
      <c r="A458" s="81">
        <v>44643</v>
      </c>
      <c r="B458" s="1" t="s">
        <v>52</v>
      </c>
      <c r="C458" s="1" t="s">
        <v>61</v>
      </c>
      <c r="D458" s="3" t="s">
        <v>1</v>
      </c>
      <c r="E458" s="3" t="s">
        <v>6</v>
      </c>
      <c r="F458" s="1" t="s">
        <v>110</v>
      </c>
    </row>
    <row r="459" spans="1:9">
      <c r="A459" s="81">
        <v>44642</v>
      </c>
      <c r="B459" s="1" t="s">
        <v>58</v>
      </c>
      <c r="C459" s="1" t="s">
        <v>837</v>
      </c>
      <c r="D459" s="3" t="s">
        <v>2</v>
      </c>
      <c r="E459" s="3" t="s">
        <v>7</v>
      </c>
      <c r="F459" s="1" t="s">
        <v>119</v>
      </c>
    </row>
    <row r="460" spans="1:9">
      <c r="A460" s="81">
        <v>44642</v>
      </c>
      <c r="B460" s="1" t="s">
        <v>833</v>
      </c>
      <c r="C460" s="1" t="s">
        <v>838</v>
      </c>
      <c r="D460" s="3" t="s">
        <v>2</v>
      </c>
      <c r="E460" s="3" t="s">
        <v>7</v>
      </c>
      <c r="F460" s="1" t="s">
        <v>119</v>
      </c>
    </row>
    <row r="461" spans="1:9">
      <c r="A461" s="81">
        <v>44642</v>
      </c>
      <c r="B461" s="1" t="s">
        <v>834</v>
      </c>
      <c r="C461" s="1" t="s">
        <v>237</v>
      </c>
      <c r="D461" s="3" t="s">
        <v>2</v>
      </c>
      <c r="E461" s="3" t="s">
        <v>7</v>
      </c>
      <c r="F461" s="1" t="s">
        <v>119</v>
      </c>
    </row>
    <row r="462" spans="1:9">
      <c r="A462" s="81">
        <v>44642</v>
      </c>
      <c r="B462" s="1" t="s">
        <v>558</v>
      </c>
      <c r="C462" s="1" t="s">
        <v>560</v>
      </c>
      <c r="D462" s="3" t="s">
        <v>2</v>
      </c>
      <c r="E462" s="3" t="s">
        <v>7</v>
      </c>
      <c r="F462" s="1" t="s">
        <v>119</v>
      </c>
    </row>
    <row r="463" spans="1:9">
      <c r="A463" s="81">
        <v>44643</v>
      </c>
      <c r="B463" s="1" t="s">
        <v>840</v>
      </c>
      <c r="C463" s="1" t="s">
        <v>841</v>
      </c>
      <c r="D463" s="3" t="s">
        <v>2</v>
      </c>
      <c r="E463" s="3" t="s">
        <v>7</v>
      </c>
      <c r="F463" s="1" t="s">
        <v>119</v>
      </c>
    </row>
    <row r="464" spans="1:9">
      <c r="A464" s="87">
        <v>44644</v>
      </c>
      <c r="B464" s="10"/>
      <c r="C464" s="10"/>
      <c r="D464" s="11"/>
      <c r="E464" s="11"/>
      <c r="F464" s="10"/>
      <c r="G464" s="10"/>
      <c r="H464" s="10"/>
      <c r="I464" s="10"/>
    </row>
    <row r="465" spans="1:6">
      <c r="A465" s="81">
        <v>44622</v>
      </c>
      <c r="B465" s="1" t="s">
        <v>388</v>
      </c>
      <c r="C465" s="1" t="s">
        <v>267</v>
      </c>
      <c r="D465" s="3" t="s">
        <v>1</v>
      </c>
      <c r="E465" s="3" t="s">
        <v>6</v>
      </c>
      <c r="F465" s="1" t="s">
        <v>824</v>
      </c>
    </row>
    <row r="466" spans="1:6">
      <c r="A466" s="81">
        <v>44622</v>
      </c>
      <c r="B466" s="1" t="s">
        <v>266</v>
      </c>
      <c r="C466" s="1" t="s">
        <v>267</v>
      </c>
      <c r="D466" s="3" t="s">
        <v>1</v>
      </c>
      <c r="E466" s="3" t="s">
        <v>6</v>
      </c>
      <c r="F466" s="1" t="s">
        <v>824</v>
      </c>
    </row>
    <row r="467" spans="1:6">
      <c r="A467" s="81">
        <v>44629</v>
      </c>
      <c r="B467" s="1" t="s">
        <v>93</v>
      </c>
      <c r="C467" s="1" t="s">
        <v>516</v>
      </c>
      <c r="D467" s="3" t="s">
        <v>1</v>
      </c>
      <c r="E467" s="3" t="s">
        <v>6</v>
      </c>
      <c r="F467" s="1" t="s">
        <v>823</v>
      </c>
    </row>
    <row r="468" spans="1:6">
      <c r="A468" s="81">
        <v>44629</v>
      </c>
      <c r="B468" s="1" t="s">
        <v>90</v>
      </c>
      <c r="C468" s="1" t="s">
        <v>516</v>
      </c>
      <c r="D468" s="3" t="s">
        <v>1</v>
      </c>
      <c r="E468" s="3" t="s">
        <v>6</v>
      </c>
      <c r="F468" s="1" t="s">
        <v>823</v>
      </c>
    </row>
    <row r="469" spans="1:6">
      <c r="A469" s="81">
        <v>44629</v>
      </c>
      <c r="B469" s="1" t="s">
        <v>92</v>
      </c>
      <c r="C469" s="1" t="s">
        <v>516</v>
      </c>
      <c r="D469" s="3" t="s">
        <v>1</v>
      </c>
      <c r="E469" s="3" t="s">
        <v>6</v>
      </c>
      <c r="F469" s="1" t="s">
        <v>823</v>
      </c>
    </row>
    <row r="470" spans="1:6">
      <c r="A470" s="81">
        <v>44629</v>
      </c>
      <c r="B470" s="1" t="s">
        <v>655</v>
      </c>
      <c r="C470" s="1" t="s">
        <v>275</v>
      </c>
      <c r="D470" s="3" t="s">
        <v>1</v>
      </c>
      <c r="E470" s="3" t="s">
        <v>6</v>
      </c>
      <c r="F470" s="1" t="s">
        <v>822</v>
      </c>
    </row>
    <row r="471" spans="1:6">
      <c r="A471" s="81">
        <v>44643</v>
      </c>
      <c r="B471" s="1" t="s">
        <v>799</v>
      </c>
      <c r="C471" s="1" t="s">
        <v>842</v>
      </c>
      <c r="D471" s="3" t="s">
        <v>1</v>
      </c>
      <c r="E471" s="3" t="s">
        <v>6</v>
      </c>
      <c r="F471" s="1" t="s">
        <v>823</v>
      </c>
    </row>
    <row r="472" spans="1:6">
      <c r="A472" s="81">
        <v>44643</v>
      </c>
      <c r="B472" s="1" t="s">
        <v>833</v>
      </c>
      <c r="C472" s="1" t="s">
        <v>843</v>
      </c>
      <c r="D472" s="3" t="s">
        <v>1</v>
      </c>
      <c r="E472" s="3" t="s">
        <v>6</v>
      </c>
      <c r="F472" s="1" t="s">
        <v>823</v>
      </c>
    </row>
    <row r="473" spans="1:6">
      <c r="A473" s="81">
        <v>44644</v>
      </c>
      <c r="B473" s="1" t="s">
        <v>132</v>
      </c>
      <c r="C473" s="1" t="s">
        <v>339</v>
      </c>
      <c r="D473" s="3" t="s">
        <v>1</v>
      </c>
      <c r="E473" s="3" t="s">
        <v>6</v>
      </c>
      <c r="F473" s="1" t="s">
        <v>110</v>
      </c>
    </row>
    <row r="474" spans="1:6">
      <c r="A474" s="81">
        <v>44644</v>
      </c>
      <c r="B474" s="1" t="s">
        <v>51</v>
      </c>
      <c r="C474" s="1" t="s">
        <v>127</v>
      </c>
      <c r="D474" s="3" t="s">
        <v>1</v>
      </c>
      <c r="E474" s="3" t="s">
        <v>6</v>
      </c>
      <c r="F474" s="1" t="s">
        <v>110</v>
      </c>
    </row>
    <row r="475" spans="1:6">
      <c r="A475" s="81">
        <v>44644</v>
      </c>
      <c r="B475" s="1" t="s">
        <v>165</v>
      </c>
      <c r="C475" s="1" t="s">
        <v>127</v>
      </c>
      <c r="D475" s="3" t="s">
        <v>1</v>
      </c>
      <c r="E475" s="3" t="s">
        <v>6</v>
      </c>
      <c r="F475" s="1" t="s">
        <v>110</v>
      </c>
    </row>
    <row r="476" spans="1:6">
      <c r="A476" s="81">
        <v>44644</v>
      </c>
      <c r="B476" s="1" t="s">
        <v>718</v>
      </c>
      <c r="C476" s="1" t="s">
        <v>127</v>
      </c>
      <c r="D476" s="3" t="s">
        <v>1</v>
      </c>
      <c r="E476" s="3" t="s">
        <v>6</v>
      </c>
      <c r="F476" s="1" t="s">
        <v>110</v>
      </c>
    </row>
    <row r="477" spans="1:6">
      <c r="A477" s="81">
        <v>44644</v>
      </c>
      <c r="B477" s="1" t="s">
        <v>226</v>
      </c>
      <c r="C477" s="1" t="s">
        <v>227</v>
      </c>
      <c r="D477" s="3" t="s">
        <v>1</v>
      </c>
      <c r="E477" s="3" t="s">
        <v>6</v>
      </c>
      <c r="F477" s="1" t="s">
        <v>110</v>
      </c>
    </row>
    <row r="478" spans="1:6">
      <c r="A478" s="81">
        <v>44644</v>
      </c>
      <c r="B478" s="1" t="s">
        <v>184</v>
      </c>
      <c r="C478" s="1" t="s">
        <v>589</v>
      </c>
      <c r="D478" s="3" t="s">
        <v>2</v>
      </c>
      <c r="E478" s="3" t="s">
        <v>7</v>
      </c>
      <c r="F478" s="1" t="s">
        <v>119</v>
      </c>
    </row>
    <row r="479" spans="1:6">
      <c r="A479" s="81">
        <v>44644</v>
      </c>
      <c r="B479" s="1" t="s">
        <v>12</v>
      </c>
      <c r="C479" s="1" t="s">
        <v>26</v>
      </c>
      <c r="D479" s="3" t="s">
        <v>2</v>
      </c>
      <c r="E479" s="3" t="s">
        <v>7</v>
      </c>
      <c r="F479" s="1" t="s">
        <v>119</v>
      </c>
    </row>
    <row r="480" spans="1:6">
      <c r="A480" s="81">
        <v>44644</v>
      </c>
      <c r="B480" s="1" t="s">
        <v>844</v>
      </c>
      <c r="C480" s="1" t="s">
        <v>845</v>
      </c>
      <c r="D480" s="3" t="s">
        <v>2</v>
      </c>
      <c r="E480" s="3" t="s">
        <v>7</v>
      </c>
      <c r="F480" s="1" t="s">
        <v>119</v>
      </c>
    </row>
    <row r="481" spans="1:9">
      <c r="A481" s="81">
        <v>44644</v>
      </c>
      <c r="B481" s="1" t="s">
        <v>529</v>
      </c>
      <c r="C481" s="1" t="s">
        <v>531</v>
      </c>
      <c r="D481" s="3" t="s">
        <v>2</v>
      </c>
      <c r="E481" s="3" t="s">
        <v>7</v>
      </c>
      <c r="F481" s="1" t="s">
        <v>119</v>
      </c>
    </row>
    <row r="482" spans="1:9">
      <c r="A482" s="87">
        <v>44645</v>
      </c>
      <c r="B482" s="10"/>
      <c r="C482" s="10"/>
      <c r="D482" s="11"/>
      <c r="E482" s="11"/>
      <c r="F482" s="10"/>
      <c r="G482" s="10"/>
      <c r="H482" s="10"/>
      <c r="I482" s="10"/>
    </row>
    <row r="483" spans="1:9">
      <c r="A483" s="81">
        <v>44622</v>
      </c>
      <c r="B483" s="1" t="s">
        <v>388</v>
      </c>
      <c r="C483" s="1" t="s">
        <v>267</v>
      </c>
      <c r="D483" s="3" t="s">
        <v>1</v>
      </c>
      <c r="E483" s="3" t="s">
        <v>6</v>
      </c>
      <c r="F483" s="1" t="s">
        <v>824</v>
      </c>
      <c r="G483" s="1" t="s">
        <v>851</v>
      </c>
      <c r="H483" s="1" t="s">
        <v>859</v>
      </c>
      <c r="I483" s="1" t="s">
        <v>853</v>
      </c>
    </row>
    <row r="484" spans="1:9">
      <c r="A484" s="81">
        <v>44622</v>
      </c>
      <c r="B484" s="1" t="s">
        <v>266</v>
      </c>
      <c r="C484" s="1" t="s">
        <v>267</v>
      </c>
      <c r="D484" s="3" t="s">
        <v>1</v>
      </c>
      <c r="E484" s="3" t="s">
        <v>6</v>
      </c>
      <c r="F484" s="1" t="s">
        <v>824</v>
      </c>
      <c r="G484" s="1" t="s">
        <v>851</v>
      </c>
      <c r="H484" s="1" t="s">
        <v>860</v>
      </c>
      <c r="I484" s="1" t="s">
        <v>853</v>
      </c>
    </row>
    <row r="485" spans="1:9">
      <c r="A485" s="81">
        <v>44629</v>
      </c>
      <c r="B485" s="1" t="s">
        <v>93</v>
      </c>
      <c r="C485" s="1" t="s">
        <v>516</v>
      </c>
      <c r="D485" s="3" t="s">
        <v>1</v>
      </c>
      <c r="E485" s="3" t="s">
        <v>6</v>
      </c>
      <c r="F485" s="1" t="s">
        <v>823</v>
      </c>
      <c r="G485" s="1" t="s">
        <v>851</v>
      </c>
      <c r="H485" s="1" t="s">
        <v>856</v>
      </c>
      <c r="I485" s="1" t="s">
        <v>853</v>
      </c>
    </row>
    <row r="486" spans="1:9">
      <c r="A486" s="81">
        <v>44629</v>
      </c>
      <c r="B486" s="1" t="s">
        <v>90</v>
      </c>
      <c r="C486" s="1" t="s">
        <v>516</v>
      </c>
      <c r="D486" s="3" t="s">
        <v>1</v>
      </c>
      <c r="E486" s="3" t="s">
        <v>6</v>
      </c>
      <c r="F486" s="1" t="s">
        <v>823</v>
      </c>
      <c r="G486" s="1" t="s">
        <v>851</v>
      </c>
      <c r="H486" s="1" t="s">
        <v>857</v>
      </c>
      <c r="I486" s="1" t="s">
        <v>853</v>
      </c>
    </row>
    <row r="487" spans="1:9">
      <c r="A487" s="81">
        <v>44629</v>
      </c>
      <c r="B487" s="1" t="s">
        <v>92</v>
      </c>
      <c r="C487" s="1" t="s">
        <v>516</v>
      </c>
      <c r="D487" s="3" t="s">
        <v>1</v>
      </c>
      <c r="E487" s="3" t="s">
        <v>6</v>
      </c>
      <c r="F487" s="1" t="s">
        <v>823</v>
      </c>
      <c r="G487" s="1" t="s">
        <v>851</v>
      </c>
      <c r="H487" s="1" t="s">
        <v>858</v>
      </c>
      <c r="I487" s="1" t="s">
        <v>853</v>
      </c>
    </row>
    <row r="488" spans="1:9">
      <c r="A488" s="81">
        <v>44629</v>
      </c>
      <c r="B488" s="1" t="s">
        <v>655</v>
      </c>
      <c r="C488" s="1" t="s">
        <v>275</v>
      </c>
      <c r="D488" s="3" t="s">
        <v>1</v>
      </c>
      <c r="E488" s="3" t="s">
        <v>6</v>
      </c>
      <c r="F488" s="1" t="s">
        <v>822</v>
      </c>
      <c r="G488" s="1" t="s">
        <v>852</v>
      </c>
      <c r="H488" s="1" t="s">
        <v>854</v>
      </c>
      <c r="I488" s="1" t="s">
        <v>855</v>
      </c>
    </row>
    <row r="489" spans="1:9">
      <c r="A489" s="88">
        <v>44643</v>
      </c>
      <c r="B489" s="89" t="s">
        <v>799</v>
      </c>
      <c r="C489" s="89" t="s">
        <v>842</v>
      </c>
      <c r="D489" s="90" t="s">
        <v>1</v>
      </c>
      <c r="E489" s="90" t="s">
        <v>6</v>
      </c>
      <c r="F489" s="89" t="s">
        <v>823</v>
      </c>
      <c r="G489" s="89" t="s">
        <v>851</v>
      </c>
      <c r="H489" s="89" t="s">
        <v>861</v>
      </c>
      <c r="I489" s="89" t="s">
        <v>865</v>
      </c>
    </row>
    <row r="490" spans="1:9">
      <c r="A490" s="88">
        <v>44643</v>
      </c>
      <c r="B490" s="89" t="s">
        <v>833</v>
      </c>
      <c r="C490" s="89" t="s">
        <v>843</v>
      </c>
      <c r="D490" s="90" t="s">
        <v>1</v>
      </c>
      <c r="E490" s="90" t="s">
        <v>6</v>
      </c>
      <c r="F490" s="89" t="s">
        <v>823</v>
      </c>
      <c r="G490" s="89" t="s">
        <v>851</v>
      </c>
      <c r="H490" s="89" t="s">
        <v>862</v>
      </c>
      <c r="I490" s="89" t="s">
        <v>865</v>
      </c>
    </row>
    <row r="491" spans="1:9">
      <c r="A491" s="81">
        <v>44644</v>
      </c>
      <c r="B491" s="1" t="s">
        <v>333</v>
      </c>
      <c r="C491" s="1" t="s">
        <v>339</v>
      </c>
      <c r="D491" s="3" t="s">
        <v>1</v>
      </c>
      <c r="E491" s="3" t="s">
        <v>6</v>
      </c>
      <c r="F491" s="1" t="s">
        <v>110</v>
      </c>
      <c r="G491" s="1" t="s">
        <v>851</v>
      </c>
      <c r="H491" s="1" t="s">
        <v>863</v>
      </c>
      <c r="I491" s="1" t="s">
        <v>853</v>
      </c>
    </row>
    <row r="492" spans="1:9">
      <c r="A492" s="81">
        <v>44645</v>
      </c>
      <c r="B492" s="1" t="s">
        <v>585</v>
      </c>
      <c r="C492" s="1" t="s">
        <v>846</v>
      </c>
      <c r="D492" s="3" t="s">
        <v>1</v>
      </c>
      <c r="E492" s="3" t="s">
        <v>6</v>
      </c>
      <c r="F492" s="1" t="s">
        <v>110</v>
      </c>
      <c r="G492" s="1" t="s">
        <v>851</v>
      </c>
      <c r="H492" s="1" t="s">
        <v>864</v>
      </c>
      <c r="I492" s="1" t="s">
        <v>853</v>
      </c>
    </row>
    <row r="493" spans="1:9">
      <c r="A493" s="81">
        <v>44645</v>
      </c>
      <c r="B493" s="1" t="s">
        <v>847</v>
      </c>
      <c r="C493" s="1" t="s">
        <v>849</v>
      </c>
      <c r="D493" s="3" t="s">
        <v>2</v>
      </c>
      <c r="E493" s="3" t="s">
        <v>831</v>
      </c>
      <c r="F493" s="1" t="s">
        <v>119</v>
      </c>
    </row>
    <row r="494" spans="1:9">
      <c r="A494" s="81">
        <v>44645</v>
      </c>
      <c r="B494" s="1" t="s">
        <v>848</v>
      </c>
      <c r="C494" s="1" t="s">
        <v>850</v>
      </c>
      <c r="D494" s="3" t="s">
        <v>2</v>
      </c>
      <c r="E494" s="3" t="s">
        <v>831</v>
      </c>
      <c r="F494" s="1" t="s">
        <v>119</v>
      </c>
    </row>
    <row r="495" spans="1:9">
      <c r="A495" s="81">
        <v>44645</v>
      </c>
      <c r="B495" s="1" t="s">
        <v>229</v>
      </c>
      <c r="C495" s="1" t="s">
        <v>316</v>
      </c>
      <c r="D495" s="3" t="s">
        <v>2</v>
      </c>
      <c r="E495" s="3" t="s">
        <v>831</v>
      </c>
      <c r="F495" s="1" t="s">
        <v>119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B424-62B6-4F74-A4D9-FFA9F54377F2}">
  <dimension ref="A1:N9"/>
  <sheetViews>
    <sheetView tabSelected="1" zoomScale="85" zoomScaleNormal="85" workbookViewId="0">
      <selection activeCell="D11" sqref="D11"/>
    </sheetView>
  </sheetViews>
  <sheetFormatPr defaultRowHeight="22" customHeight="1"/>
  <cols>
    <col min="2" max="2" width="15.9140625" bestFit="1" customWidth="1"/>
    <col min="3" max="3" width="12.08203125" bestFit="1" customWidth="1"/>
    <col min="4" max="4" width="81.6640625" customWidth="1"/>
    <col min="5" max="5" width="15.1640625" customWidth="1"/>
    <col min="6" max="6" width="12.33203125" customWidth="1"/>
    <col min="7" max="8" width="14.33203125" customWidth="1"/>
    <col min="9" max="9" width="17.1640625" customWidth="1"/>
    <col min="10" max="14" width="13.75" customWidth="1"/>
  </cols>
  <sheetData>
    <row r="1" spans="1:14" s="634" customFormat="1" ht="22" customHeight="1">
      <c r="A1" s="628" t="s">
        <v>867</v>
      </c>
      <c r="B1" s="628" t="s">
        <v>869</v>
      </c>
      <c r="C1" s="628" t="s">
        <v>5403</v>
      </c>
      <c r="D1" s="628" t="s">
        <v>871</v>
      </c>
      <c r="E1" s="628" t="s">
        <v>872</v>
      </c>
      <c r="F1" s="635" t="s">
        <v>873</v>
      </c>
      <c r="G1" s="636" t="s">
        <v>5395</v>
      </c>
      <c r="H1" s="636" t="s">
        <v>5396</v>
      </c>
      <c r="I1" s="637" t="s">
        <v>877</v>
      </c>
      <c r="J1" s="638" t="s">
        <v>5395</v>
      </c>
      <c r="K1" s="638" t="s">
        <v>5396</v>
      </c>
      <c r="L1" s="639" t="s">
        <v>878</v>
      </c>
      <c r="M1" s="640" t="s">
        <v>5395</v>
      </c>
      <c r="N1" s="640" t="s">
        <v>5396</v>
      </c>
    </row>
    <row r="2" spans="1:14" ht="22" customHeight="1">
      <c r="A2" s="617">
        <v>137</v>
      </c>
      <c r="B2" s="619" t="s">
        <v>2461</v>
      </c>
      <c r="C2" s="617" t="s">
        <v>2462</v>
      </c>
      <c r="D2" s="623" t="s">
        <v>2463</v>
      </c>
      <c r="E2" s="615" t="s">
        <v>5120</v>
      </c>
      <c r="F2" s="613" t="s">
        <v>957</v>
      </c>
      <c r="G2" s="625">
        <v>13.752215</v>
      </c>
      <c r="H2" s="614">
        <v>100.564031</v>
      </c>
      <c r="I2" s="615" t="s">
        <v>2464</v>
      </c>
      <c r="J2" s="615">
        <v>13.7514421</v>
      </c>
      <c r="K2" s="615">
        <v>100.56388819999999</v>
      </c>
      <c r="L2" s="615">
        <v>96924147</v>
      </c>
      <c r="M2" s="615">
        <v>13.751716200000001</v>
      </c>
      <c r="N2" s="615">
        <v>100.5639493</v>
      </c>
    </row>
    <row r="3" spans="1:14" ht="22" customHeight="1">
      <c r="A3" s="617">
        <v>257</v>
      </c>
      <c r="B3" s="619" t="s">
        <v>2782</v>
      </c>
      <c r="C3" s="617" t="s">
        <v>2783</v>
      </c>
      <c r="D3" s="623" t="s">
        <v>5400</v>
      </c>
      <c r="E3" s="615" t="s">
        <v>5120</v>
      </c>
      <c r="F3" s="613" t="s">
        <v>957</v>
      </c>
      <c r="G3" s="625">
        <v>13.7513054</v>
      </c>
      <c r="H3" s="614">
        <v>100.5638301</v>
      </c>
      <c r="I3" s="615" t="s">
        <v>2464</v>
      </c>
      <c r="J3" s="615">
        <v>13.7514421</v>
      </c>
      <c r="K3" s="615">
        <v>100.56388819999999</v>
      </c>
      <c r="L3" s="615">
        <v>96924147</v>
      </c>
      <c r="M3" s="615">
        <v>13.751716200000001</v>
      </c>
      <c r="N3" s="615">
        <v>100.5639493</v>
      </c>
    </row>
    <row r="4" spans="1:14" ht="22" customHeight="1">
      <c r="A4" s="617">
        <v>312</v>
      </c>
      <c r="B4" s="618" t="s">
        <v>2900</v>
      </c>
      <c r="C4" s="617" t="s">
        <v>2901</v>
      </c>
      <c r="D4" s="626" t="s">
        <v>2902</v>
      </c>
      <c r="E4" s="615" t="s">
        <v>5120</v>
      </c>
      <c r="F4" s="614" t="s">
        <v>936</v>
      </c>
      <c r="G4" s="625">
        <v>13.753485899999999</v>
      </c>
      <c r="H4" s="614">
        <v>100.56432479999999</v>
      </c>
      <c r="I4" s="616" t="s">
        <v>2903</v>
      </c>
      <c r="J4" s="616">
        <v>13.7530746</v>
      </c>
      <c r="K4" s="616">
        <v>100.56425</v>
      </c>
      <c r="L4" s="615">
        <v>96939689</v>
      </c>
      <c r="M4" s="615">
        <v>13.7531654</v>
      </c>
      <c r="N4" s="615">
        <v>100.5642706</v>
      </c>
    </row>
    <row r="5" spans="1:14" ht="22" customHeight="1">
      <c r="A5" s="617">
        <v>485</v>
      </c>
      <c r="B5" s="618" t="s">
        <v>1447</v>
      </c>
      <c r="C5" s="617" t="s">
        <v>1448</v>
      </c>
      <c r="D5" s="626" t="s">
        <v>5397</v>
      </c>
      <c r="E5" s="615" t="s">
        <v>5120</v>
      </c>
      <c r="F5" s="614" t="s">
        <v>936</v>
      </c>
      <c r="G5" s="625">
        <v>13.752982899999999</v>
      </c>
      <c r="H5" s="614">
        <v>100.5642296</v>
      </c>
      <c r="I5" s="616" t="s">
        <v>2903</v>
      </c>
      <c r="J5" s="616">
        <v>13.7530746</v>
      </c>
      <c r="K5" s="616">
        <v>100.56425</v>
      </c>
      <c r="L5" s="620">
        <v>96939689</v>
      </c>
      <c r="M5" s="615">
        <v>13.7531654</v>
      </c>
      <c r="N5" s="615">
        <v>100.5642706</v>
      </c>
    </row>
    <row r="6" spans="1:14" ht="22" customHeight="1">
      <c r="A6" s="617">
        <v>562</v>
      </c>
      <c r="B6" s="618" t="s">
        <v>1523</v>
      </c>
      <c r="C6" s="617" t="s">
        <v>1524</v>
      </c>
      <c r="D6" s="623" t="s">
        <v>1525</v>
      </c>
      <c r="E6" s="613" t="s">
        <v>968</v>
      </c>
      <c r="F6" s="613" t="s">
        <v>983</v>
      </c>
      <c r="G6" s="625">
        <v>13.7636126</v>
      </c>
      <c r="H6" s="614">
        <v>100.5456418</v>
      </c>
      <c r="I6" s="615" t="s">
        <v>891</v>
      </c>
      <c r="J6" s="624" t="s">
        <v>972</v>
      </c>
      <c r="K6" s="624" t="s">
        <v>972</v>
      </c>
      <c r="L6" s="615">
        <v>96895435</v>
      </c>
      <c r="M6" s="615">
        <v>13.7636758</v>
      </c>
      <c r="N6" s="615">
        <v>100.5458416</v>
      </c>
    </row>
    <row r="7" spans="1:14" ht="22" customHeight="1">
      <c r="A7" s="617">
        <v>1003</v>
      </c>
      <c r="B7" s="618" t="s">
        <v>1936</v>
      </c>
      <c r="C7" s="617" t="s">
        <v>1937</v>
      </c>
      <c r="D7" s="626" t="s">
        <v>1938</v>
      </c>
      <c r="E7" s="614" t="s">
        <v>968</v>
      </c>
      <c r="F7" s="614" t="s">
        <v>983</v>
      </c>
      <c r="G7" s="625">
        <v>13.7640239</v>
      </c>
      <c r="H7" s="614">
        <v>100.54704270000001</v>
      </c>
      <c r="I7" s="615" t="s">
        <v>891</v>
      </c>
      <c r="J7" s="624" t="s">
        <v>972</v>
      </c>
      <c r="K7" s="624" t="s">
        <v>972</v>
      </c>
      <c r="L7" s="615">
        <v>96895440</v>
      </c>
      <c r="M7" s="615">
        <v>13.7640508</v>
      </c>
      <c r="N7" s="615">
        <v>100.5471781</v>
      </c>
    </row>
    <row r="8" spans="1:14" ht="22" customHeight="1">
      <c r="A8" s="617">
        <v>1026</v>
      </c>
      <c r="B8" s="618" t="s">
        <v>4674</v>
      </c>
      <c r="C8" s="617" t="s">
        <v>4675</v>
      </c>
      <c r="D8" s="626" t="s">
        <v>5398</v>
      </c>
      <c r="E8" s="615" t="s">
        <v>5120</v>
      </c>
      <c r="F8" s="613" t="s">
        <v>957</v>
      </c>
      <c r="G8" s="625">
        <v>13.751897899999999</v>
      </c>
      <c r="H8" s="614">
        <v>100.5639898</v>
      </c>
      <c r="I8" s="615" t="s">
        <v>5399</v>
      </c>
      <c r="J8" s="614">
        <v>13.752215</v>
      </c>
      <c r="K8" s="614">
        <v>100.564031</v>
      </c>
      <c r="L8" s="615">
        <v>96924147</v>
      </c>
      <c r="M8" s="615">
        <v>13.751716200000001</v>
      </c>
      <c r="N8" s="615">
        <v>100.5639493</v>
      </c>
    </row>
    <row r="9" spans="1:14" ht="22" customHeight="1">
      <c r="A9" s="617">
        <v>1107</v>
      </c>
      <c r="B9" s="619" t="s">
        <v>4867</v>
      </c>
      <c r="C9" s="617" t="s">
        <v>4868</v>
      </c>
      <c r="D9" s="621" t="s">
        <v>5401</v>
      </c>
      <c r="E9" s="615" t="s">
        <v>5120</v>
      </c>
      <c r="F9" s="614" t="s">
        <v>1451</v>
      </c>
      <c r="G9" s="627">
        <v>13.724530100000001</v>
      </c>
      <c r="H9" s="622">
        <v>100.5397545</v>
      </c>
      <c r="I9" s="616" t="s">
        <v>5402</v>
      </c>
      <c r="J9" s="616">
        <v>13.750987500000001</v>
      </c>
      <c r="K9" s="616">
        <v>100.563788</v>
      </c>
      <c r="L9" s="615">
        <v>96937929</v>
      </c>
      <c r="M9" s="615">
        <v>13.751716200000001</v>
      </c>
      <c r="N9" s="615">
        <v>100.5639493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3363-1A69-4E7B-95E7-8014FA00F6A6}">
  <sheetPr filterMode="1"/>
  <dimension ref="A1:AK1196"/>
  <sheetViews>
    <sheetView topLeftCell="A2" workbookViewId="0">
      <selection activeCell="A2" sqref="A2:M1196"/>
    </sheetView>
  </sheetViews>
  <sheetFormatPr defaultRowHeight="14"/>
  <cols>
    <col min="3" max="3" width="17.33203125" customWidth="1"/>
    <col min="4" max="4" width="13.83203125" customWidth="1"/>
    <col min="5" max="5" width="66.75" customWidth="1"/>
    <col min="6" max="6" width="23.58203125" customWidth="1"/>
    <col min="7" max="9" width="14.25" customWidth="1"/>
    <col min="10" max="12" width="21.33203125" customWidth="1"/>
    <col min="13" max="13" width="15.75" customWidth="1"/>
    <col min="14" max="16" width="14.25" customWidth="1"/>
    <col min="17" max="19" width="14.25" hidden="1" customWidth="1"/>
    <col min="20" max="20" width="15.75" style="246" customWidth="1"/>
    <col min="21" max="21" width="23.75" style="246" customWidth="1"/>
    <col min="22" max="22" width="14.83203125" style="556" customWidth="1"/>
    <col min="23" max="23" width="11.25" style="556" customWidth="1"/>
    <col min="24" max="24" width="23.75" style="246" customWidth="1"/>
    <col min="25" max="25" width="17.33203125" style="246" customWidth="1"/>
    <col min="26" max="26" width="14" style="556" customWidth="1"/>
    <col min="27" max="27" width="23.75" style="246" customWidth="1"/>
    <col min="28" max="28" width="27" style="246" customWidth="1"/>
    <col min="29" max="31" width="23.75" style="246" customWidth="1"/>
    <col min="32" max="32" width="13.08203125" style="246" customWidth="1"/>
    <col min="33" max="33" width="14.83203125" style="246" customWidth="1"/>
    <col min="34" max="34" width="14.75" style="246" customWidth="1"/>
    <col min="35" max="35" width="14" style="246" customWidth="1"/>
    <col min="36" max="36" width="56.25" style="246" customWidth="1"/>
    <col min="37" max="37" width="18.08203125" style="246" customWidth="1"/>
  </cols>
  <sheetData>
    <row r="1" spans="1:37" ht="14.5" hidden="1">
      <c r="A1" s="91" t="s">
        <v>866</v>
      </c>
      <c r="B1" s="92"/>
      <c r="C1" s="92"/>
      <c r="D1" s="93"/>
      <c r="E1" s="94"/>
      <c r="F1" s="95"/>
      <c r="G1" s="96"/>
      <c r="H1" s="97"/>
      <c r="I1" s="97"/>
      <c r="J1" s="97"/>
      <c r="K1" s="97"/>
      <c r="L1" s="97"/>
      <c r="M1" s="97"/>
      <c r="N1" s="97"/>
      <c r="O1" s="97"/>
      <c r="P1" s="97"/>
      <c r="Q1" s="98"/>
      <c r="R1" s="99"/>
      <c r="S1" s="98"/>
    </row>
    <row r="2" spans="1:37" ht="28">
      <c r="A2" s="100" t="s">
        <v>867</v>
      </c>
      <c r="B2" s="101" t="s">
        <v>868</v>
      </c>
      <c r="C2" s="101" t="s">
        <v>869</v>
      </c>
      <c r="D2" s="101" t="s">
        <v>870</v>
      </c>
      <c r="E2" s="101" t="s">
        <v>871</v>
      </c>
      <c r="F2" s="101" t="s">
        <v>872</v>
      </c>
      <c r="G2" s="102" t="s">
        <v>873</v>
      </c>
      <c r="H2" s="103" t="s">
        <v>874</v>
      </c>
      <c r="I2" s="103" t="s">
        <v>875</v>
      </c>
      <c r="J2" s="104" t="s">
        <v>876</v>
      </c>
      <c r="K2" s="104" t="s">
        <v>1</v>
      </c>
      <c r="L2" s="104" t="s">
        <v>877</v>
      </c>
      <c r="M2" s="105" t="s">
        <v>878</v>
      </c>
      <c r="N2" s="105" t="s">
        <v>879</v>
      </c>
      <c r="O2" s="106" t="s">
        <v>880</v>
      </c>
      <c r="P2" s="107" t="s">
        <v>881</v>
      </c>
      <c r="Q2" s="108" t="s">
        <v>882</v>
      </c>
      <c r="R2" s="109" t="s">
        <v>883</v>
      </c>
      <c r="S2" s="110" t="s">
        <v>884</v>
      </c>
      <c r="T2" s="269" t="s">
        <v>5177</v>
      </c>
      <c r="U2" s="269" t="s">
        <v>5179</v>
      </c>
      <c r="V2" s="285" t="s">
        <v>5206</v>
      </c>
      <c r="W2" s="285" t="s">
        <v>5207</v>
      </c>
      <c r="X2" s="269" t="s">
        <v>5142</v>
      </c>
      <c r="Y2" s="269" t="s">
        <v>5144</v>
      </c>
      <c r="Z2" s="285" t="s">
        <v>5207</v>
      </c>
      <c r="AA2" s="269" t="s">
        <v>5372</v>
      </c>
      <c r="AB2" s="269" t="s">
        <v>5373</v>
      </c>
      <c r="AC2" s="269" t="s">
        <v>5374</v>
      </c>
      <c r="AD2" s="269" t="s">
        <v>5375</v>
      </c>
      <c r="AE2" s="269" t="s">
        <v>5376</v>
      </c>
      <c r="AF2" s="269" t="s">
        <v>5377</v>
      </c>
      <c r="AG2" s="269" t="s">
        <v>5378</v>
      </c>
      <c r="AH2" s="269" t="s">
        <v>5211</v>
      </c>
      <c r="AI2" s="269" t="s">
        <v>5370</v>
      </c>
      <c r="AJ2" s="269" t="s">
        <v>5145</v>
      </c>
      <c r="AK2" s="249" t="s">
        <v>5146</v>
      </c>
    </row>
    <row r="3" spans="1:37" ht="14.5" hidden="1">
      <c r="A3" s="111">
        <v>411</v>
      </c>
      <c r="B3" s="112" t="s">
        <v>1022</v>
      </c>
      <c r="C3" s="122" t="s">
        <v>2785</v>
      </c>
      <c r="D3" s="160" t="s">
        <v>2786</v>
      </c>
      <c r="E3" s="156" t="s">
        <v>2787</v>
      </c>
      <c r="F3" s="117" t="s">
        <v>2788</v>
      </c>
      <c r="G3" s="148" t="s">
        <v>2789</v>
      </c>
      <c r="H3" s="117" t="s">
        <v>2790</v>
      </c>
      <c r="I3" s="117">
        <v>100.507942</v>
      </c>
      <c r="J3" s="117" t="s">
        <v>890</v>
      </c>
      <c r="K3" s="117" t="s">
        <v>891</v>
      </c>
      <c r="L3" s="117" t="s">
        <v>891</v>
      </c>
      <c r="M3" s="117">
        <v>97030594</v>
      </c>
      <c r="N3" s="117" t="s">
        <v>892</v>
      </c>
      <c r="O3" s="117" t="s">
        <v>1581</v>
      </c>
      <c r="P3" s="117" t="s">
        <v>894</v>
      </c>
      <c r="Q3" s="119"/>
      <c r="R3" s="119" t="s">
        <v>895</v>
      </c>
      <c r="S3" s="119" t="s">
        <v>895</v>
      </c>
      <c r="T3" s="305" t="s">
        <v>5212</v>
      </c>
      <c r="U3" s="305" t="s">
        <v>5251</v>
      </c>
      <c r="V3" s="331">
        <v>45039</v>
      </c>
      <c r="W3" s="326">
        <v>4</v>
      </c>
      <c r="X3" s="331">
        <f>V3+(W3)</f>
        <v>45043</v>
      </c>
      <c r="Y3" s="331"/>
      <c r="Z3" s="332" t="e">
        <f t="shared" ref="Z3:Z66" si="0">DATEDIF(X3,Y3,"d")</f>
        <v>#NUM!</v>
      </c>
      <c r="AA3" s="331"/>
      <c r="AB3" s="331"/>
      <c r="AC3" s="331"/>
      <c r="AD3" s="331"/>
      <c r="AE3" s="331"/>
      <c r="AF3" s="331"/>
      <c r="AG3" s="331"/>
      <c r="AH3" s="331">
        <f t="shared" ref="AH3:AH66" ca="1" si="1">TODAY()</f>
        <v>46153</v>
      </c>
      <c r="AI3" s="332"/>
      <c r="AJ3" s="312" t="s">
        <v>5143</v>
      </c>
      <c r="AK3" s="305"/>
    </row>
    <row r="4" spans="1:37" ht="23" hidden="1">
      <c r="A4" s="111">
        <v>536</v>
      </c>
      <c r="B4" s="112" t="s">
        <v>1569</v>
      </c>
      <c r="C4" s="122" t="s">
        <v>2884</v>
      </c>
      <c r="D4" s="147" t="s">
        <v>2885</v>
      </c>
      <c r="E4" s="156" t="s">
        <v>2886</v>
      </c>
      <c r="F4" s="117" t="s">
        <v>2788</v>
      </c>
      <c r="G4" s="148" t="s">
        <v>2789</v>
      </c>
      <c r="H4" s="117" t="s">
        <v>2887</v>
      </c>
      <c r="I4" s="117">
        <v>100.507606</v>
      </c>
      <c r="J4" s="117" t="s">
        <v>890</v>
      </c>
      <c r="K4" s="117" t="s">
        <v>891</v>
      </c>
      <c r="L4" s="117" t="s">
        <v>891</v>
      </c>
      <c r="M4" s="117">
        <v>97030596</v>
      </c>
      <c r="N4" s="117" t="s">
        <v>892</v>
      </c>
      <c r="O4" s="117" t="s">
        <v>1581</v>
      </c>
      <c r="P4" s="117" t="s">
        <v>894</v>
      </c>
      <c r="Q4" s="119"/>
      <c r="R4" s="119" t="s">
        <v>895</v>
      </c>
      <c r="S4" s="119" t="s">
        <v>895</v>
      </c>
      <c r="T4" s="222"/>
      <c r="U4" s="222"/>
      <c r="V4" s="222"/>
      <c r="W4" s="230"/>
      <c r="X4" s="331">
        <f t="shared" ref="X4:X67" si="2">V4+(W4)</f>
        <v>0</v>
      </c>
      <c r="Y4" s="222"/>
      <c r="Z4" s="272">
        <f t="shared" si="0"/>
        <v>0</v>
      </c>
      <c r="AA4" s="331"/>
      <c r="AB4" s="331"/>
      <c r="AC4" s="331"/>
      <c r="AD4" s="331"/>
      <c r="AE4" s="331"/>
      <c r="AF4" s="331"/>
      <c r="AG4" s="331"/>
      <c r="AH4" s="241">
        <f t="shared" ca="1" si="1"/>
        <v>46153</v>
      </c>
      <c r="AI4" s="272"/>
      <c r="AJ4" s="222"/>
      <c r="AK4" s="222"/>
    </row>
    <row r="5" spans="1:37" ht="23" hidden="1">
      <c r="A5" s="111">
        <v>579</v>
      </c>
      <c r="B5" s="112" t="s">
        <v>1818</v>
      </c>
      <c r="C5" s="122" t="s">
        <v>2915</v>
      </c>
      <c r="D5" s="147" t="s">
        <v>2916</v>
      </c>
      <c r="E5" s="156" t="s">
        <v>2917</v>
      </c>
      <c r="F5" s="117" t="s">
        <v>2788</v>
      </c>
      <c r="G5" s="148" t="s">
        <v>2789</v>
      </c>
      <c r="H5" s="117" t="s">
        <v>2918</v>
      </c>
      <c r="I5" s="117">
        <v>100.50618</v>
      </c>
      <c r="J5" s="117" t="s">
        <v>890</v>
      </c>
      <c r="K5" s="117" t="s">
        <v>891</v>
      </c>
      <c r="L5" s="117" t="s">
        <v>891</v>
      </c>
      <c r="M5" s="117">
        <v>97030597</v>
      </c>
      <c r="N5" s="121" t="s">
        <v>892</v>
      </c>
      <c r="O5" s="117" t="s">
        <v>1581</v>
      </c>
      <c r="P5" s="117" t="s">
        <v>894</v>
      </c>
      <c r="Q5" s="119"/>
      <c r="R5" s="119" t="s">
        <v>895</v>
      </c>
      <c r="S5" s="119" t="s">
        <v>895</v>
      </c>
      <c r="T5" s="222"/>
      <c r="U5" s="222"/>
      <c r="V5" s="222"/>
      <c r="W5" s="230"/>
      <c r="X5" s="331">
        <f t="shared" si="2"/>
        <v>0</v>
      </c>
      <c r="Y5" s="222"/>
      <c r="Z5" s="272">
        <f t="shared" si="0"/>
        <v>0</v>
      </c>
      <c r="AA5" s="331"/>
      <c r="AB5" s="331"/>
      <c r="AC5" s="331"/>
      <c r="AD5" s="331"/>
      <c r="AE5" s="331"/>
      <c r="AF5" s="331"/>
      <c r="AG5" s="331"/>
      <c r="AH5" s="241">
        <f t="shared" ca="1" si="1"/>
        <v>46153</v>
      </c>
      <c r="AI5" s="272"/>
      <c r="AJ5" s="222"/>
      <c r="AK5" s="222"/>
    </row>
    <row r="6" spans="1:37" ht="23" hidden="1">
      <c r="A6" s="111">
        <v>609</v>
      </c>
      <c r="B6" s="112" t="s">
        <v>1459</v>
      </c>
      <c r="C6" s="113" t="s">
        <v>2928</v>
      </c>
      <c r="D6" s="147" t="s">
        <v>2929</v>
      </c>
      <c r="E6" s="114" t="s">
        <v>2930</v>
      </c>
      <c r="F6" s="115" t="s">
        <v>2788</v>
      </c>
      <c r="G6" s="115" t="s">
        <v>1580</v>
      </c>
      <c r="H6" s="116">
        <v>13.747095</v>
      </c>
      <c r="I6" s="116">
        <v>100.516419</v>
      </c>
      <c r="J6" s="116" t="s">
        <v>890</v>
      </c>
      <c r="K6" s="117" t="s">
        <v>891</v>
      </c>
      <c r="L6" s="117" t="s">
        <v>891</v>
      </c>
      <c r="M6" s="120">
        <v>96941281</v>
      </c>
      <c r="N6" s="120" t="s">
        <v>892</v>
      </c>
      <c r="O6" s="121" t="s">
        <v>1581</v>
      </c>
      <c r="P6" s="117" t="s">
        <v>894</v>
      </c>
      <c r="Q6" s="118">
        <v>80057501</v>
      </c>
      <c r="R6" s="119" t="s">
        <v>895</v>
      </c>
      <c r="S6" s="119" t="s">
        <v>895</v>
      </c>
      <c r="T6" s="274" t="s">
        <v>5212</v>
      </c>
      <c r="U6" s="312" t="s">
        <v>5191</v>
      </c>
      <c r="V6" s="329">
        <v>44979</v>
      </c>
      <c r="W6" s="326">
        <v>4</v>
      </c>
      <c r="X6" s="331">
        <f t="shared" si="2"/>
        <v>44983</v>
      </c>
      <c r="Y6" s="329">
        <v>45007</v>
      </c>
      <c r="Z6" s="332">
        <f t="shared" si="0"/>
        <v>24</v>
      </c>
      <c r="AA6" s="331"/>
      <c r="AB6" s="331"/>
      <c r="AC6" s="331"/>
      <c r="AD6" s="331"/>
      <c r="AE6" s="331"/>
      <c r="AF6" s="331"/>
      <c r="AG6" s="331"/>
      <c r="AH6" s="329">
        <f t="shared" ca="1" si="1"/>
        <v>46153</v>
      </c>
      <c r="AI6" s="330"/>
      <c r="AJ6" s="312" t="s">
        <v>5143</v>
      </c>
      <c r="AK6" s="312" t="s">
        <v>5149</v>
      </c>
    </row>
    <row r="7" spans="1:37" ht="23" hidden="1">
      <c r="A7" s="111">
        <v>610</v>
      </c>
      <c r="B7" s="112" t="s">
        <v>1553</v>
      </c>
      <c r="C7" s="113" t="s">
        <v>2964</v>
      </c>
      <c r="D7" s="147" t="s">
        <v>2965</v>
      </c>
      <c r="E7" s="114" t="s">
        <v>2966</v>
      </c>
      <c r="F7" s="115" t="s">
        <v>2788</v>
      </c>
      <c r="G7" s="115" t="s">
        <v>1580</v>
      </c>
      <c r="H7" s="116">
        <v>13.743209</v>
      </c>
      <c r="I7" s="116">
        <v>100.515733</v>
      </c>
      <c r="J7" s="116" t="s">
        <v>890</v>
      </c>
      <c r="K7" s="117" t="s">
        <v>891</v>
      </c>
      <c r="L7" s="117" t="s">
        <v>891</v>
      </c>
      <c r="M7" s="120">
        <v>96941287</v>
      </c>
      <c r="N7" s="120" t="s">
        <v>892</v>
      </c>
      <c r="O7" s="121" t="s">
        <v>1581</v>
      </c>
      <c r="P7" s="117" t="s">
        <v>894</v>
      </c>
      <c r="Q7" s="125" t="s">
        <v>972</v>
      </c>
      <c r="R7" s="119" t="s">
        <v>895</v>
      </c>
      <c r="S7" s="119" t="s">
        <v>895</v>
      </c>
      <c r="T7" s="222"/>
      <c r="U7" s="222"/>
      <c r="V7" s="222"/>
      <c r="W7" s="230"/>
      <c r="X7" s="331">
        <f t="shared" si="2"/>
        <v>0</v>
      </c>
      <c r="Y7" s="222"/>
      <c r="Z7" s="272">
        <f t="shared" si="0"/>
        <v>0</v>
      </c>
      <c r="AA7" s="331"/>
      <c r="AB7" s="331"/>
      <c r="AC7" s="331"/>
      <c r="AD7" s="331"/>
      <c r="AE7" s="331"/>
      <c r="AF7" s="331"/>
      <c r="AG7" s="331"/>
      <c r="AH7" s="241">
        <f t="shared" ca="1" si="1"/>
        <v>46153</v>
      </c>
      <c r="AI7" s="272"/>
      <c r="AJ7" s="222"/>
      <c r="AK7" s="222"/>
    </row>
    <row r="8" spans="1:37" ht="23" hidden="1">
      <c r="A8" s="111">
        <v>614</v>
      </c>
      <c r="B8" s="112" t="s">
        <v>979</v>
      </c>
      <c r="C8" s="113" t="s">
        <v>2970</v>
      </c>
      <c r="D8" s="147" t="s">
        <v>2971</v>
      </c>
      <c r="E8" s="114" t="s">
        <v>2972</v>
      </c>
      <c r="F8" s="115" t="s">
        <v>2788</v>
      </c>
      <c r="G8" s="115" t="s">
        <v>1580</v>
      </c>
      <c r="H8" s="116">
        <v>13.755262</v>
      </c>
      <c r="I8" s="116">
        <v>100.516796</v>
      </c>
      <c r="J8" s="116" t="s">
        <v>890</v>
      </c>
      <c r="K8" s="117" t="s">
        <v>891</v>
      </c>
      <c r="L8" s="117" t="s">
        <v>891</v>
      </c>
      <c r="M8" s="120">
        <v>96941291</v>
      </c>
      <c r="N8" s="120" t="s">
        <v>892</v>
      </c>
      <c r="O8" s="121" t="s">
        <v>1581</v>
      </c>
      <c r="P8" s="117" t="s">
        <v>894</v>
      </c>
      <c r="Q8" s="125" t="s">
        <v>972</v>
      </c>
      <c r="R8" s="119" t="s">
        <v>895</v>
      </c>
      <c r="S8" s="119" t="s">
        <v>895</v>
      </c>
      <c r="T8" s="222"/>
      <c r="U8" s="222"/>
      <c r="V8" s="222"/>
      <c r="W8" s="230"/>
      <c r="X8" s="331">
        <f t="shared" si="2"/>
        <v>0</v>
      </c>
      <c r="Y8" s="222"/>
      <c r="Z8" s="272">
        <f t="shared" si="0"/>
        <v>0</v>
      </c>
      <c r="AA8" s="331"/>
      <c r="AB8" s="331"/>
      <c r="AC8" s="331"/>
      <c r="AD8" s="331"/>
      <c r="AE8" s="331"/>
      <c r="AF8" s="331"/>
      <c r="AG8" s="331"/>
      <c r="AH8" s="241">
        <f t="shared" ca="1" si="1"/>
        <v>46153</v>
      </c>
      <c r="AI8" s="272"/>
      <c r="AJ8" s="222"/>
      <c r="AK8" s="222"/>
    </row>
    <row r="9" spans="1:37" ht="23" hidden="1">
      <c r="A9" s="111">
        <v>616</v>
      </c>
      <c r="B9" s="112" t="s">
        <v>1082</v>
      </c>
      <c r="C9" s="113" t="s">
        <v>2992</v>
      </c>
      <c r="D9" s="147" t="s">
        <v>2993</v>
      </c>
      <c r="E9" s="114" t="s">
        <v>2994</v>
      </c>
      <c r="F9" s="115" t="s">
        <v>2788</v>
      </c>
      <c r="G9" s="115" t="s">
        <v>1580</v>
      </c>
      <c r="H9" s="116">
        <v>13.758305699999999</v>
      </c>
      <c r="I9" s="116">
        <v>100.5145722</v>
      </c>
      <c r="J9" s="116" t="s">
        <v>890</v>
      </c>
      <c r="K9" s="117" t="s">
        <v>891</v>
      </c>
      <c r="L9" s="117" t="s">
        <v>891</v>
      </c>
      <c r="M9" s="120">
        <v>96941297</v>
      </c>
      <c r="N9" s="120" t="s">
        <v>892</v>
      </c>
      <c r="O9" s="121" t="s">
        <v>1581</v>
      </c>
      <c r="P9" s="117" t="s">
        <v>894</v>
      </c>
      <c r="Q9" s="125" t="s">
        <v>972</v>
      </c>
      <c r="R9" s="119" t="s">
        <v>895</v>
      </c>
      <c r="S9" s="119" t="s">
        <v>895</v>
      </c>
      <c r="T9" s="316" t="s">
        <v>5178</v>
      </c>
      <c r="U9" s="312" t="s">
        <v>5231</v>
      </c>
      <c r="V9" s="287" t="s">
        <v>5281</v>
      </c>
      <c r="W9" s="552">
        <v>4</v>
      </c>
      <c r="X9" s="331" t="e">
        <f t="shared" si="2"/>
        <v>#VALUE!</v>
      </c>
      <c r="Y9" s="320"/>
      <c r="Z9" s="318" t="e">
        <f t="shared" si="0"/>
        <v>#VALUE!</v>
      </c>
      <c r="AA9" s="331"/>
      <c r="AB9" s="331"/>
      <c r="AC9" s="331"/>
      <c r="AD9" s="331"/>
      <c r="AE9" s="331"/>
      <c r="AF9" s="331"/>
      <c r="AG9" s="331"/>
      <c r="AH9" s="321">
        <f t="shared" ca="1" si="1"/>
        <v>46153</v>
      </c>
      <c r="AI9" s="322"/>
      <c r="AJ9" s="316" t="s">
        <v>5224</v>
      </c>
      <c r="AK9" s="320" t="s">
        <v>5149</v>
      </c>
    </row>
    <row r="10" spans="1:37" ht="23" hidden="1">
      <c r="A10" s="111">
        <v>618</v>
      </c>
      <c r="B10" s="112">
        <v>6</v>
      </c>
      <c r="C10" s="113" t="s">
        <v>2995</v>
      </c>
      <c r="D10" s="147" t="s">
        <v>2996</v>
      </c>
      <c r="E10" s="161" t="s">
        <v>2997</v>
      </c>
      <c r="F10" s="115" t="s">
        <v>2788</v>
      </c>
      <c r="G10" s="115" t="s">
        <v>1580</v>
      </c>
      <c r="H10" s="116">
        <v>13.759954</v>
      </c>
      <c r="I10" s="116">
        <v>100.51290299999999</v>
      </c>
      <c r="J10" s="116" t="s">
        <v>890</v>
      </c>
      <c r="K10" s="117" t="s">
        <v>891</v>
      </c>
      <c r="L10" s="117" t="s">
        <v>891</v>
      </c>
      <c r="M10" s="120">
        <v>96941309</v>
      </c>
      <c r="N10" s="120" t="s">
        <v>892</v>
      </c>
      <c r="O10" s="121" t="s">
        <v>1581</v>
      </c>
      <c r="P10" s="117" t="s">
        <v>894</v>
      </c>
      <c r="Q10" s="125" t="s">
        <v>972</v>
      </c>
      <c r="R10" s="119" t="s">
        <v>895</v>
      </c>
      <c r="S10" s="119" t="s">
        <v>895</v>
      </c>
      <c r="T10" s="222"/>
      <c r="U10" s="222"/>
      <c r="V10" s="222"/>
      <c r="W10" s="230"/>
      <c r="X10" s="331">
        <f t="shared" si="2"/>
        <v>0</v>
      </c>
      <c r="Y10" s="222"/>
      <c r="Z10" s="272">
        <f t="shared" si="0"/>
        <v>0</v>
      </c>
      <c r="AA10" s="331"/>
      <c r="AB10" s="331"/>
      <c r="AC10" s="331"/>
      <c r="AD10" s="331"/>
      <c r="AE10" s="331"/>
      <c r="AF10" s="331"/>
      <c r="AG10" s="331"/>
      <c r="AH10" s="241">
        <f t="shared" ca="1" si="1"/>
        <v>46153</v>
      </c>
      <c r="AI10" s="272"/>
      <c r="AJ10" s="222"/>
      <c r="AK10" s="222"/>
    </row>
    <row r="11" spans="1:37" ht="23" hidden="1">
      <c r="A11" s="111">
        <v>389</v>
      </c>
      <c r="B11" s="112" t="s">
        <v>985</v>
      </c>
      <c r="C11" s="122" t="s">
        <v>3091</v>
      </c>
      <c r="D11" s="160" t="s">
        <v>3092</v>
      </c>
      <c r="E11" s="158" t="s">
        <v>3093</v>
      </c>
      <c r="F11" s="117" t="s">
        <v>2788</v>
      </c>
      <c r="G11" s="148" t="s">
        <v>1580</v>
      </c>
      <c r="H11" s="117" t="s">
        <v>3094</v>
      </c>
      <c r="I11" s="117">
        <v>100.51330799999999</v>
      </c>
      <c r="J11" s="116" t="s">
        <v>969</v>
      </c>
      <c r="K11" s="117" t="s">
        <v>970</v>
      </c>
      <c r="L11" s="117" t="s">
        <v>3095</v>
      </c>
      <c r="M11" s="117" t="s">
        <v>1347</v>
      </c>
      <c r="N11" s="117" t="s">
        <v>892</v>
      </c>
      <c r="O11" s="117" t="s">
        <v>1581</v>
      </c>
      <c r="P11" s="117"/>
      <c r="Q11" s="119"/>
      <c r="R11" s="119"/>
      <c r="S11" s="119"/>
      <c r="T11" s="312" t="s">
        <v>5212</v>
      </c>
      <c r="U11" s="312" t="s">
        <v>5192</v>
      </c>
      <c r="V11" s="329">
        <v>44916</v>
      </c>
      <c r="W11" s="326">
        <v>14</v>
      </c>
      <c r="X11" s="331">
        <f t="shared" si="2"/>
        <v>44930</v>
      </c>
      <c r="Y11" s="329">
        <v>45021</v>
      </c>
      <c r="Z11" s="332">
        <f t="shared" si="0"/>
        <v>91</v>
      </c>
      <c r="AA11" s="331"/>
      <c r="AB11" s="331"/>
      <c r="AC11" s="331"/>
      <c r="AD11" s="331"/>
      <c r="AE11" s="331"/>
      <c r="AF11" s="331"/>
      <c r="AG11" s="331"/>
      <c r="AH11" s="329">
        <f t="shared" ca="1" si="1"/>
        <v>46153</v>
      </c>
      <c r="AI11" s="330"/>
      <c r="AJ11" s="312" t="s">
        <v>5143</v>
      </c>
      <c r="AK11" s="312" t="s">
        <v>5149</v>
      </c>
    </row>
    <row r="12" spans="1:37" ht="23" hidden="1">
      <c r="A12" s="111">
        <v>507</v>
      </c>
      <c r="B12" s="128">
        <v>16</v>
      </c>
      <c r="C12" s="122" t="s">
        <v>3384</v>
      </c>
      <c r="D12" s="147" t="s">
        <v>3385</v>
      </c>
      <c r="E12" s="156" t="s">
        <v>3386</v>
      </c>
      <c r="F12" s="117" t="s">
        <v>2788</v>
      </c>
      <c r="G12" s="148" t="s">
        <v>2789</v>
      </c>
      <c r="H12" s="117" t="s">
        <v>3387</v>
      </c>
      <c r="I12" s="117">
        <v>100.50754999999999</v>
      </c>
      <c r="J12" s="116" t="s">
        <v>969</v>
      </c>
      <c r="K12" s="117" t="s">
        <v>2168</v>
      </c>
      <c r="L12" s="117" t="s">
        <v>3388</v>
      </c>
      <c r="M12" s="300" t="s">
        <v>1347</v>
      </c>
      <c r="N12" s="300" t="s">
        <v>1347</v>
      </c>
      <c r="O12" s="300" t="s">
        <v>1581</v>
      </c>
      <c r="P12" s="300"/>
      <c r="Q12" s="358"/>
      <c r="R12" s="358"/>
      <c r="S12" s="358"/>
      <c r="T12" s="316" t="s">
        <v>5212</v>
      </c>
      <c r="U12" s="316" t="s">
        <v>5250</v>
      </c>
      <c r="V12" s="317">
        <v>45039</v>
      </c>
      <c r="W12" s="552">
        <v>4</v>
      </c>
      <c r="X12" s="331">
        <f t="shared" si="2"/>
        <v>45043</v>
      </c>
      <c r="Y12" s="317">
        <v>45073</v>
      </c>
      <c r="Z12" s="318">
        <f t="shared" si="0"/>
        <v>30</v>
      </c>
      <c r="AA12" s="331"/>
      <c r="AB12" s="331"/>
      <c r="AC12" s="331"/>
      <c r="AD12" s="331"/>
      <c r="AE12" s="331"/>
      <c r="AF12" s="331"/>
      <c r="AG12" s="331"/>
      <c r="AH12" s="317">
        <f t="shared" ca="1" si="1"/>
        <v>46153</v>
      </c>
      <c r="AI12" s="318"/>
      <c r="AJ12" s="320" t="s">
        <v>5143</v>
      </c>
      <c r="AK12" s="316"/>
    </row>
    <row r="13" spans="1:37" ht="23.25" hidden="1" customHeight="1">
      <c r="A13" s="111">
        <v>608</v>
      </c>
      <c r="B13" s="112">
        <v>4</v>
      </c>
      <c r="C13" s="122" t="s">
        <v>3641</v>
      </c>
      <c r="D13" s="147" t="s">
        <v>3642</v>
      </c>
      <c r="E13" s="123" t="s">
        <v>3643</v>
      </c>
      <c r="F13" s="116" t="s">
        <v>2788</v>
      </c>
      <c r="G13" s="116" t="s">
        <v>1580</v>
      </c>
      <c r="H13" s="116">
        <v>13.747906</v>
      </c>
      <c r="I13" s="116">
        <v>100.51655890000001</v>
      </c>
      <c r="J13" s="116" t="s">
        <v>969</v>
      </c>
      <c r="K13" s="116" t="s">
        <v>970</v>
      </c>
      <c r="L13" s="117" t="s">
        <v>5195</v>
      </c>
      <c r="M13" s="120">
        <v>96941281</v>
      </c>
      <c r="N13" s="121" t="s">
        <v>892</v>
      </c>
      <c r="O13" s="121" t="s">
        <v>1581</v>
      </c>
      <c r="P13" s="118" t="s">
        <v>894</v>
      </c>
      <c r="Q13" s="125" t="s">
        <v>972</v>
      </c>
      <c r="R13" s="125" t="s">
        <v>972</v>
      </c>
      <c r="S13" s="125" t="s">
        <v>972</v>
      </c>
      <c r="T13" s="305" t="s">
        <v>5212</v>
      </c>
      <c r="U13" s="305" t="s">
        <v>5117</v>
      </c>
      <c r="V13" s="306">
        <v>45104</v>
      </c>
      <c r="W13" s="326">
        <v>4</v>
      </c>
      <c r="X13" s="331">
        <f t="shared" si="2"/>
        <v>45108</v>
      </c>
      <c r="Y13" s="329">
        <v>45118</v>
      </c>
      <c r="Z13" s="332">
        <f t="shared" si="0"/>
        <v>10</v>
      </c>
      <c r="AA13" s="331"/>
      <c r="AB13" s="331"/>
      <c r="AC13" s="331"/>
      <c r="AD13" s="331"/>
      <c r="AE13" s="331"/>
      <c r="AF13" s="331"/>
      <c r="AG13" s="331"/>
      <c r="AH13" s="329">
        <f t="shared" ca="1" si="1"/>
        <v>46153</v>
      </c>
      <c r="AI13" s="330"/>
      <c r="AJ13" s="312" t="s">
        <v>5143</v>
      </c>
      <c r="AK13" s="312" t="s">
        <v>5149</v>
      </c>
    </row>
    <row r="14" spans="1:37" ht="23.25" hidden="1" customHeight="1">
      <c r="A14" s="111">
        <v>611</v>
      </c>
      <c r="B14" s="112">
        <v>2</v>
      </c>
      <c r="C14" s="113" t="s">
        <v>3652</v>
      </c>
      <c r="D14" s="147" t="s">
        <v>3653</v>
      </c>
      <c r="E14" s="114" t="s">
        <v>3654</v>
      </c>
      <c r="F14" s="115" t="s">
        <v>2788</v>
      </c>
      <c r="G14" s="115" t="s">
        <v>1580</v>
      </c>
      <c r="H14" s="116">
        <v>13.7428472</v>
      </c>
      <c r="I14" s="116">
        <v>100.51568</v>
      </c>
      <c r="J14" s="116" t="s">
        <v>969</v>
      </c>
      <c r="K14" s="116" t="s">
        <v>970</v>
      </c>
      <c r="L14" s="117" t="s">
        <v>3655</v>
      </c>
      <c r="M14" s="120">
        <v>96941287</v>
      </c>
      <c r="N14" s="121" t="s">
        <v>892</v>
      </c>
      <c r="O14" s="121" t="s">
        <v>1581</v>
      </c>
      <c r="P14" s="117" t="s">
        <v>894</v>
      </c>
      <c r="Q14" s="125" t="s">
        <v>972</v>
      </c>
      <c r="R14" s="125" t="s">
        <v>972</v>
      </c>
      <c r="S14" s="125" t="s">
        <v>972</v>
      </c>
      <c r="T14" s="222"/>
      <c r="U14" s="222"/>
      <c r="V14" s="222"/>
      <c r="W14" s="230"/>
      <c r="X14" s="331">
        <f t="shared" si="2"/>
        <v>0</v>
      </c>
      <c r="Y14" s="222"/>
      <c r="Z14" s="272">
        <f t="shared" si="0"/>
        <v>0</v>
      </c>
      <c r="AA14" s="331"/>
      <c r="AB14" s="331"/>
      <c r="AC14" s="331"/>
      <c r="AD14" s="331"/>
      <c r="AE14" s="331"/>
      <c r="AF14" s="331"/>
      <c r="AG14" s="331"/>
      <c r="AH14" s="241">
        <f t="shared" ca="1" si="1"/>
        <v>46153</v>
      </c>
      <c r="AI14" s="272"/>
      <c r="AJ14" s="222"/>
      <c r="AK14" s="222"/>
    </row>
    <row r="15" spans="1:37" ht="23.25" hidden="1" customHeight="1">
      <c r="A15" s="111">
        <v>116</v>
      </c>
      <c r="B15" s="112">
        <v>3</v>
      </c>
      <c r="C15" s="122" t="s">
        <v>2390</v>
      </c>
      <c r="D15" s="147" t="s">
        <v>2391</v>
      </c>
      <c r="E15" s="123" t="s">
        <v>2392</v>
      </c>
      <c r="F15" s="115" t="s">
        <v>2393</v>
      </c>
      <c r="G15" s="115" t="s">
        <v>2394</v>
      </c>
      <c r="H15" s="116">
        <v>13.743879</v>
      </c>
      <c r="I15" s="116">
        <v>100.672493</v>
      </c>
      <c r="J15" s="116" t="s">
        <v>2108</v>
      </c>
      <c r="K15" s="115" t="s">
        <v>2081</v>
      </c>
      <c r="L15" s="118" t="s">
        <v>2395</v>
      </c>
      <c r="M15" s="121" t="s">
        <v>972</v>
      </c>
      <c r="N15" s="121" t="s">
        <v>972</v>
      </c>
      <c r="O15" s="121" t="s">
        <v>1134</v>
      </c>
      <c r="P15" s="118" t="s">
        <v>902</v>
      </c>
      <c r="Q15" s="125" t="s">
        <v>972</v>
      </c>
      <c r="R15" s="125" t="s">
        <v>972</v>
      </c>
      <c r="S15" s="125" t="s">
        <v>972</v>
      </c>
      <c r="T15" s="222"/>
      <c r="U15" s="222"/>
      <c r="V15" s="222"/>
      <c r="W15" s="230"/>
      <c r="X15" s="331">
        <f t="shared" si="2"/>
        <v>0</v>
      </c>
      <c r="Y15" s="222"/>
      <c r="Z15" s="272">
        <f t="shared" si="0"/>
        <v>0</v>
      </c>
      <c r="AA15" s="331"/>
      <c r="AB15" s="331"/>
      <c r="AC15" s="331"/>
      <c r="AD15" s="331"/>
      <c r="AE15" s="331"/>
      <c r="AF15" s="331"/>
      <c r="AG15" s="331"/>
      <c r="AH15" s="241">
        <f t="shared" ca="1" si="1"/>
        <v>46153</v>
      </c>
      <c r="AI15" s="272"/>
      <c r="AJ15" s="222"/>
      <c r="AK15" s="222"/>
    </row>
    <row r="16" spans="1:37" ht="23.25" hidden="1" customHeight="1">
      <c r="A16" s="111">
        <v>886</v>
      </c>
      <c r="B16" s="112">
        <v>3</v>
      </c>
      <c r="C16" s="122" t="s">
        <v>4306</v>
      </c>
      <c r="D16" s="147" t="s">
        <v>4307</v>
      </c>
      <c r="E16" s="123" t="s">
        <v>4308</v>
      </c>
      <c r="F16" s="115" t="s">
        <v>2393</v>
      </c>
      <c r="G16" s="115" t="s">
        <v>2394</v>
      </c>
      <c r="H16" s="116">
        <v>13.744479999999999</v>
      </c>
      <c r="I16" s="116">
        <v>100.695571</v>
      </c>
      <c r="J16" s="116" t="s">
        <v>2108</v>
      </c>
      <c r="K16" s="115" t="s">
        <v>2081</v>
      </c>
      <c r="L16" s="118" t="s">
        <v>4309</v>
      </c>
      <c r="M16" s="199" t="s">
        <v>972</v>
      </c>
      <c r="N16" s="199" t="s">
        <v>972</v>
      </c>
      <c r="O16" s="199" t="s">
        <v>1134</v>
      </c>
      <c r="P16" s="346" t="s">
        <v>1876</v>
      </c>
      <c r="Q16" s="340" t="s">
        <v>972</v>
      </c>
      <c r="R16" s="340" t="s">
        <v>972</v>
      </c>
      <c r="S16" s="340" t="s">
        <v>972</v>
      </c>
      <c r="T16" s="342"/>
      <c r="U16" s="342"/>
      <c r="V16" s="342"/>
      <c r="W16" s="553"/>
      <c r="X16" s="331">
        <f t="shared" si="2"/>
        <v>0</v>
      </c>
      <c r="Y16" s="342"/>
      <c r="Z16" s="344">
        <f t="shared" si="0"/>
        <v>0</v>
      </c>
      <c r="AA16" s="331"/>
      <c r="AB16" s="331"/>
      <c r="AC16" s="331"/>
      <c r="AD16" s="331"/>
      <c r="AE16" s="331"/>
      <c r="AF16" s="331"/>
      <c r="AG16" s="331"/>
      <c r="AH16" s="343">
        <f t="shared" ca="1" si="1"/>
        <v>46153</v>
      </c>
      <c r="AI16" s="344"/>
      <c r="AJ16" s="342"/>
      <c r="AK16" s="342"/>
    </row>
    <row r="17" spans="1:37" ht="23.25" hidden="1" customHeight="1">
      <c r="A17" s="111">
        <v>185</v>
      </c>
      <c r="B17" s="112" t="s">
        <v>1086</v>
      </c>
      <c r="C17" s="113" t="s">
        <v>2587</v>
      </c>
      <c r="D17" s="147" t="s">
        <v>2588</v>
      </c>
      <c r="E17" s="114" t="s">
        <v>2589</v>
      </c>
      <c r="F17" s="115" t="s">
        <v>2590</v>
      </c>
      <c r="G17" s="115" t="s">
        <v>1435</v>
      </c>
      <c r="H17" s="116">
        <v>13.812480000000001</v>
      </c>
      <c r="I17" s="116">
        <v>100.531645</v>
      </c>
      <c r="J17" s="115" t="s">
        <v>2108</v>
      </c>
      <c r="K17" s="117" t="s">
        <v>2109</v>
      </c>
      <c r="L17" s="117" t="s">
        <v>2110</v>
      </c>
      <c r="M17" s="121" t="s">
        <v>972</v>
      </c>
      <c r="N17" s="121" t="s">
        <v>972</v>
      </c>
      <c r="O17" s="121" t="s">
        <v>1436</v>
      </c>
      <c r="P17" s="118" t="s">
        <v>1876</v>
      </c>
      <c r="Q17" s="125" t="s">
        <v>972</v>
      </c>
      <c r="R17" s="125" t="s">
        <v>972</v>
      </c>
      <c r="S17" s="125" t="s">
        <v>972</v>
      </c>
      <c r="T17" s="222"/>
      <c r="U17" s="222"/>
      <c r="V17" s="222"/>
      <c r="W17" s="230"/>
      <c r="X17" s="331">
        <f t="shared" si="2"/>
        <v>0</v>
      </c>
      <c r="Y17" s="222"/>
      <c r="Z17" s="272">
        <f t="shared" si="0"/>
        <v>0</v>
      </c>
      <c r="AA17" s="331"/>
      <c r="AB17" s="331"/>
      <c r="AC17" s="331"/>
      <c r="AD17" s="331"/>
      <c r="AE17" s="331"/>
      <c r="AF17" s="331"/>
      <c r="AG17" s="331"/>
      <c r="AH17" s="241">
        <f t="shared" ca="1" si="1"/>
        <v>46153</v>
      </c>
      <c r="AI17" s="272"/>
      <c r="AJ17" s="222"/>
      <c r="AK17" s="222"/>
    </row>
    <row r="18" spans="1:37" ht="23" hidden="1">
      <c r="A18" s="111">
        <v>542</v>
      </c>
      <c r="B18" s="112">
        <v>8</v>
      </c>
      <c r="C18" s="122" t="s">
        <v>2904</v>
      </c>
      <c r="D18" s="147" t="s">
        <v>2905</v>
      </c>
      <c r="E18" s="123" t="s">
        <v>2906</v>
      </c>
      <c r="F18" s="116" t="s">
        <v>2590</v>
      </c>
      <c r="G18" s="116" t="s">
        <v>1435</v>
      </c>
      <c r="H18" s="116">
        <v>13.827113600000001</v>
      </c>
      <c r="I18" s="116">
        <v>100.5297552</v>
      </c>
      <c r="J18" s="115" t="s">
        <v>890</v>
      </c>
      <c r="K18" s="117" t="s">
        <v>891</v>
      </c>
      <c r="L18" s="117" t="s">
        <v>891</v>
      </c>
      <c r="M18" s="117">
        <v>97024435</v>
      </c>
      <c r="N18" s="121" t="s">
        <v>892</v>
      </c>
      <c r="O18" s="121" t="s">
        <v>1436</v>
      </c>
      <c r="P18" s="117" t="s">
        <v>952</v>
      </c>
      <c r="Q18" s="125" t="s">
        <v>972</v>
      </c>
      <c r="R18" s="119" t="s">
        <v>895</v>
      </c>
      <c r="S18" s="119" t="s">
        <v>895</v>
      </c>
      <c r="T18" s="222"/>
      <c r="U18" s="222"/>
      <c r="V18" s="222"/>
      <c r="W18" s="230"/>
      <c r="X18" s="331">
        <f t="shared" si="2"/>
        <v>0</v>
      </c>
      <c r="Y18" s="222"/>
      <c r="Z18" s="272">
        <f t="shared" si="0"/>
        <v>0</v>
      </c>
      <c r="AA18" s="331"/>
      <c r="AB18" s="331"/>
      <c r="AC18" s="331"/>
      <c r="AD18" s="331"/>
      <c r="AE18" s="331"/>
      <c r="AF18" s="331"/>
      <c r="AG18" s="331"/>
      <c r="AH18" s="241">
        <f t="shared" ca="1" si="1"/>
        <v>46153</v>
      </c>
      <c r="AI18" s="272"/>
      <c r="AJ18" s="222"/>
      <c r="AK18" s="222"/>
    </row>
    <row r="19" spans="1:37" ht="23.25" hidden="1" customHeight="1">
      <c r="A19" s="111">
        <v>535</v>
      </c>
      <c r="B19" s="112">
        <v>2</v>
      </c>
      <c r="C19" s="113" t="s">
        <v>3458</v>
      </c>
      <c r="D19" s="557" t="s">
        <v>3459</v>
      </c>
      <c r="E19" s="114" t="s">
        <v>3460</v>
      </c>
      <c r="F19" s="115" t="s">
        <v>2590</v>
      </c>
      <c r="G19" s="115" t="s">
        <v>1435</v>
      </c>
      <c r="H19" s="116">
        <v>13.832398299999999</v>
      </c>
      <c r="I19" s="116">
        <v>100.52341920000001</v>
      </c>
      <c r="J19" s="115" t="s">
        <v>2108</v>
      </c>
      <c r="K19" s="117" t="s">
        <v>2109</v>
      </c>
      <c r="L19" s="117" t="s">
        <v>2110</v>
      </c>
      <c r="M19" s="121" t="s">
        <v>972</v>
      </c>
      <c r="N19" s="121" t="s">
        <v>972</v>
      </c>
      <c r="O19" s="121" t="s">
        <v>1436</v>
      </c>
      <c r="P19" s="117" t="s">
        <v>1876</v>
      </c>
      <c r="Q19" s="125" t="s">
        <v>972</v>
      </c>
      <c r="R19" s="125" t="s">
        <v>972</v>
      </c>
      <c r="S19" s="125" t="s">
        <v>972</v>
      </c>
      <c r="T19" s="222"/>
      <c r="U19" s="222"/>
      <c r="V19" s="222"/>
      <c r="W19" s="230"/>
      <c r="X19" s="331">
        <f t="shared" si="2"/>
        <v>0</v>
      </c>
      <c r="Y19" s="222"/>
      <c r="Z19" s="272">
        <f t="shared" si="0"/>
        <v>0</v>
      </c>
      <c r="AA19" s="331"/>
      <c r="AB19" s="331"/>
      <c r="AC19" s="331"/>
      <c r="AD19" s="331"/>
      <c r="AE19" s="331"/>
      <c r="AF19" s="331"/>
      <c r="AG19" s="331"/>
      <c r="AH19" s="241">
        <f t="shared" ca="1" si="1"/>
        <v>46153</v>
      </c>
      <c r="AI19" s="272"/>
      <c r="AJ19" s="222"/>
      <c r="AK19" s="222"/>
    </row>
    <row r="20" spans="1:37" ht="23.25" hidden="1" customHeight="1">
      <c r="A20" s="111">
        <v>199</v>
      </c>
      <c r="B20" s="112">
        <v>10</v>
      </c>
      <c r="C20" s="113" t="s">
        <v>2626</v>
      </c>
      <c r="D20" s="147" t="s">
        <v>2627</v>
      </c>
      <c r="E20" s="114" t="s">
        <v>2628</v>
      </c>
      <c r="F20" s="115" t="s">
        <v>2629</v>
      </c>
      <c r="G20" s="115" t="s">
        <v>1094</v>
      </c>
      <c r="H20" s="116">
        <v>13.797831</v>
      </c>
      <c r="I20" s="116">
        <v>100.549093</v>
      </c>
      <c r="J20" s="116" t="s">
        <v>969</v>
      </c>
      <c r="K20" s="116" t="s">
        <v>970</v>
      </c>
      <c r="L20" s="117" t="s">
        <v>2630</v>
      </c>
      <c r="M20" s="117">
        <v>77103279</v>
      </c>
      <c r="N20" s="121" t="s">
        <v>892</v>
      </c>
      <c r="O20" s="117" t="s">
        <v>995</v>
      </c>
      <c r="P20" s="117" t="s">
        <v>952</v>
      </c>
      <c r="Q20" s="125" t="s">
        <v>972</v>
      </c>
      <c r="R20" s="125" t="s">
        <v>972</v>
      </c>
      <c r="S20" s="125" t="s">
        <v>972</v>
      </c>
      <c r="T20" s="316" t="s">
        <v>5178</v>
      </c>
      <c r="U20" s="222"/>
      <c r="V20" s="222"/>
      <c r="W20" s="230"/>
      <c r="X20" s="331">
        <f t="shared" si="2"/>
        <v>0</v>
      </c>
      <c r="Y20" s="222"/>
      <c r="Z20" s="272">
        <f t="shared" si="0"/>
        <v>0</v>
      </c>
      <c r="AA20" s="331"/>
      <c r="AB20" s="331"/>
      <c r="AC20" s="331"/>
      <c r="AD20" s="331"/>
      <c r="AE20" s="331"/>
      <c r="AF20" s="331"/>
      <c r="AG20" s="331"/>
      <c r="AH20" s="241">
        <f t="shared" ca="1" si="1"/>
        <v>46153</v>
      </c>
      <c r="AI20" s="272"/>
      <c r="AJ20" s="222"/>
      <c r="AK20" s="222"/>
    </row>
    <row r="21" spans="1:37" ht="23.25" hidden="1" customHeight="1">
      <c r="A21" s="111">
        <v>360</v>
      </c>
      <c r="B21" s="112">
        <v>5</v>
      </c>
      <c r="C21" s="122" t="s">
        <v>2741</v>
      </c>
      <c r="D21" s="147" t="s">
        <v>2742</v>
      </c>
      <c r="E21" s="123" t="s">
        <v>2743</v>
      </c>
      <c r="F21" s="116" t="s">
        <v>2629</v>
      </c>
      <c r="G21" s="116" t="s">
        <v>1094</v>
      </c>
      <c r="H21" s="116">
        <v>13.797587500000001</v>
      </c>
      <c r="I21" s="116">
        <v>100.54892359999999</v>
      </c>
      <c r="J21" s="116" t="s">
        <v>890</v>
      </c>
      <c r="K21" s="117" t="s">
        <v>2180</v>
      </c>
      <c r="L21" s="117" t="s">
        <v>2180</v>
      </c>
      <c r="M21" s="117">
        <v>95785936</v>
      </c>
      <c r="N21" s="117" t="s">
        <v>892</v>
      </c>
      <c r="O21" s="117" t="s">
        <v>995</v>
      </c>
      <c r="P21" s="117" t="s">
        <v>1876</v>
      </c>
      <c r="Q21" s="125" t="s">
        <v>972</v>
      </c>
      <c r="R21" s="119"/>
      <c r="S21" s="119" t="s">
        <v>895</v>
      </c>
      <c r="T21" s="222"/>
      <c r="U21" s="222"/>
      <c r="V21" s="222"/>
      <c r="W21" s="230"/>
      <c r="X21" s="331">
        <f t="shared" si="2"/>
        <v>0</v>
      </c>
      <c r="Y21" s="222"/>
      <c r="Z21" s="272">
        <f t="shared" si="0"/>
        <v>0</v>
      </c>
      <c r="AA21" s="331"/>
      <c r="AB21" s="331"/>
      <c r="AC21" s="331"/>
      <c r="AD21" s="331"/>
      <c r="AE21" s="331"/>
      <c r="AF21" s="331"/>
      <c r="AG21" s="331"/>
      <c r="AH21" s="241">
        <f t="shared" ca="1" si="1"/>
        <v>46153</v>
      </c>
      <c r="AI21" s="272"/>
      <c r="AJ21" s="222"/>
      <c r="AK21" s="222"/>
    </row>
    <row r="22" spans="1:37" ht="23" hidden="1">
      <c r="A22" s="111">
        <v>503</v>
      </c>
      <c r="B22" s="112">
        <v>3</v>
      </c>
      <c r="C22" s="122" t="s">
        <v>2860</v>
      </c>
      <c r="D22" s="147" t="s">
        <v>2861</v>
      </c>
      <c r="E22" s="123" t="s">
        <v>2862</v>
      </c>
      <c r="F22" s="115" t="s">
        <v>2629</v>
      </c>
      <c r="G22" s="115" t="s">
        <v>1094</v>
      </c>
      <c r="H22" s="116">
        <v>13.79759</v>
      </c>
      <c r="I22" s="116">
        <v>100.54764299999999</v>
      </c>
      <c r="J22" s="116" t="s">
        <v>890</v>
      </c>
      <c r="K22" s="117" t="s">
        <v>2180</v>
      </c>
      <c r="L22" s="117" t="s">
        <v>2180</v>
      </c>
      <c r="M22" s="117">
        <v>77116488</v>
      </c>
      <c r="N22" s="117" t="s">
        <v>892</v>
      </c>
      <c r="O22" s="117" t="s">
        <v>995</v>
      </c>
      <c r="P22" s="117" t="s">
        <v>1876</v>
      </c>
      <c r="Q22" s="125" t="s">
        <v>972</v>
      </c>
      <c r="R22" s="119" t="s">
        <v>895</v>
      </c>
      <c r="S22" s="119" t="s">
        <v>895</v>
      </c>
      <c r="T22" s="222"/>
      <c r="U22" s="222"/>
      <c r="V22" s="222"/>
      <c r="W22" s="230"/>
      <c r="X22" s="331">
        <f t="shared" si="2"/>
        <v>0</v>
      </c>
      <c r="Y22" s="222"/>
      <c r="Z22" s="272">
        <f t="shared" si="0"/>
        <v>0</v>
      </c>
      <c r="AA22" s="331"/>
      <c r="AB22" s="331"/>
      <c r="AC22" s="331"/>
      <c r="AD22" s="331"/>
      <c r="AE22" s="331"/>
      <c r="AF22" s="331"/>
      <c r="AG22" s="331"/>
      <c r="AH22" s="241">
        <f t="shared" ca="1" si="1"/>
        <v>46153</v>
      </c>
      <c r="AI22" s="272"/>
      <c r="AJ22" s="222"/>
      <c r="AK22" s="222"/>
    </row>
    <row r="23" spans="1:37" ht="23.25" hidden="1" customHeight="1">
      <c r="A23" s="111">
        <v>357</v>
      </c>
      <c r="B23" s="112">
        <v>1</v>
      </c>
      <c r="C23" s="113" t="s">
        <v>3012</v>
      </c>
      <c r="D23" s="147" t="s">
        <v>3013</v>
      </c>
      <c r="E23" s="114" t="s">
        <v>3014</v>
      </c>
      <c r="F23" s="115" t="s">
        <v>2629</v>
      </c>
      <c r="G23" s="115" t="s">
        <v>1094</v>
      </c>
      <c r="H23" s="116">
        <v>13.797807499999999</v>
      </c>
      <c r="I23" s="116">
        <v>100.5424737</v>
      </c>
      <c r="J23" s="116" t="s">
        <v>969</v>
      </c>
      <c r="K23" s="115" t="s">
        <v>1048</v>
      </c>
      <c r="L23" s="117" t="s">
        <v>3015</v>
      </c>
      <c r="M23" s="117">
        <v>96385304</v>
      </c>
      <c r="N23" s="117" t="s">
        <v>892</v>
      </c>
      <c r="O23" s="117" t="s">
        <v>995</v>
      </c>
      <c r="P23" s="117" t="s">
        <v>1876</v>
      </c>
      <c r="Q23" s="125" t="s">
        <v>972</v>
      </c>
      <c r="R23" s="125" t="s">
        <v>972</v>
      </c>
      <c r="S23" s="125" t="s">
        <v>972</v>
      </c>
      <c r="T23" s="222"/>
      <c r="U23" s="222"/>
      <c r="V23" s="222"/>
      <c r="W23" s="230"/>
      <c r="X23" s="331">
        <f t="shared" si="2"/>
        <v>0</v>
      </c>
      <c r="Y23" s="222"/>
      <c r="Z23" s="272">
        <f t="shared" si="0"/>
        <v>0</v>
      </c>
      <c r="AA23" s="331"/>
      <c r="AB23" s="331"/>
      <c r="AC23" s="331"/>
      <c r="AD23" s="331"/>
      <c r="AE23" s="331"/>
      <c r="AF23" s="331"/>
      <c r="AG23" s="331"/>
      <c r="AH23" s="241">
        <f t="shared" ca="1" si="1"/>
        <v>46153</v>
      </c>
      <c r="AI23" s="272"/>
      <c r="AJ23" s="222"/>
      <c r="AK23" s="222"/>
    </row>
    <row r="24" spans="1:37" ht="23.25" hidden="1" customHeight="1">
      <c r="A24" s="111">
        <v>424</v>
      </c>
      <c r="B24" s="112">
        <v>9</v>
      </c>
      <c r="C24" s="113" t="s">
        <v>3167</v>
      </c>
      <c r="D24" s="147" t="s">
        <v>3168</v>
      </c>
      <c r="E24" s="114" t="s">
        <v>3169</v>
      </c>
      <c r="F24" s="115" t="s">
        <v>2629</v>
      </c>
      <c r="G24" s="115" t="s">
        <v>1094</v>
      </c>
      <c r="H24" s="116">
        <v>13.797646800000001</v>
      </c>
      <c r="I24" s="116">
        <v>100.548582</v>
      </c>
      <c r="J24" s="116" t="s">
        <v>969</v>
      </c>
      <c r="K24" s="115" t="s">
        <v>1048</v>
      </c>
      <c r="L24" s="117" t="s">
        <v>3170</v>
      </c>
      <c r="M24" s="117">
        <v>77103279</v>
      </c>
      <c r="N24" s="121" t="s">
        <v>892</v>
      </c>
      <c r="O24" s="117" t="s">
        <v>995</v>
      </c>
      <c r="P24" s="117" t="s">
        <v>952</v>
      </c>
      <c r="Q24" s="125" t="s">
        <v>972</v>
      </c>
      <c r="R24" s="125" t="s">
        <v>972</v>
      </c>
      <c r="S24" s="125" t="s">
        <v>972</v>
      </c>
      <c r="T24" s="316" t="s">
        <v>5178</v>
      </c>
      <c r="U24" s="222"/>
      <c r="V24" s="222"/>
      <c r="W24" s="230"/>
      <c r="X24" s="331">
        <f t="shared" si="2"/>
        <v>0</v>
      </c>
      <c r="Y24" s="222"/>
      <c r="Z24" s="272">
        <f t="shared" si="0"/>
        <v>0</v>
      </c>
      <c r="AA24" s="331"/>
      <c r="AB24" s="331"/>
      <c r="AC24" s="331"/>
      <c r="AD24" s="331"/>
      <c r="AE24" s="331"/>
      <c r="AF24" s="331"/>
      <c r="AG24" s="331"/>
      <c r="AH24" s="241">
        <f t="shared" ca="1" si="1"/>
        <v>46153</v>
      </c>
      <c r="AI24" s="272"/>
      <c r="AJ24" s="222"/>
      <c r="AK24" s="222"/>
    </row>
    <row r="25" spans="1:37" ht="23" hidden="1">
      <c r="A25" s="111">
        <v>162</v>
      </c>
      <c r="B25" s="112">
        <v>7</v>
      </c>
      <c r="C25" s="113" t="s">
        <v>1090</v>
      </c>
      <c r="D25" s="147" t="s">
        <v>1091</v>
      </c>
      <c r="E25" s="114" t="s">
        <v>1092</v>
      </c>
      <c r="F25" s="115" t="s">
        <v>1093</v>
      </c>
      <c r="G25" s="115" t="s">
        <v>1094</v>
      </c>
      <c r="H25" s="116">
        <v>13.8030206</v>
      </c>
      <c r="I25" s="116">
        <v>100.548107</v>
      </c>
      <c r="J25" s="116" t="s">
        <v>890</v>
      </c>
      <c r="K25" s="117" t="s">
        <v>891</v>
      </c>
      <c r="L25" s="117" t="s">
        <v>891</v>
      </c>
      <c r="M25" s="124">
        <v>96887379</v>
      </c>
      <c r="N25" s="120" t="s">
        <v>892</v>
      </c>
      <c r="O25" s="117" t="s">
        <v>995</v>
      </c>
      <c r="P25" s="117" t="s">
        <v>952</v>
      </c>
      <c r="Q25" s="118">
        <v>80057501</v>
      </c>
      <c r="R25" s="119" t="s">
        <v>895</v>
      </c>
      <c r="S25" s="119" t="s">
        <v>895</v>
      </c>
      <c r="T25" s="316" t="s">
        <v>5178</v>
      </c>
      <c r="U25" s="222"/>
      <c r="V25" s="222"/>
      <c r="W25" s="230"/>
      <c r="X25" s="331">
        <f t="shared" si="2"/>
        <v>0</v>
      </c>
      <c r="Y25" s="222"/>
      <c r="Z25" s="272">
        <f t="shared" si="0"/>
        <v>0</v>
      </c>
      <c r="AA25" s="331"/>
      <c r="AB25" s="331"/>
      <c r="AC25" s="331"/>
      <c r="AD25" s="331"/>
      <c r="AE25" s="331"/>
      <c r="AF25" s="331"/>
      <c r="AG25" s="331"/>
      <c r="AH25" s="241">
        <f t="shared" ca="1" si="1"/>
        <v>46153</v>
      </c>
      <c r="AI25" s="272"/>
      <c r="AJ25" s="222"/>
      <c r="AK25" s="222"/>
    </row>
    <row r="26" spans="1:37" ht="23" hidden="1">
      <c r="A26" s="111">
        <v>164</v>
      </c>
      <c r="B26" s="112">
        <v>9</v>
      </c>
      <c r="C26" s="113" t="s">
        <v>1095</v>
      </c>
      <c r="D26" s="147" t="s">
        <v>1096</v>
      </c>
      <c r="E26" s="114" t="s">
        <v>1097</v>
      </c>
      <c r="F26" s="115" t="s">
        <v>1093</v>
      </c>
      <c r="G26" s="115" t="s">
        <v>1094</v>
      </c>
      <c r="H26" s="116">
        <v>13.8046325</v>
      </c>
      <c r="I26" s="116">
        <v>100.54812080000001</v>
      </c>
      <c r="J26" s="116" t="s">
        <v>890</v>
      </c>
      <c r="K26" s="117" t="s">
        <v>891</v>
      </c>
      <c r="L26" s="117" t="s">
        <v>891</v>
      </c>
      <c r="M26" s="124">
        <v>96887383</v>
      </c>
      <c r="N26" s="120" t="s">
        <v>892</v>
      </c>
      <c r="O26" s="117" t="s">
        <v>995</v>
      </c>
      <c r="P26" s="117" t="s">
        <v>952</v>
      </c>
      <c r="Q26" s="118">
        <v>80057501</v>
      </c>
      <c r="R26" s="119" t="s">
        <v>895</v>
      </c>
      <c r="S26" s="119" t="s">
        <v>895</v>
      </c>
      <c r="T26" s="222"/>
      <c r="U26" s="222"/>
      <c r="V26" s="222"/>
      <c r="W26" s="230"/>
      <c r="X26" s="331">
        <f t="shared" si="2"/>
        <v>0</v>
      </c>
      <c r="Y26" s="222"/>
      <c r="Z26" s="272">
        <f t="shared" si="0"/>
        <v>0</v>
      </c>
      <c r="AA26" s="331"/>
      <c r="AB26" s="331"/>
      <c r="AC26" s="331"/>
      <c r="AD26" s="331"/>
      <c r="AE26" s="331"/>
      <c r="AF26" s="331"/>
      <c r="AG26" s="331"/>
      <c r="AH26" s="241">
        <f t="shared" ca="1" si="1"/>
        <v>46153</v>
      </c>
      <c r="AI26" s="272"/>
      <c r="AJ26" s="222"/>
      <c r="AK26" s="222"/>
    </row>
    <row r="27" spans="1:37" ht="23" hidden="1">
      <c r="A27" s="111">
        <v>222</v>
      </c>
      <c r="B27" s="112">
        <v>16</v>
      </c>
      <c r="C27" s="113" t="s">
        <v>1146</v>
      </c>
      <c r="D27" s="147" t="s">
        <v>1147</v>
      </c>
      <c r="E27" s="114" t="s">
        <v>1148</v>
      </c>
      <c r="F27" s="115" t="s">
        <v>1093</v>
      </c>
      <c r="G27" s="115" t="s">
        <v>1094</v>
      </c>
      <c r="H27" s="116">
        <v>13.808973999999999</v>
      </c>
      <c r="I27" s="116">
        <v>100.548275</v>
      </c>
      <c r="J27" s="116" t="s">
        <v>890</v>
      </c>
      <c r="K27" s="117" t="s">
        <v>891</v>
      </c>
      <c r="L27" s="117" t="s">
        <v>891</v>
      </c>
      <c r="M27" s="117">
        <v>96888229</v>
      </c>
      <c r="N27" s="120" t="s">
        <v>892</v>
      </c>
      <c r="O27" s="117" t="s">
        <v>995</v>
      </c>
      <c r="P27" s="117" t="s">
        <v>952</v>
      </c>
      <c r="Q27" s="118">
        <v>80057501</v>
      </c>
      <c r="R27" s="119" t="s">
        <v>895</v>
      </c>
      <c r="S27" s="119" t="s">
        <v>895</v>
      </c>
      <c r="T27" s="222"/>
      <c r="U27" s="222"/>
      <c r="V27" s="222"/>
      <c r="W27" s="230"/>
      <c r="X27" s="331">
        <f t="shared" si="2"/>
        <v>0</v>
      </c>
      <c r="Y27" s="222"/>
      <c r="Z27" s="272">
        <f t="shared" si="0"/>
        <v>0</v>
      </c>
      <c r="AA27" s="331"/>
      <c r="AB27" s="331"/>
      <c r="AC27" s="331"/>
      <c r="AD27" s="331"/>
      <c r="AE27" s="331"/>
      <c r="AF27" s="331"/>
      <c r="AG27" s="331"/>
      <c r="AH27" s="241">
        <f t="shared" ca="1" si="1"/>
        <v>46153</v>
      </c>
      <c r="AI27" s="272"/>
      <c r="AJ27" s="222"/>
      <c r="AK27" s="222"/>
    </row>
    <row r="28" spans="1:37" ht="23" hidden="1">
      <c r="A28" s="111">
        <v>391</v>
      </c>
      <c r="B28" s="112">
        <v>2</v>
      </c>
      <c r="C28" s="122" t="s">
        <v>1336</v>
      </c>
      <c r="D28" s="147" t="s">
        <v>1337</v>
      </c>
      <c r="E28" s="123" t="s">
        <v>1338</v>
      </c>
      <c r="F28" s="116" t="s">
        <v>1093</v>
      </c>
      <c r="G28" s="116" t="s">
        <v>1094</v>
      </c>
      <c r="H28" s="116">
        <v>13.805958</v>
      </c>
      <c r="I28" s="116">
        <v>100.548322</v>
      </c>
      <c r="J28" s="116" t="s">
        <v>890</v>
      </c>
      <c r="K28" s="117" t="s">
        <v>891</v>
      </c>
      <c r="L28" s="117" t="s">
        <v>891</v>
      </c>
      <c r="M28" s="117">
        <v>96916202</v>
      </c>
      <c r="N28" s="120" t="s">
        <v>892</v>
      </c>
      <c r="O28" s="117" t="s">
        <v>995</v>
      </c>
      <c r="P28" s="117" t="s">
        <v>952</v>
      </c>
      <c r="Q28" s="118">
        <v>80057501</v>
      </c>
      <c r="R28" s="119" t="s">
        <v>895</v>
      </c>
      <c r="S28" s="119" t="s">
        <v>895</v>
      </c>
      <c r="T28" s="222"/>
      <c r="U28" s="222"/>
      <c r="V28" s="222"/>
      <c r="W28" s="230"/>
      <c r="X28" s="331">
        <f t="shared" si="2"/>
        <v>0</v>
      </c>
      <c r="Y28" s="222"/>
      <c r="Z28" s="272">
        <f t="shared" si="0"/>
        <v>0</v>
      </c>
      <c r="AA28" s="331"/>
      <c r="AB28" s="331"/>
      <c r="AC28" s="331"/>
      <c r="AD28" s="331"/>
      <c r="AE28" s="331"/>
      <c r="AF28" s="331"/>
      <c r="AG28" s="331"/>
      <c r="AH28" s="241">
        <f t="shared" ca="1" si="1"/>
        <v>46153</v>
      </c>
      <c r="AI28" s="272"/>
      <c r="AJ28" s="222"/>
      <c r="AK28" s="222"/>
    </row>
    <row r="29" spans="1:37" ht="23" hidden="1">
      <c r="A29" s="111">
        <v>903</v>
      </c>
      <c r="B29" s="112">
        <v>13</v>
      </c>
      <c r="C29" s="113" t="s">
        <v>1854</v>
      </c>
      <c r="D29" s="147" t="s">
        <v>1855</v>
      </c>
      <c r="E29" s="114" t="s">
        <v>1856</v>
      </c>
      <c r="F29" s="115" t="s">
        <v>1093</v>
      </c>
      <c r="G29" s="115" t="s">
        <v>1094</v>
      </c>
      <c r="H29" s="116">
        <v>13.809875999999999</v>
      </c>
      <c r="I29" s="116">
        <v>100.54844900000001</v>
      </c>
      <c r="J29" s="116" t="s">
        <v>890</v>
      </c>
      <c r="K29" s="117" t="s">
        <v>891</v>
      </c>
      <c r="L29" s="117" t="s">
        <v>891</v>
      </c>
      <c r="M29" s="117">
        <v>96887675</v>
      </c>
      <c r="N29" s="120" t="s">
        <v>892</v>
      </c>
      <c r="O29" s="117" t="s">
        <v>995</v>
      </c>
      <c r="P29" s="117" t="s">
        <v>952</v>
      </c>
      <c r="Q29" s="118">
        <v>80057501</v>
      </c>
      <c r="R29" s="119" t="s">
        <v>895</v>
      </c>
      <c r="S29" s="119" t="s">
        <v>895</v>
      </c>
      <c r="T29" s="222"/>
      <c r="U29" s="222"/>
      <c r="V29" s="222"/>
      <c r="W29" s="230"/>
      <c r="X29" s="331">
        <f t="shared" si="2"/>
        <v>0</v>
      </c>
      <c r="Y29" s="222"/>
      <c r="Z29" s="272">
        <f t="shared" si="0"/>
        <v>0</v>
      </c>
      <c r="AA29" s="331"/>
      <c r="AB29" s="331"/>
      <c r="AC29" s="331"/>
      <c r="AD29" s="331"/>
      <c r="AE29" s="331"/>
      <c r="AF29" s="331"/>
      <c r="AG29" s="331"/>
      <c r="AH29" s="241">
        <f t="shared" ca="1" si="1"/>
        <v>46153</v>
      </c>
      <c r="AI29" s="272"/>
      <c r="AJ29" s="222"/>
      <c r="AK29" s="222"/>
    </row>
    <row r="30" spans="1:37" ht="23.25" hidden="1" customHeight="1">
      <c r="A30" s="111">
        <v>934</v>
      </c>
      <c r="B30" s="112">
        <v>11</v>
      </c>
      <c r="C30" s="122" t="s">
        <v>1866</v>
      </c>
      <c r="D30" s="147" t="s">
        <v>1867</v>
      </c>
      <c r="E30" s="123" t="s">
        <v>1868</v>
      </c>
      <c r="F30" s="116" t="s">
        <v>1093</v>
      </c>
      <c r="G30" s="116" t="s">
        <v>1094</v>
      </c>
      <c r="H30" s="116">
        <v>13.8038404</v>
      </c>
      <c r="I30" s="116">
        <v>100.54816049999999</v>
      </c>
      <c r="J30" s="116" t="s">
        <v>969</v>
      </c>
      <c r="K30" s="116" t="s">
        <v>970</v>
      </c>
      <c r="L30" s="117" t="s">
        <v>1869</v>
      </c>
      <c r="M30" s="117">
        <v>96888229</v>
      </c>
      <c r="N30" s="121" t="s">
        <v>892</v>
      </c>
      <c r="O30" s="117" t="s">
        <v>995</v>
      </c>
      <c r="P30" s="117" t="s">
        <v>952</v>
      </c>
      <c r="Q30" s="125" t="s">
        <v>972</v>
      </c>
      <c r="R30" s="125" t="s">
        <v>972</v>
      </c>
      <c r="S30" s="125" t="s">
        <v>972</v>
      </c>
      <c r="T30" s="222"/>
      <c r="U30" s="222"/>
      <c r="V30" s="222"/>
      <c r="W30" s="230"/>
      <c r="X30" s="331">
        <f t="shared" si="2"/>
        <v>0</v>
      </c>
      <c r="Y30" s="222"/>
      <c r="Z30" s="272">
        <f t="shared" si="0"/>
        <v>0</v>
      </c>
      <c r="AA30" s="331"/>
      <c r="AB30" s="331"/>
      <c r="AC30" s="331"/>
      <c r="AD30" s="331"/>
      <c r="AE30" s="331"/>
      <c r="AF30" s="331"/>
      <c r="AG30" s="331"/>
      <c r="AH30" s="241">
        <f t="shared" ca="1" si="1"/>
        <v>46153</v>
      </c>
      <c r="AI30" s="272"/>
      <c r="AJ30" s="222"/>
      <c r="AK30" s="222"/>
    </row>
    <row r="31" spans="1:37" ht="23" hidden="1">
      <c r="A31" s="111">
        <v>1041</v>
      </c>
      <c r="B31" s="112" t="s">
        <v>1013</v>
      </c>
      <c r="C31" s="113" t="s">
        <v>1982</v>
      </c>
      <c r="D31" s="147" t="s">
        <v>1983</v>
      </c>
      <c r="E31" s="114" t="s">
        <v>1984</v>
      </c>
      <c r="F31" s="115" t="s">
        <v>1093</v>
      </c>
      <c r="G31" s="115" t="s">
        <v>1094</v>
      </c>
      <c r="H31" s="116">
        <v>13.810226999999999</v>
      </c>
      <c r="I31" s="116">
        <v>100.548979</v>
      </c>
      <c r="J31" s="116" t="s">
        <v>890</v>
      </c>
      <c r="K31" s="117" t="s">
        <v>891</v>
      </c>
      <c r="L31" s="117" t="s">
        <v>891</v>
      </c>
      <c r="M31" s="117">
        <v>96887715</v>
      </c>
      <c r="N31" s="120" t="s">
        <v>892</v>
      </c>
      <c r="O31" s="117" t="s">
        <v>995</v>
      </c>
      <c r="P31" s="117" t="s">
        <v>952</v>
      </c>
      <c r="Q31" s="118">
        <v>80057501</v>
      </c>
      <c r="R31" s="119" t="s">
        <v>895</v>
      </c>
      <c r="S31" s="119" t="s">
        <v>895</v>
      </c>
      <c r="T31" s="222"/>
      <c r="U31" s="222"/>
      <c r="V31" s="222"/>
      <c r="W31" s="230"/>
      <c r="X31" s="331">
        <f t="shared" si="2"/>
        <v>0</v>
      </c>
      <c r="Y31" s="222"/>
      <c r="Z31" s="272">
        <f t="shared" si="0"/>
        <v>0</v>
      </c>
      <c r="AA31" s="331"/>
      <c r="AB31" s="331"/>
      <c r="AC31" s="331"/>
      <c r="AD31" s="331"/>
      <c r="AE31" s="331"/>
      <c r="AF31" s="331"/>
      <c r="AG31" s="331"/>
      <c r="AH31" s="241">
        <f t="shared" ca="1" si="1"/>
        <v>46153</v>
      </c>
      <c r="AI31" s="272"/>
      <c r="AJ31" s="222"/>
      <c r="AK31" s="222"/>
    </row>
    <row r="32" spans="1:37" ht="23" hidden="1">
      <c r="A32" s="111">
        <v>1042</v>
      </c>
      <c r="B32" s="112">
        <v>14</v>
      </c>
      <c r="C32" s="113" t="s">
        <v>1985</v>
      </c>
      <c r="D32" s="147" t="s">
        <v>1986</v>
      </c>
      <c r="E32" s="114" t="s">
        <v>1987</v>
      </c>
      <c r="F32" s="115" t="s">
        <v>1093</v>
      </c>
      <c r="G32" s="115" t="s">
        <v>1094</v>
      </c>
      <c r="H32" s="116">
        <v>13.801660999999999</v>
      </c>
      <c r="I32" s="116">
        <v>100.548198</v>
      </c>
      <c r="J32" s="116" t="s">
        <v>890</v>
      </c>
      <c r="K32" s="117" t="s">
        <v>891</v>
      </c>
      <c r="L32" s="117" t="s">
        <v>891</v>
      </c>
      <c r="M32" s="117">
        <v>96887772</v>
      </c>
      <c r="N32" s="120" t="s">
        <v>892</v>
      </c>
      <c r="O32" s="117" t="s">
        <v>995</v>
      </c>
      <c r="P32" s="117" t="s">
        <v>952</v>
      </c>
      <c r="Q32" s="118">
        <v>80057501</v>
      </c>
      <c r="R32" s="119" t="s">
        <v>895</v>
      </c>
      <c r="S32" s="119" t="s">
        <v>895</v>
      </c>
      <c r="T32" s="222"/>
      <c r="U32" s="222"/>
      <c r="V32" s="222"/>
      <c r="W32" s="230"/>
      <c r="X32" s="331">
        <f t="shared" si="2"/>
        <v>0</v>
      </c>
      <c r="Y32" s="222"/>
      <c r="Z32" s="272">
        <f t="shared" si="0"/>
        <v>0</v>
      </c>
      <c r="AA32" s="331"/>
      <c r="AB32" s="331"/>
      <c r="AC32" s="331"/>
      <c r="AD32" s="331"/>
      <c r="AE32" s="331"/>
      <c r="AF32" s="331"/>
      <c r="AG32" s="331"/>
      <c r="AH32" s="241">
        <f t="shared" ca="1" si="1"/>
        <v>46153</v>
      </c>
      <c r="AI32" s="272"/>
      <c r="AJ32" s="222"/>
      <c r="AK32" s="222"/>
    </row>
    <row r="33" spans="1:37" ht="23.25" hidden="1" customHeight="1">
      <c r="A33" s="111">
        <v>40</v>
      </c>
      <c r="B33" s="112">
        <v>5</v>
      </c>
      <c r="C33" s="113" t="s">
        <v>2192</v>
      </c>
      <c r="D33" s="147" t="s">
        <v>2193</v>
      </c>
      <c r="E33" s="114" t="s">
        <v>2194</v>
      </c>
      <c r="F33" s="115" t="s">
        <v>1093</v>
      </c>
      <c r="G33" s="115" t="s">
        <v>1094</v>
      </c>
      <c r="H33" s="116">
        <v>13.804160899999999</v>
      </c>
      <c r="I33" s="116">
        <v>100.5483413</v>
      </c>
      <c r="J33" s="115" t="s">
        <v>2108</v>
      </c>
      <c r="K33" s="115" t="s">
        <v>2136</v>
      </c>
      <c r="L33" s="117" t="s">
        <v>2195</v>
      </c>
      <c r="M33" s="121" t="s">
        <v>972</v>
      </c>
      <c r="N33" s="121" t="s">
        <v>972</v>
      </c>
      <c r="O33" s="117" t="s">
        <v>995</v>
      </c>
      <c r="P33" s="117" t="s">
        <v>1876</v>
      </c>
      <c r="Q33" s="125" t="s">
        <v>972</v>
      </c>
      <c r="R33" s="125" t="s">
        <v>972</v>
      </c>
      <c r="S33" s="125" t="s">
        <v>972</v>
      </c>
      <c r="T33" s="222"/>
      <c r="U33" s="222"/>
      <c r="V33" s="222"/>
      <c r="W33" s="230"/>
      <c r="X33" s="331">
        <f t="shared" si="2"/>
        <v>0</v>
      </c>
      <c r="Y33" s="222"/>
      <c r="Z33" s="272">
        <f t="shared" si="0"/>
        <v>0</v>
      </c>
      <c r="AA33" s="331"/>
      <c r="AB33" s="331"/>
      <c r="AC33" s="331"/>
      <c r="AD33" s="331"/>
      <c r="AE33" s="331"/>
      <c r="AF33" s="331"/>
      <c r="AG33" s="331"/>
      <c r="AH33" s="241">
        <f t="shared" ca="1" si="1"/>
        <v>46153</v>
      </c>
      <c r="AI33" s="272"/>
      <c r="AJ33" s="222"/>
      <c r="AK33" s="222"/>
    </row>
    <row r="34" spans="1:37" ht="23.25" hidden="1" customHeight="1">
      <c r="A34" s="111">
        <v>347</v>
      </c>
      <c r="B34" s="112">
        <v>10</v>
      </c>
      <c r="C34" s="113" t="s">
        <v>2984</v>
      </c>
      <c r="D34" s="147" t="s">
        <v>2985</v>
      </c>
      <c r="E34" s="114" t="s">
        <v>2986</v>
      </c>
      <c r="F34" s="115" t="s">
        <v>1093</v>
      </c>
      <c r="G34" s="115" t="s">
        <v>1094</v>
      </c>
      <c r="H34" s="116">
        <v>13.7990751</v>
      </c>
      <c r="I34" s="116">
        <v>100.5482925</v>
      </c>
      <c r="J34" s="116" t="s">
        <v>969</v>
      </c>
      <c r="K34" s="116" t="s">
        <v>970</v>
      </c>
      <c r="L34" s="117" t="s">
        <v>2987</v>
      </c>
      <c r="M34" s="117">
        <v>95785937</v>
      </c>
      <c r="N34" s="121" t="s">
        <v>892</v>
      </c>
      <c r="O34" s="117" t="s">
        <v>995</v>
      </c>
      <c r="P34" s="117" t="s">
        <v>952</v>
      </c>
      <c r="Q34" s="125" t="s">
        <v>972</v>
      </c>
      <c r="R34" s="125" t="s">
        <v>972</v>
      </c>
      <c r="S34" s="125" t="s">
        <v>972</v>
      </c>
      <c r="T34" s="316" t="s">
        <v>5178</v>
      </c>
      <c r="U34" s="222"/>
      <c r="V34" s="222"/>
      <c r="W34" s="230"/>
      <c r="X34" s="331">
        <f t="shared" si="2"/>
        <v>0</v>
      </c>
      <c r="Y34" s="222"/>
      <c r="Z34" s="272">
        <f t="shared" si="0"/>
        <v>0</v>
      </c>
      <c r="AA34" s="331"/>
      <c r="AB34" s="331"/>
      <c r="AC34" s="331"/>
      <c r="AD34" s="331"/>
      <c r="AE34" s="331"/>
      <c r="AF34" s="331"/>
      <c r="AG34" s="331"/>
      <c r="AH34" s="241">
        <f t="shared" ca="1" si="1"/>
        <v>46153</v>
      </c>
      <c r="AI34" s="272"/>
      <c r="AJ34" s="222"/>
      <c r="AK34" s="222"/>
    </row>
    <row r="35" spans="1:37" ht="23" hidden="1">
      <c r="A35" s="111">
        <v>1060</v>
      </c>
      <c r="B35" s="112">
        <v>8</v>
      </c>
      <c r="C35" s="113" t="s">
        <v>3860</v>
      </c>
      <c r="D35" s="147" t="s">
        <v>3861</v>
      </c>
      <c r="E35" s="114" t="s">
        <v>3862</v>
      </c>
      <c r="F35" s="115" t="s">
        <v>1093</v>
      </c>
      <c r="G35" s="115" t="s">
        <v>1094</v>
      </c>
      <c r="H35" s="116">
        <v>13.799227</v>
      </c>
      <c r="I35" s="116">
        <v>100.54845400000001</v>
      </c>
      <c r="J35" s="116" t="s">
        <v>890</v>
      </c>
      <c r="K35" s="117" t="s">
        <v>2180</v>
      </c>
      <c r="L35" s="117" t="s">
        <v>2180</v>
      </c>
      <c r="M35" s="117">
        <v>96441518</v>
      </c>
      <c r="N35" s="117" t="s">
        <v>892</v>
      </c>
      <c r="O35" s="117" t="s">
        <v>995</v>
      </c>
      <c r="P35" s="117" t="s">
        <v>1876</v>
      </c>
      <c r="Q35" s="125" t="s">
        <v>972</v>
      </c>
      <c r="R35" s="119" t="s">
        <v>895</v>
      </c>
      <c r="S35" s="119" t="s">
        <v>895</v>
      </c>
      <c r="T35" s="222" t="s">
        <v>5178</v>
      </c>
      <c r="U35" s="222" t="s">
        <v>5292</v>
      </c>
      <c r="V35" s="241">
        <v>45128</v>
      </c>
      <c r="W35" s="230"/>
      <c r="X35" s="331">
        <f t="shared" si="2"/>
        <v>45128</v>
      </c>
      <c r="Y35" s="222"/>
      <c r="Z35" s="272" t="e">
        <f t="shared" si="0"/>
        <v>#NUM!</v>
      </c>
      <c r="AA35" s="331"/>
      <c r="AB35" s="331"/>
      <c r="AC35" s="331"/>
      <c r="AD35" s="331"/>
      <c r="AE35" s="331"/>
      <c r="AF35" s="331"/>
      <c r="AG35" s="331"/>
      <c r="AH35" s="241">
        <f t="shared" ca="1" si="1"/>
        <v>46153</v>
      </c>
      <c r="AI35" s="272"/>
      <c r="AJ35" s="222"/>
      <c r="AK35" s="222"/>
    </row>
    <row r="36" spans="1:37" ht="23" hidden="1">
      <c r="A36" s="111">
        <v>471</v>
      </c>
      <c r="B36" s="112">
        <v>12</v>
      </c>
      <c r="C36" s="122" t="s">
        <v>4126</v>
      </c>
      <c r="D36" s="147" t="s">
        <v>4127</v>
      </c>
      <c r="E36" s="123" t="s">
        <v>4128</v>
      </c>
      <c r="F36" s="116" t="s">
        <v>1093</v>
      </c>
      <c r="G36" s="116" t="s">
        <v>1094</v>
      </c>
      <c r="H36" s="116">
        <v>13.7986586</v>
      </c>
      <c r="I36" s="116">
        <v>100.5483187</v>
      </c>
      <c r="J36" s="116" t="s">
        <v>890</v>
      </c>
      <c r="K36" s="117" t="s">
        <v>2180</v>
      </c>
      <c r="L36" s="117" t="s">
        <v>2180</v>
      </c>
      <c r="M36" s="117">
        <v>95785937</v>
      </c>
      <c r="N36" s="117" t="s">
        <v>892</v>
      </c>
      <c r="O36" s="117" t="s">
        <v>995</v>
      </c>
      <c r="P36" s="117" t="s">
        <v>1876</v>
      </c>
      <c r="Q36" s="125" t="s">
        <v>972</v>
      </c>
      <c r="R36" s="119"/>
      <c r="S36" s="138" t="s">
        <v>4129</v>
      </c>
      <c r="T36" s="316" t="s">
        <v>5178</v>
      </c>
      <c r="U36" s="222"/>
      <c r="V36" s="222"/>
      <c r="W36" s="230"/>
      <c r="X36" s="331">
        <f t="shared" si="2"/>
        <v>0</v>
      </c>
      <c r="Y36" s="222"/>
      <c r="Z36" s="272">
        <f t="shared" si="0"/>
        <v>0</v>
      </c>
      <c r="AA36" s="331"/>
      <c r="AB36" s="331"/>
      <c r="AC36" s="331"/>
      <c r="AD36" s="331"/>
      <c r="AE36" s="331"/>
      <c r="AF36" s="331"/>
      <c r="AG36" s="331"/>
      <c r="AH36" s="241">
        <f t="shared" ca="1" si="1"/>
        <v>46153</v>
      </c>
      <c r="AI36" s="272"/>
      <c r="AJ36" s="222"/>
      <c r="AK36" s="222"/>
    </row>
    <row r="37" spans="1:37" ht="23.25" hidden="1" customHeight="1">
      <c r="A37" s="111">
        <v>905</v>
      </c>
      <c r="B37" s="112">
        <v>16</v>
      </c>
      <c r="C37" s="113" t="s">
        <v>3677</v>
      </c>
      <c r="D37" s="147" t="s">
        <v>3678</v>
      </c>
      <c r="E37" s="114" t="s">
        <v>3679</v>
      </c>
      <c r="F37" s="115" t="s">
        <v>3680</v>
      </c>
      <c r="G37" s="115" t="s">
        <v>3681</v>
      </c>
      <c r="H37" s="116">
        <v>13.736686000000001</v>
      </c>
      <c r="I37" s="116">
        <v>100.514792</v>
      </c>
      <c r="J37" s="115" t="s">
        <v>890</v>
      </c>
      <c r="K37" s="115" t="s">
        <v>891</v>
      </c>
      <c r="L37" s="115" t="s">
        <v>891</v>
      </c>
      <c r="M37" s="121">
        <v>97050773</v>
      </c>
      <c r="N37" s="121" t="s">
        <v>892</v>
      </c>
      <c r="O37" s="121" t="s">
        <v>1581</v>
      </c>
      <c r="P37" s="117" t="s">
        <v>894</v>
      </c>
      <c r="Q37" s="125" t="s">
        <v>972</v>
      </c>
      <c r="R37" s="119" t="s">
        <v>895</v>
      </c>
      <c r="S37" s="119" t="s">
        <v>895</v>
      </c>
      <c r="T37" s="222"/>
      <c r="U37" s="222"/>
      <c r="V37" s="222"/>
      <c r="W37" s="230"/>
      <c r="X37" s="331">
        <f t="shared" si="2"/>
        <v>0</v>
      </c>
      <c r="Y37" s="222"/>
      <c r="Z37" s="272">
        <f t="shared" si="0"/>
        <v>0</v>
      </c>
      <c r="AA37" s="331"/>
      <c r="AB37" s="331"/>
      <c r="AC37" s="331"/>
      <c r="AD37" s="331"/>
      <c r="AE37" s="331"/>
      <c r="AF37" s="331"/>
      <c r="AG37" s="331"/>
      <c r="AH37" s="241">
        <f t="shared" ca="1" si="1"/>
        <v>46153</v>
      </c>
      <c r="AI37" s="272"/>
      <c r="AJ37" s="222"/>
      <c r="AK37" s="222"/>
    </row>
    <row r="38" spans="1:37" ht="23.25" hidden="1" customHeight="1">
      <c r="A38" s="111">
        <v>904</v>
      </c>
      <c r="B38" s="128" t="s">
        <v>1155</v>
      </c>
      <c r="C38" s="113" t="s">
        <v>4360</v>
      </c>
      <c r="D38" s="147" t="s">
        <v>4361</v>
      </c>
      <c r="E38" s="123" t="s">
        <v>4362</v>
      </c>
      <c r="F38" s="116" t="s">
        <v>3680</v>
      </c>
      <c r="G38" s="116" t="s">
        <v>3681</v>
      </c>
      <c r="H38" s="116">
        <v>13.736685</v>
      </c>
      <c r="I38" s="116">
        <v>100.514768</v>
      </c>
      <c r="J38" s="116" t="s">
        <v>969</v>
      </c>
      <c r="K38" s="115" t="s">
        <v>970</v>
      </c>
      <c r="L38" s="118" t="s">
        <v>4363</v>
      </c>
      <c r="M38" s="117" t="s">
        <v>1347</v>
      </c>
      <c r="N38" s="121" t="s">
        <v>972</v>
      </c>
      <c r="O38" s="121" t="s">
        <v>1581</v>
      </c>
      <c r="P38" s="118" t="s">
        <v>894</v>
      </c>
      <c r="Q38" s="125" t="s">
        <v>972</v>
      </c>
      <c r="R38" s="125" t="s">
        <v>972</v>
      </c>
      <c r="S38" s="125" t="s">
        <v>972</v>
      </c>
      <c r="T38" s="222"/>
      <c r="U38" s="222"/>
      <c r="V38" s="222"/>
      <c r="W38" s="230"/>
      <c r="X38" s="331">
        <f t="shared" si="2"/>
        <v>0</v>
      </c>
      <c r="Y38" s="222"/>
      <c r="Z38" s="272">
        <f t="shared" si="0"/>
        <v>0</v>
      </c>
      <c r="AA38" s="331"/>
      <c r="AB38" s="331"/>
      <c r="AC38" s="331"/>
      <c r="AD38" s="331"/>
      <c r="AE38" s="331"/>
      <c r="AF38" s="331"/>
      <c r="AG38" s="331"/>
      <c r="AH38" s="241">
        <f t="shared" ca="1" si="1"/>
        <v>46153</v>
      </c>
      <c r="AI38" s="272"/>
      <c r="AJ38" s="222"/>
      <c r="AK38" s="222"/>
    </row>
    <row r="39" spans="1:37" ht="23.25" hidden="1" customHeight="1">
      <c r="A39" s="111">
        <v>695</v>
      </c>
      <c r="B39" s="112">
        <v>15</v>
      </c>
      <c r="C39" s="113" t="s">
        <v>1669</v>
      </c>
      <c r="D39" s="147" t="s">
        <v>1670</v>
      </c>
      <c r="E39" s="114" t="s">
        <v>1671</v>
      </c>
      <c r="F39" s="115" t="s">
        <v>1672</v>
      </c>
      <c r="G39" s="115" t="s">
        <v>1081</v>
      </c>
      <c r="H39" s="116">
        <v>13.788873000000001</v>
      </c>
      <c r="I39" s="116">
        <v>100.501479</v>
      </c>
      <c r="J39" s="116" t="s">
        <v>890</v>
      </c>
      <c r="K39" s="117" t="s">
        <v>891</v>
      </c>
      <c r="L39" s="117" t="s">
        <v>891</v>
      </c>
      <c r="M39" s="117">
        <v>96922588</v>
      </c>
      <c r="N39" s="120" t="s">
        <v>892</v>
      </c>
      <c r="O39" s="121" t="s">
        <v>893</v>
      </c>
      <c r="P39" s="117" t="s">
        <v>894</v>
      </c>
      <c r="Q39" s="118">
        <v>80057501</v>
      </c>
      <c r="R39" s="119" t="s">
        <v>895</v>
      </c>
      <c r="S39" s="119" t="s">
        <v>895</v>
      </c>
      <c r="T39" s="222"/>
      <c r="U39" s="222"/>
      <c r="V39" s="222"/>
      <c r="W39" s="230"/>
      <c r="X39" s="331">
        <f t="shared" si="2"/>
        <v>0</v>
      </c>
      <c r="Y39" s="222"/>
      <c r="Z39" s="272">
        <f t="shared" si="0"/>
        <v>0</v>
      </c>
      <c r="AA39" s="331"/>
      <c r="AB39" s="331"/>
      <c r="AC39" s="331"/>
      <c r="AD39" s="331"/>
      <c r="AE39" s="331"/>
      <c r="AF39" s="331"/>
      <c r="AG39" s="331"/>
      <c r="AH39" s="241">
        <f t="shared" ca="1" si="1"/>
        <v>46153</v>
      </c>
      <c r="AI39" s="272"/>
      <c r="AJ39" s="222"/>
      <c r="AK39" s="222"/>
    </row>
    <row r="40" spans="1:37" ht="23.25" hidden="1" customHeight="1">
      <c r="A40" s="111">
        <v>371</v>
      </c>
      <c r="B40" s="112">
        <v>14</v>
      </c>
      <c r="C40" s="113" t="s">
        <v>3044</v>
      </c>
      <c r="D40" s="147" t="s">
        <v>3045</v>
      </c>
      <c r="E40" s="114" t="s">
        <v>3046</v>
      </c>
      <c r="F40" s="115" t="s">
        <v>1672</v>
      </c>
      <c r="G40" s="115" t="s">
        <v>1081</v>
      </c>
      <c r="H40" s="116">
        <v>13.789379</v>
      </c>
      <c r="I40" s="116">
        <v>100.502094</v>
      </c>
      <c r="J40" s="115" t="s">
        <v>2108</v>
      </c>
      <c r="K40" s="117" t="s">
        <v>2109</v>
      </c>
      <c r="L40" s="117" t="s">
        <v>2110</v>
      </c>
      <c r="M40" s="121" t="s">
        <v>972</v>
      </c>
      <c r="N40" s="121" t="s">
        <v>972</v>
      </c>
      <c r="O40" s="121" t="s">
        <v>893</v>
      </c>
      <c r="P40" s="117" t="s">
        <v>894</v>
      </c>
      <c r="Q40" s="125" t="s">
        <v>972</v>
      </c>
      <c r="R40" s="125" t="s">
        <v>972</v>
      </c>
      <c r="S40" s="125" t="s">
        <v>972</v>
      </c>
      <c r="T40" s="222"/>
      <c r="U40" s="222"/>
      <c r="V40" s="222"/>
      <c r="W40" s="230"/>
      <c r="X40" s="331">
        <f t="shared" si="2"/>
        <v>0</v>
      </c>
      <c r="Y40" s="222"/>
      <c r="Z40" s="272">
        <f t="shared" si="0"/>
        <v>0</v>
      </c>
      <c r="AA40" s="331"/>
      <c r="AB40" s="331"/>
      <c r="AC40" s="331"/>
      <c r="AD40" s="331"/>
      <c r="AE40" s="331"/>
      <c r="AF40" s="331"/>
      <c r="AG40" s="331"/>
      <c r="AH40" s="241">
        <f t="shared" ca="1" si="1"/>
        <v>46153</v>
      </c>
      <c r="AI40" s="272"/>
      <c r="AJ40" s="222"/>
      <c r="AK40" s="222"/>
    </row>
    <row r="41" spans="1:37" ht="23" hidden="1">
      <c r="A41" s="111">
        <v>580</v>
      </c>
      <c r="B41" s="112" t="s">
        <v>1022</v>
      </c>
      <c r="C41" s="122" t="s">
        <v>3570</v>
      </c>
      <c r="D41" s="147" t="s">
        <v>3571</v>
      </c>
      <c r="E41" s="114" t="s">
        <v>3572</v>
      </c>
      <c r="F41" s="115" t="s">
        <v>1672</v>
      </c>
      <c r="G41" s="115" t="s">
        <v>1081</v>
      </c>
      <c r="H41" s="115">
        <v>13.788209200000001</v>
      </c>
      <c r="I41" s="115">
        <v>100.5004101</v>
      </c>
      <c r="J41" s="116" t="s">
        <v>2108</v>
      </c>
      <c r="K41" s="115" t="s">
        <v>2081</v>
      </c>
      <c r="L41" s="117" t="s">
        <v>3573</v>
      </c>
      <c r="M41" s="121" t="s">
        <v>972</v>
      </c>
      <c r="N41" s="121" t="s">
        <v>972</v>
      </c>
      <c r="O41" s="121" t="s">
        <v>893</v>
      </c>
      <c r="P41" s="117" t="s">
        <v>894</v>
      </c>
      <c r="Q41" s="125" t="s">
        <v>972</v>
      </c>
      <c r="R41" s="125" t="s">
        <v>972</v>
      </c>
      <c r="S41" s="125" t="s">
        <v>972</v>
      </c>
      <c r="T41" s="305" t="s">
        <v>5212</v>
      </c>
      <c r="U41" s="305" t="s">
        <v>5231</v>
      </c>
      <c r="V41" s="331">
        <v>45103</v>
      </c>
      <c r="W41" s="326">
        <v>4</v>
      </c>
      <c r="X41" s="331">
        <f t="shared" si="2"/>
        <v>45107</v>
      </c>
      <c r="Y41" s="331">
        <v>45107</v>
      </c>
      <c r="Z41" s="332">
        <f t="shared" si="0"/>
        <v>0</v>
      </c>
      <c r="AA41" s="331"/>
      <c r="AB41" s="331"/>
      <c r="AC41" s="331"/>
      <c r="AD41" s="331"/>
      <c r="AE41" s="331"/>
      <c r="AF41" s="331"/>
      <c r="AG41" s="331"/>
      <c r="AH41" s="331">
        <f t="shared" ca="1" si="1"/>
        <v>46153</v>
      </c>
      <c r="AI41" s="332"/>
      <c r="AJ41" s="312" t="s">
        <v>5143</v>
      </c>
      <c r="AK41" s="305"/>
    </row>
    <row r="42" spans="1:37" ht="23" hidden="1">
      <c r="A42" s="111">
        <v>590</v>
      </c>
      <c r="B42" s="112">
        <v>15</v>
      </c>
      <c r="C42" s="113" t="s">
        <v>1543</v>
      </c>
      <c r="D42" s="147" t="s">
        <v>1544</v>
      </c>
      <c r="E42" s="114" t="s">
        <v>1545</v>
      </c>
      <c r="F42" s="115" t="s">
        <v>1546</v>
      </c>
      <c r="G42" s="115" t="s">
        <v>1421</v>
      </c>
      <c r="H42" s="116">
        <v>13.708734</v>
      </c>
      <c r="I42" s="116">
        <v>100.515372</v>
      </c>
      <c r="J42" s="116" t="s">
        <v>890</v>
      </c>
      <c r="K42" s="117" t="s">
        <v>891</v>
      </c>
      <c r="L42" s="117" t="s">
        <v>891</v>
      </c>
      <c r="M42" s="117">
        <v>96898552</v>
      </c>
      <c r="N42" s="120" t="s">
        <v>892</v>
      </c>
      <c r="O42" s="120" t="s">
        <v>918</v>
      </c>
      <c r="P42" s="117" t="s">
        <v>894</v>
      </c>
      <c r="Q42" s="118">
        <v>80057501</v>
      </c>
      <c r="R42" s="119" t="s">
        <v>895</v>
      </c>
      <c r="S42" s="119" t="s">
        <v>895</v>
      </c>
      <c r="T42" s="222"/>
      <c r="U42" s="222"/>
      <c r="V42" s="222"/>
      <c r="W42" s="230"/>
      <c r="X42" s="331">
        <f t="shared" si="2"/>
        <v>0</v>
      </c>
      <c r="Y42" s="222"/>
      <c r="Z42" s="272">
        <f t="shared" si="0"/>
        <v>0</v>
      </c>
      <c r="AA42" s="331"/>
      <c r="AB42" s="331"/>
      <c r="AC42" s="331"/>
      <c r="AD42" s="331"/>
      <c r="AE42" s="331"/>
      <c r="AF42" s="331"/>
      <c r="AG42" s="331"/>
      <c r="AH42" s="241">
        <f t="shared" ca="1" si="1"/>
        <v>46153</v>
      </c>
      <c r="AI42" s="272"/>
      <c r="AJ42" s="222"/>
      <c r="AK42" s="222"/>
    </row>
    <row r="43" spans="1:37" ht="23" hidden="1">
      <c r="A43" s="111">
        <v>907</v>
      </c>
      <c r="B43" s="112">
        <v>11</v>
      </c>
      <c r="C43" s="113" t="s">
        <v>1857</v>
      </c>
      <c r="D43" s="147" t="s">
        <v>1858</v>
      </c>
      <c r="E43" s="114" t="s">
        <v>1859</v>
      </c>
      <c r="F43" s="115" t="s">
        <v>1546</v>
      </c>
      <c r="G43" s="115" t="s">
        <v>1451</v>
      </c>
      <c r="H43" s="116">
        <v>13.706954</v>
      </c>
      <c r="I43" s="116">
        <v>100.537229</v>
      </c>
      <c r="J43" s="116" t="s">
        <v>890</v>
      </c>
      <c r="K43" s="117" t="s">
        <v>891</v>
      </c>
      <c r="L43" s="117" t="s">
        <v>891</v>
      </c>
      <c r="M43" s="117">
        <v>96898550</v>
      </c>
      <c r="N43" s="120" t="s">
        <v>892</v>
      </c>
      <c r="O43" s="120" t="s">
        <v>918</v>
      </c>
      <c r="P43" s="117" t="s">
        <v>894</v>
      </c>
      <c r="Q43" s="118">
        <v>80057501</v>
      </c>
      <c r="R43" s="119" t="s">
        <v>895</v>
      </c>
      <c r="S43" s="119" t="s">
        <v>895</v>
      </c>
      <c r="T43" s="222"/>
      <c r="U43" s="222"/>
      <c r="V43" s="222"/>
      <c r="W43" s="230"/>
      <c r="X43" s="331">
        <f t="shared" si="2"/>
        <v>0</v>
      </c>
      <c r="Y43" s="222"/>
      <c r="Z43" s="272">
        <f t="shared" si="0"/>
        <v>0</v>
      </c>
      <c r="AA43" s="331"/>
      <c r="AB43" s="331"/>
      <c r="AC43" s="331"/>
      <c r="AD43" s="331"/>
      <c r="AE43" s="331"/>
      <c r="AF43" s="331"/>
      <c r="AG43" s="331"/>
      <c r="AH43" s="241">
        <f t="shared" ca="1" si="1"/>
        <v>46153</v>
      </c>
      <c r="AI43" s="272"/>
      <c r="AJ43" s="222"/>
      <c r="AK43" s="222"/>
    </row>
    <row r="44" spans="1:37" ht="23" hidden="1">
      <c r="A44" s="111">
        <v>1095</v>
      </c>
      <c r="B44" s="112">
        <v>14</v>
      </c>
      <c r="C44" s="113" t="s">
        <v>2038</v>
      </c>
      <c r="D44" s="147" t="s">
        <v>2039</v>
      </c>
      <c r="E44" s="114" t="s">
        <v>2040</v>
      </c>
      <c r="F44" s="115" t="s">
        <v>1546</v>
      </c>
      <c r="G44" s="115" t="s">
        <v>918</v>
      </c>
      <c r="H44" s="115">
        <v>13.705440599999999</v>
      </c>
      <c r="I44" s="115">
        <v>100.53185089999999</v>
      </c>
      <c r="J44" s="116" t="s">
        <v>890</v>
      </c>
      <c r="K44" s="117" t="s">
        <v>891</v>
      </c>
      <c r="L44" s="117" t="s">
        <v>891</v>
      </c>
      <c r="M44" s="117">
        <v>96898549</v>
      </c>
      <c r="N44" s="120" t="s">
        <v>892</v>
      </c>
      <c r="O44" s="120" t="s">
        <v>918</v>
      </c>
      <c r="P44" s="117" t="s">
        <v>894</v>
      </c>
      <c r="Q44" s="118">
        <v>80057501</v>
      </c>
      <c r="R44" s="119" t="s">
        <v>895</v>
      </c>
      <c r="S44" s="119" t="s">
        <v>895</v>
      </c>
      <c r="T44" s="222"/>
      <c r="U44" s="222"/>
      <c r="V44" s="222"/>
      <c r="W44" s="230"/>
      <c r="X44" s="331">
        <f t="shared" si="2"/>
        <v>0</v>
      </c>
      <c r="Y44" s="222"/>
      <c r="Z44" s="272">
        <f t="shared" si="0"/>
        <v>0</v>
      </c>
      <c r="AA44" s="331"/>
      <c r="AB44" s="331"/>
      <c r="AC44" s="331"/>
      <c r="AD44" s="331"/>
      <c r="AE44" s="331"/>
      <c r="AF44" s="331"/>
      <c r="AG44" s="331"/>
      <c r="AH44" s="241">
        <f t="shared" ca="1" si="1"/>
        <v>46153</v>
      </c>
      <c r="AI44" s="272"/>
      <c r="AJ44" s="222"/>
      <c r="AK44" s="222"/>
    </row>
    <row r="45" spans="1:37" ht="23.25" hidden="1" customHeight="1">
      <c r="A45" s="111">
        <v>476</v>
      </c>
      <c r="B45" s="112">
        <v>1</v>
      </c>
      <c r="C45" s="113" t="s">
        <v>3286</v>
      </c>
      <c r="D45" s="147" t="s">
        <v>3287</v>
      </c>
      <c r="E45" s="114" t="s">
        <v>3288</v>
      </c>
      <c r="F45" s="115" t="s">
        <v>3289</v>
      </c>
      <c r="G45" s="115" t="s">
        <v>990</v>
      </c>
      <c r="H45" s="116">
        <v>13.739997000000001</v>
      </c>
      <c r="I45" s="116">
        <v>100.51969200000001</v>
      </c>
      <c r="J45" s="115" t="s">
        <v>2108</v>
      </c>
      <c r="K45" s="117" t="s">
        <v>2109</v>
      </c>
      <c r="L45" s="117" t="s">
        <v>2110</v>
      </c>
      <c r="M45" s="121" t="s">
        <v>972</v>
      </c>
      <c r="N45" s="121" t="s">
        <v>972</v>
      </c>
      <c r="O45" s="121" t="s">
        <v>984</v>
      </c>
      <c r="P45" s="117" t="s">
        <v>1876</v>
      </c>
      <c r="Q45" s="125" t="s">
        <v>972</v>
      </c>
      <c r="R45" s="125" t="s">
        <v>972</v>
      </c>
      <c r="S45" s="125" t="s">
        <v>972</v>
      </c>
      <c r="T45" s="222"/>
      <c r="U45" s="222"/>
      <c r="V45" s="222"/>
      <c r="W45" s="230"/>
      <c r="X45" s="331">
        <f t="shared" si="2"/>
        <v>0</v>
      </c>
      <c r="Y45" s="222"/>
      <c r="Z45" s="272">
        <f t="shared" si="0"/>
        <v>0</v>
      </c>
      <c r="AA45" s="331"/>
      <c r="AB45" s="331"/>
      <c r="AC45" s="331"/>
      <c r="AD45" s="331"/>
      <c r="AE45" s="331"/>
      <c r="AF45" s="331"/>
      <c r="AG45" s="331"/>
      <c r="AH45" s="241">
        <f t="shared" ca="1" si="1"/>
        <v>46153</v>
      </c>
      <c r="AI45" s="272"/>
      <c r="AJ45" s="222"/>
      <c r="AK45" s="222"/>
    </row>
    <row r="46" spans="1:37" ht="23.25" hidden="1" customHeight="1">
      <c r="A46" s="111">
        <v>724</v>
      </c>
      <c r="B46" s="112" t="s">
        <v>1569</v>
      </c>
      <c r="C46" s="113" t="s">
        <v>3919</v>
      </c>
      <c r="D46" s="147" t="s">
        <v>3920</v>
      </c>
      <c r="E46" s="114" t="s">
        <v>3921</v>
      </c>
      <c r="F46" s="115" t="s">
        <v>3922</v>
      </c>
      <c r="G46" s="115" t="s">
        <v>990</v>
      </c>
      <c r="H46" s="116">
        <v>13.742827999999999</v>
      </c>
      <c r="I46" s="116">
        <v>100.5296338</v>
      </c>
      <c r="J46" s="116" t="s">
        <v>2097</v>
      </c>
      <c r="K46" s="116" t="s">
        <v>2097</v>
      </c>
      <c r="L46" s="117" t="s">
        <v>2132</v>
      </c>
      <c r="M46" s="116" t="s">
        <v>1347</v>
      </c>
      <c r="N46" s="121" t="s">
        <v>1050</v>
      </c>
      <c r="O46" s="121" t="s">
        <v>984</v>
      </c>
      <c r="P46" s="117" t="s">
        <v>902</v>
      </c>
      <c r="Q46" s="125" t="s">
        <v>972</v>
      </c>
      <c r="R46" s="125" t="s">
        <v>972</v>
      </c>
      <c r="S46" s="125" t="s">
        <v>972</v>
      </c>
      <c r="T46" s="222"/>
      <c r="U46" s="222"/>
      <c r="V46" s="222"/>
      <c r="W46" s="230"/>
      <c r="X46" s="331">
        <f t="shared" si="2"/>
        <v>0</v>
      </c>
      <c r="Y46" s="222"/>
      <c r="Z46" s="272">
        <f t="shared" si="0"/>
        <v>0</v>
      </c>
      <c r="AA46" s="331"/>
      <c r="AB46" s="331"/>
      <c r="AC46" s="331"/>
      <c r="AD46" s="331"/>
      <c r="AE46" s="331"/>
      <c r="AF46" s="331"/>
      <c r="AG46" s="331"/>
      <c r="AH46" s="241">
        <f t="shared" ca="1" si="1"/>
        <v>46153</v>
      </c>
      <c r="AI46" s="272"/>
      <c r="AJ46" s="222"/>
      <c r="AK46" s="222"/>
    </row>
    <row r="47" spans="1:37" ht="23" hidden="1">
      <c r="A47" s="111">
        <v>683</v>
      </c>
      <c r="B47" s="112" t="s">
        <v>1114</v>
      </c>
      <c r="C47" s="122" t="s">
        <v>1646</v>
      </c>
      <c r="D47" s="147" t="s">
        <v>1647</v>
      </c>
      <c r="E47" s="123" t="s">
        <v>1648</v>
      </c>
      <c r="F47" s="116" t="s">
        <v>1649</v>
      </c>
      <c r="G47" s="116" t="s">
        <v>1542</v>
      </c>
      <c r="H47" s="116">
        <v>13.719551600000001</v>
      </c>
      <c r="I47" s="116">
        <v>100.5155027</v>
      </c>
      <c r="J47" s="116" t="s">
        <v>890</v>
      </c>
      <c r="K47" s="117" t="s">
        <v>891</v>
      </c>
      <c r="L47" s="117" t="s">
        <v>891</v>
      </c>
      <c r="M47" s="117">
        <v>96898548</v>
      </c>
      <c r="N47" s="120" t="s">
        <v>892</v>
      </c>
      <c r="O47" s="120" t="s">
        <v>918</v>
      </c>
      <c r="P47" s="117" t="s">
        <v>894</v>
      </c>
      <c r="Q47" s="125" t="s">
        <v>972</v>
      </c>
      <c r="R47" s="119" t="s">
        <v>895</v>
      </c>
      <c r="S47" s="119" t="s">
        <v>895</v>
      </c>
      <c r="T47" s="222"/>
      <c r="U47" s="222"/>
      <c r="V47" s="222"/>
      <c r="W47" s="230"/>
      <c r="X47" s="331">
        <f t="shared" si="2"/>
        <v>0</v>
      </c>
      <c r="Y47" s="222"/>
      <c r="Z47" s="272">
        <f t="shared" si="0"/>
        <v>0</v>
      </c>
      <c r="AA47" s="331"/>
      <c r="AB47" s="331"/>
      <c r="AC47" s="331"/>
      <c r="AD47" s="331"/>
      <c r="AE47" s="331"/>
      <c r="AF47" s="331"/>
      <c r="AG47" s="331"/>
      <c r="AH47" s="241">
        <f t="shared" ca="1" si="1"/>
        <v>46153</v>
      </c>
      <c r="AI47" s="272"/>
      <c r="AJ47" s="222"/>
      <c r="AK47" s="222"/>
    </row>
    <row r="48" spans="1:37" ht="23" hidden="1">
      <c r="A48" s="111">
        <v>956</v>
      </c>
      <c r="B48" s="112">
        <v>11</v>
      </c>
      <c r="C48" s="113" t="s">
        <v>1889</v>
      </c>
      <c r="D48" s="147" t="s">
        <v>1890</v>
      </c>
      <c r="E48" s="114" t="s">
        <v>1891</v>
      </c>
      <c r="F48" s="115" t="s">
        <v>1649</v>
      </c>
      <c r="G48" s="115" t="s">
        <v>1421</v>
      </c>
      <c r="H48" s="115">
        <v>13.69792</v>
      </c>
      <c r="I48" s="115">
        <v>100.49776009999999</v>
      </c>
      <c r="J48" s="116" t="s">
        <v>890</v>
      </c>
      <c r="K48" s="117" t="s">
        <v>891</v>
      </c>
      <c r="L48" s="118" t="s">
        <v>891</v>
      </c>
      <c r="M48" s="117">
        <v>96898547</v>
      </c>
      <c r="N48" s="120" t="s">
        <v>892</v>
      </c>
      <c r="O48" s="120" t="s">
        <v>918</v>
      </c>
      <c r="P48" s="118" t="s">
        <v>894</v>
      </c>
      <c r="Q48" s="118">
        <v>80057501</v>
      </c>
      <c r="R48" s="119" t="s">
        <v>895</v>
      </c>
      <c r="S48" s="119" t="s">
        <v>895</v>
      </c>
      <c r="T48" s="222"/>
      <c r="U48" s="222"/>
      <c r="V48" s="222"/>
      <c r="W48" s="230"/>
      <c r="X48" s="331">
        <f t="shared" si="2"/>
        <v>0</v>
      </c>
      <c r="Y48" s="222"/>
      <c r="Z48" s="272">
        <f t="shared" si="0"/>
        <v>0</v>
      </c>
      <c r="AA48" s="331"/>
      <c r="AB48" s="331"/>
      <c r="AC48" s="331"/>
      <c r="AD48" s="331"/>
      <c r="AE48" s="331"/>
      <c r="AF48" s="331"/>
      <c r="AG48" s="331"/>
      <c r="AH48" s="241">
        <f t="shared" ca="1" si="1"/>
        <v>46153</v>
      </c>
      <c r="AI48" s="272"/>
      <c r="AJ48" s="222"/>
      <c r="AK48" s="222"/>
    </row>
    <row r="49" spans="1:37" ht="23" hidden="1">
      <c r="A49" s="111">
        <v>83</v>
      </c>
      <c r="B49" s="112" t="s">
        <v>979</v>
      </c>
      <c r="C49" s="122" t="s">
        <v>980</v>
      </c>
      <c r="D49" s="147" t="s">
        <v>981</v>
      </c>
      <c r="E49" s="114" t="s">
        <v>982</v>
      </c>
      <c r="F49" s="115" t="s">
        <v>968</v>
      </c>
      <c r="G49" s="115" t="s">
        <v>983</v>
      </c>
      <c r="H49" s="116">
        <v>13.763033399999999</v>
      </c>
      <c r="I49" s="116">
        <v>100.54375</v>
      </c>
      <c r="J49" s="116" t="s">
        <v>890</v>
      </c>
      <c r="K49" s="117" t="s">
        <v>891</v>
      </c>
      <c r="L49" s="117" t="s">
        <v>891</v>
      </c>
      <c r="M49" s="117">
        <v>96894799</v>
      </c>
      <c r="N49" s="120" t="s">
        <v>892</v>
      </c>
      <c r="O49" s="121" t="s">
        <v>984</v>
      </c>
      <c r="P49" s="117" t="s">
        <v>902</v>
      </c>
      <c r="Q49" s="118">
        <v>80057501</v>
      </c>
      <c r="R49" s="119" t="s">
        <v>895</v>
      </c>
      <c r="S49" s="119" t="s">
        <v>895</v>
      </c>
      <c r="T49" s="312" t="s">
        <v>5212</v>
      </c>
      <c r="U49" s="312" t="s">
        <v>5205</v>
      </c>
      <c r="V49" s="329">
        <v>45006</v>
      </c>
      <c r="W49" s="326">
        <v>4</v>
      </c>
      <c r="X49" s="331">
        <f t="shared" si="2"/>
        <v>45010</v>
      </c>
      <c r="Y49" s="329">
        <v>45010</v>
      </c>
      <c r="Z49" s="332">
        <f t="shared" si="0"/>
        <v>0</v>
      </c>
      <c r="AA49" s="331"/>
      <c r="AB49" s="331"/>
      <c r="AC49" s="331"/>
      <c r="AD49" s="331"/>
      <c r="AE49" s="331"/>
      <c r="AF49" s="331"/>
      <c r="AG49" s="331"/>
      <c r="AH49" s="329">
        <f t="shared" ca="1" si="1"/>
        <v>46153</v>
      </c>
      <c r="AI49" s="330"/>
      <c r="AJ49" s="312" t="s">
        <v>5143</v>
      </c>
      <c r="AK49" s="312" t="s">
        <v>5149</v>
      </c>
    </row>
    <row r="50" spans="1:37" ht="23" hidden="1">
      <c r="A50" s="111">
        <v>260</v>
      </c>
      <c r="B50" s="112">
        <v>7</v>
      </c>
      <c r="C50" s="113" t="s">
        <v>1175</v>
      </c>
      <c r="D50" s="147" t="s">
        <v>1176</v>
      </c>
      <c r="E50" s="114" t="s">
        <v>1177</v>
      </c>
      <c r="F50" s="115" t="s">
        <v>968</v>
      </c>
      <c r="G50" s="115" t="s">
        <v>968</v>
      </c>
      <c r="H50" s="117">
        <v>13.761198200000001</v>
      </c>
      <c r="I50" s="117">
        <v>100.5532616</v>
      </c>
      <c r="J50" s="116" t="s">
        <v>890</v>
      </c>
      <c r="K50" s="117" t="s">
        <v>891</v>
      </c>
      <c r="L50" s="117" t="s">
        <v>891</v>
      </c>
      <c r="M50" s="117">
        <v>96891129</v>
      </c>
      <c r="N50" s="120" t="s">
        <v>892</v>
      </c>
      <c r="O50" s="121" t="s">
        <v>984</v>
      </c>
      <c r="P50" s="117" t="s">
        <v>902</v>
      </c>
      <c r="Q50" s="118">
        <v>80057501</v>
      </c>
      <c r="R50" s="119" t="s">
        <v>895</v>
      </c>
      <c r="S50" s="119" t="s">
        <v>895</v>
      </c>
      <c r="T50" s="222"/>
      <c r="U50" s="222"/>
      <c r="V50" s="222"/>
      <c r="W50" s="230"/>
      <c r="X50" s="331">
        <f t="shared" si="2"/>
        <v>0</v>
      </c>
      <c r="Y50" s="222"/>
      <c r="Z50" s="272">
        <f t="shared" si="0"/>
        <v>0</v>
      </c>
      <c r="AA50" s="331"/>
      <c r="AB50" s="331"/>
      <c r="AC50" s="331"/>
      <c r="AD50" s="331"/>
      <c r="AE50" s="331"/>
      <c r="AF50" s="331"/>
      <c r="AG50" s="331"/>
      <c r="AH50" s="241">
        <f t="shared" ca="1" si="1"/>
        <v>46153</v>
      </c>
      <c r="AI50" s="272"/>
      <c r="AJ50" s="222"/>
      <c r="AK50" s="222"/>
    </row>
    <row r="51" spans="1:37" ht="23" hidden="1">
      <c r="A51" s="111">
        <v>397</v>
      </c>
      <c r="B51" s="112">
        <v>6</v>
      </c>
      <c r="C51" s="113" t="s">
        <v>1352</v>
      </c>
      <c r="D51" s="147" t="s">
        <v>1353</v>
      </c>
      <c r="E51" s="114" t="s">
        <v>1354</v>
      </c>
      <c r="F51" s="115" t="s">
        <v>968</v>
      </c>
      <c r="G51" s="115" t="s">
        <v>968</v>
      </c>
      <c r="H51" s="116">
        <v>13.756598</v>
      </c>
      <c r="I51" s="116">
        <v>100.55859390000001</v>
      </c>
      <c r="J51" s="116" t="s">
        <v>890</v>
      </c>
      <c r="K51" s="117" t="s">
        <v>891</v>
      </c>
      <c r="L51" s="117" t="s">
        <v>891</v>
      </c>
      <c r="M51" s="117">
        <v>96894806</v>
      </c>
      <c r="N51" s="120" t="s">
        <v>892</v>
      </c>
      <c r="O51" s="121" t="s">
        <v>984</v>
      </c>
      <c r="P51" s="117" t="s">
        <v>902</v>
      </c>
      <c r="Q51" s="118">
        <v>80057501</v>
      </c>
      <c r="R51" s="119" t="s">
        <v>895</v>
      </c>
      <c r="S51" s="119" t="s">
        <v>895</v>
      </c>
      <c r="T51" s="222"/>
      <c r="U51" s="222"/>
      <c r="V51" s="222"/>
      <c r="W51" s="230"/>
      <c r="X51" s="331">
        <f t="shared" si="2"/>
        <v>0</v>
      </c>
      <c r="Y51" s="222"/>
      <c r="Z51" s="272">
        <f t="shared" si="0"/>
        <v>0</v>
      </c>
      <c r="AA51" s="331"/>
      <c r="AB51" s="331"/>
      <c r="AC51" s="331"/>
      <c r="AD51" s="331"/>
      <c r="AE51" s="331"/>
      <c r="AF51" s="331"/>
      <c r="AG51" s="331"/>
      <c r="AH51" s="241">
        <f t="shared" ca="1" si="1"/>
        <v>46153</v>
      </c>
      <c r="AI51" s="272"/>
      <c r="AJ51" s="222"/>
      <c r="AK51" s="222"/>
    </row>
    <row r="52" spans="1:37" ht="23" hidden="1">
      <c r="A52" s="111">
        <v>537</v>
      </c>
      <c r="B52" s="112">
        <v>11</v>
      </c>
      <c r="C52" s="122" t="s">
        <v>1489</v>
      </c>
      <c r="D52" s="147" t="s">
        <v>1490</v>
      </c>
      <c r="E52" s="114" t="s">
        <v>1491</v>
      </c>
      <c r="F52" s="115" t="s">
        <v>968</v>
      </c>
      <c r="G52" s="115" t="s">
        <v>968</v>
      </c>
      <c r="H52" s="116">
        <v>13.762926999999999</v>
      </c>
      <c r="I52" s="116">
        <v>100.54422099999999</v>
      </c>
      <c r="J52" s="116" t="s">
        <v>890</v>
      </c>
      <c r="K52" s="117" t="s">
        <v>891</v>
      </c>
      <c r="L52" s="117" t="s">
        <v>891</v>
      </c>
      <c r="M52" s="117">
        <v>96895434</v>
      </c>
      <c r="N52" s="120" t="s">
        <v>892</v>
      </c>
      <c r="O52" s="121" t="s">
        <v>984</v>
      </c>
      <c r="P52" s="117" t="s">
        <v>902</v>
      </c>
      <c r="Q52" s="118">
        <v>80057501</v>
      </c>
      <c r="R52" s="119" t="s">
        <v>895</v>
      </c>
      <c r="S52" s="119" t="s">
        <v>895</v>
      </c>
      <c r="T52" s="222"/>
      <c r="U52" s="222"/>
      <c r="V52" s="222"/>
      <c r="W52" s="230"/>
      <c r="X52" s="331">
        <f t="shared" si="2"/>
        <v>0</v>
      </c>
      <c r="Y52" s="222"/>
      <c r="Z52" s="272">
        <f t="shared" si="0"/>
        <v>0</v>
      </c>
      <c r="AA52" s="331"/>
      <c r="AB52" s="331"/>
      <c r="AC52" s="331"/>
      <c r="AD52" s="331"/>
      <c r="AE52" s="331"/>
      <c r="AF52" s="331"/>
      <c r="AG52" s="331"/>
      <c r="AH52" s="241">
        <f t="shared" ca="1" si="1"/>
        <v>46153</v>
      </c>
      <c r="AI52" s="272"/>
      <c r="AJ52" s="222"/>
      <c r="AK52" s="222"/>
    </row>
    <row r="53" spans="1:37" ht="23" hidden="1">
      <c r="A53" s="111">
        <v>562</v>
      </c>
      <c r="B53" s="112" t="s">
        <v>1459</v>
      </c>
      <c r="C53" s="122" t="s">
        <v>1523</v>
      </c>
      <c r="D53" s="147" t="s">
        <v>1524</v>
      </c>
      <c r="E53" s="114" t="s">
        <v>1525</v>
      </c>
      <c r="F53" s="115" t="s">
        <v>968</v>
      </c>
      <c r="G53" s="115" t="s">
        <v>983</v>
      </c>
      <c r="H53" s="116">
        <v>13.7636126</v>
      </c>
      <c r="I53" s="116">
        <v>100.5456418</v>
      </c>
      <c r="J53" s="116" t="s">
        <v>890</v>
      </c>
      <c r="K53" s="117" t="s">
        <v>891</v>
      </c>
      <c r="L53" s="117" t="s">
        <v>891</v>
      </c>
      <c r="M53" s="117">
        <v>96895435</v>
      </c>
      <c r="N53" s="120" t="s">
        <v>892</v>
      </c>
      <c r="O53" s="121" t="s">
        <v>984</v>
      </c>
      <c r="P53" s="117" t="s">
        <v>902</v>
      </c>
      <c r="Q53" s="118">
        <v>80057501</v>
      </c>
      <c r="R53" s="119" t="s">
        <v>895</v>
      </c>
      <c r="S53" s="119" t="s">
        <v>895</v>
      </c>
      <c r="T53" s="222"/>
      <c r="U53" s="222"/>
      <c r="V53" s="222"/>
      <c r="W53" s="230"/>
      <c r="X53" s="331">
        <f t="shared" si="2"/>
        <v>0</v>
      </c>
      <c r="Y53" s="222"/>
      <c r="Z53" s="272">
        <f t="shared" si="0"/>
        <v>0</v>
      </c>
      <c r="AA53" s="331"/>
      <c r="AB53" s="331"/>
      <c r="AC53" s="331"/>
      <c r="AD53" s="331"/>
      <c r="AE53" s="331"/>
      <c r="AF53" s="331"/>
      <c r="AG53" s="331"/>
      <c r="AH53" s="241">
        <f t="shared" ca="1" si="1"/>
        <v>46153</v>
      </c>
      <c r="AI53" s="272"/>
      <c r="AJ53" s="222"/>
      <c r="AK53" s="222"/>
    </row>
    <row r="54" spans="1:37" ht="23" hidden="1">
      <c r="A54" s="111">
        <v>1003</v>
      </c>
      <c r="B54" s="112" t="s">
        <v>1553</v>
      </c>
      <c r="C54" s="122" t="s">
        <v>1936</v>
      </c>
      <c r="D54" s="147" t="s">
        <v>1937</v>
      </c>
      <c r="E54" s="123" t="s">
        <v>1938</v>
      </c>
      <c r="F54" s="116" t="s">
        <v>968</v>
      </c>
      <c r="G54" s="116" t="s">
        <v>983</v>
      </c>
      <c r="H54" s="116">
        <v>13.7640239</v>
      </c>
      <c r="I54" s="116">
        <v>100.54704270000001</v>
      </c>
      <c r="J54" s="116" t="s">
        <v>890</v>
      </c>
      <c r="K54" s="117" t="s">
        <v>891</v>
      </c>
      <c r="L54" s="117" t="s">
        <v>891</v>
      </c>
      <c r="M54" s="117">
        <v>96895440</v>
      </c>
      <c r="N54" s="120" t="s">
        <v>892</v>
      </c>
      <c r="O54" s="121" t="s">
        <v>984</v>
      </c>
      <c r="P54" s="117" t="s">
        <v>902</v>
      </c>
      <c r="Q54" s="118">
        <v>80057501</v>
      </c>
      <c r="R54" s="119" t="s">
        <v>895</v>
      </c>
      <c r="S54" s="119" t="s">
        <v>895</v>
      </c>
      <c r="T54" s="222"/>
      <c r="U54" s="222"/>
      <c r="V54" s="222"/>
      <c r="W54" s="230"/>
      <c r="X54" s="331">
        <f t="shared" si="2"/>
        <v>0</v>
      </c>
      <c r="Y54" s="222"/>
      <c r="Z54" s="272">
        <f t="shared" si="0"/>
        <v>0</v>
      </c>
      <c r="AA54" s="331"/>
      <c r="AB54" s="331"/>
      <c r="AC54" s="331"/>
      <c r="AD54" s="331"/>
      <c r="AE54" s="331"/>
      <c r="AF54" s="331"/>
      <c r="AG54" s="331"/>
      <c r="AH54" s="241">
        <f t="shared" ca="1" si="1"/>
        <v>46153</v>
      </c>
      <c r="AI54" s="272"/>
      <c r="AJ54" s="222"/>
      <c r="AK54" s="222"/>
    </row>
    <row r="55" spans="1:37" ht="23" hidden="1">
      <c r="A55" s="111">
        <v>1134</v>
      </c>
      <c r="B55" s="112">
        <v>15</v>
      </c>
      <c r="C55" s="113" t="s">
        <v>2065</v>
      </c>
      <c r="D55" s="147" t="s">
        <v>2066</v>
      </c>
      <c r="E55" s="114" t="s">
        <v>2067</v>
      </c>
      <c r="F55" s="115" t="s">
        <v>968</v>
      </c>
      <c r="G55" s="115" t="s">
        <v>968</v>
      </c>
      <c r="H55" s="116">
        <v>13.755979999999999</v>
      </c>
      <c r="I55" s="116">
        <v>100.56446800000001</v>
      </c>
      <c r="J55" s="116" t="s">
        <v>890</v>
      </c>
      <c r="K55" s="117" t="s">
        <v>891</v>
      </c>
      <c r="L55" s="117" t="s">
        <v>891</v>
      </c>
      <c r="M55" s="117">
        <v>96895445</v>
      </c>
      <c r="N55" s="120" t="s">
        <v>892</v>
      </c>
      <c r="O55" s="121" t="s">
        <v>984</v>
      </c>
      <c r="P55" s="117" t="s">
        <v>902</v>
      </c>
      <c r="Q55" s="118">
        <v>80057501</v>
      </c>
      <c r="R55" s="119" t="s">
        <v>895</v>
      </c>
      <c r="S55" s="119" t="s">
        <v>895</v>
      </c>
      <c r="T55" s="222"/>
      <c r="U55" s="222"/>
      <c r="V55" s="222"/>
      <c r="W55" s="230"/>
      <c r="X55" s="331">
        <f t="shared" si="2"/>
        <v>0</v>
      </c>
      <c r="Y55" s="222"/>
      <c r="Z55" s="272">
        <f t="shared" si="0"/>
        <v>0</v>
      </c>
      <c r="AA55" s="331"/>
      <c r="AB55" s="331"/>
      <c r="AC55" s="331"/>
      <c r="AD55" s="331"/>
      <c r="AE55" s="331"/>
      <c r="AF55" s="331"/>
      <c r="AG55" s="331"/>
      <c r="AH55" s="241">
        <f t="shared" ca="1" si="1"/>
        <v>46153</v>
      </c>
      <c r="AI55" s="272"/>
      <c r="AJ55" s="222"/>
      <c r="AK55" s="222"/>
    </row>
    <row r="56" spans="1:37" ht="23.25" hidden="1" customHeight="1">
      <c r="A56" s="111">
        <v>14</v>
      </c>
      <c r="B56" s="112">
        <v>9</v>
      </c>
      <c r="C56" s="122" t="s">
        <v>2121</v>
      </c>
      <c r="D56" s="147" t="s">
        <v>2122</v>
      </c>
      <c r="E56" s="114" t="s">
        <v>2123</v>
      </c>
      <c r="F56" s="115" t="s">
        <v>968</v>
      </c>
      <c r="G56" s="115" t="s">
        <v>968</v>
      </c>
      <c r="H56" s="116">
        <v>13.7637003</v>
      </c>
      <c r="I56" s="116">
        <v>100.54697400000001</v>
      </c>
      <c r="J56" s="116" t="s">
        <v>2097</v>
      </c>
      <c r="K56" s="116" t="s">
        <v>2097</v>
      </c>
      <c r="L56" s="117" t="s">
        <v>2124</v>
      </c>
      <c r="M56" s="121" t="s">
        <v>972</v>
      </c>
      <c r="N56" s="121" t="s">
        <v>892</v>
      </c>
      <c r="O56" s="121" t="s">
        <v>984</v>
      </c>
      <c r="P56" s="117" t="s">
        <v>902</v>
      </c>
      <c r="Q56" s="125" t="s">
        <v>972</v>
      </c>
      <c r="R56" s="125" t="s">
        <v>972</v>
      </c>
      <c r="S56" s="125" t="s">
        <v>972</v>
      </c>
      <c r="T56" s="222"/>
      <c r="U56" s="222"/>
      <c r="V56" s="222"/>
      <c r="W56" s="230"/>
      <c r="X56" s="331">
        <f t="shared" si="2"/>
        <v>0</v>
      </c>
      <c r="Y56" s="222"/>
      <c r="Z56" s="272">
        <f t="shared" si="0"/>
        <v>0</v>
      </c>
      <c r="AA56" s="331"/>
      <c r="AB56" s="331"/>
      <c r="AC56" s="331"/>
      <c r="AD56" s="331"/>
      <c r="AE56" s="331"/>
      <c r="AF56" s="331"/>
      <c r="AG56" s="331"/>
      <c r="AH56" s="241">
        <f t="shared" ca="1" si="1"/>
        <v>46153</v>
      </c>
      <c r="AI56" s="272"/>
      <c r="AJ56" s="222"/>
      <c r="AK56" s="222"/>
    </row>
    <row r="57" spans="1:37" ht="23.25" hidden="1" customHeight="1">
      <c r="A57" s="111">
        <v>60</v>
      </c>
      <c r="B57" s="112">
        <v>5</v>
      </c>
      <c r="C57" s="122" t="s">
        <v>2247</v>
      </c>
      <c r="D57" s="147" t="s">
        <v>2248</v>
      </c>
      <c r="E57" s="114" t="s">
        <v>2249</v>
      </c>
      <c r="F57" s="115" t="s">
        <v>968</v>
      </c>
      <c r="G57" s="115" t="s">
        <v>968</v>
      </c>
      <c r="H57" s="116">
        <v>13.7627811</v>
      </c>
      <c r="I57" s="116">
        <v>100.5504523</v>
      </c>
      <c r="J57" s="116" t="s">
        <v>969</v>
      </c>
      <c r="K57" s="115" t="s">
        <v>1048</v>
      </c>
      <c r="L57" s="117" t="s">
        <v>2250</v>
      </c>
      <c r="M57" s="121">
        <v>96927292</v>
      </c>
      <c r="N57" s="121" t="s">
        <v>892</v>
      </c>
      <c r="O57" s="121" t="s">
        <v>984</v>
      </c>
      <c r="P57" s="117" t="s">
        <v>902</v>
      </c>
      <c r="Q57" s="125" t="s">
        <v>972</v>
      </c>
      <c r="R57" s="125" t="s">
        <v>972</v>
      </c>
      <c r="S57" s="125" t="s">
        <v>972</v>
      </c>
      <c r="T57" s="222"/>
      <c r="U57" s="222"/>
      <c r="V57" s="222"/>
      <c r="W57" s="230"/>
      <c r="X57" s="331">
        <f t="shared" si="2"/>
        <v>0</v>
      </c>
      <c r="Y57" s="222"/>
      <c r="Z57" s="272">
        <f t="shared" si="0"/>
        <v>0</v>
      </c>
      <c r="AA57" s="331"/>
      <c r="AB57" s="331"/>
      <c r="AC57" s="331"/>
      <c r="AD57" s="331"/>
      <c r="AE57" s="331"/>
      <c r="AF57" s="331"/>
      <c r="AG57" s="331"/>
      <c r="AH57" s="241">
        <f t="shared" ca="1" si="1"/>
        <v>46153</v>
      </c>
      <c r="AI57" s="272"/>
      <c r="AJ57" s="222"/>
      <c r="AK57" s="222"/>
    </row>
    <row r="58" spans="1:37" ht="23.25" hidden="1" customHeight="1">
      <c r="A58" s="111">
        <v>61</v>
      </c>
      <c r="B58" s="112">
        <v>2</v>
      </c>
      <c r="C58" s="122" t="s">
        <v>2251</v>
      </c>
      <c r="D58" s="147" t="s">
        <v>2252</v>
      </c>
      <c r="E58" s="123" t="s">
        <v>2253</v>
      </c>
      <c r="F58" s="115" t="s">
        <v>968</v>
      </c>
      <c r="G58" s="115" t="s">
        <v>968</v>
      </c>
      <c r="H58" s="116">
        <v>13.762293</v>
      </c>
      <c r="I58" s="116">
        <v>100.55143</v>
      </c>
      <c r="J58" s="116" t="s">
        <v>969</v>
      </c>
      <c r="K58" s="115" t="s">
        <v>1048</v>
      </c>
      <c r="L58" s="117" t="s">
        <v>2250</v>
      </c>
      <c r="M58" s="117">
        <v>96927292</v>
      </c>
      <c r="N58" s="121" t="s">
        <v>892</v>
      </c>
      <c r="O58" s="121" t="s">
        <v>984</v>
      </c>
      <c r="P58" s="117" t="s">
        <v>1876</v>
      </c>
      <c r="Q58" s="125" t="s">
        <v>972</v>
      </c>
      <c r="R58" s="125" t="s">
        <v>972</v>
      </c>
      <c r="S58" s="125" t="s">
        <v>972</v>
      </c>
      <c r="T58" s="222"/>
      <c r="U58" s="222"/>
      <c r="V58" s="222"/>
      <c r="W58" s="230"/>
      <c r="X58" s="331">
        <f t="shared" si="2"/>
        <v>0</v>
      </c>
      <c r="Y58" s="222"/>
      <c r="Z58" s="272">
        <f t="shared" si="0"/>
        <v>0</v>
      </c>
      <c r="AA58" s="331"/>
      <c r="AB58" s="331"/>
      <c r="AC58" s="331"/>
      <c r="AD58" s="331"/>
      <c r="AE58" s="331"/>
      <c r="AF58" s="331"/>
      <c r="AG58" s="331"/>
      <c r="AH58" s="241">
        <f t="shared" ca="1" si="1"/>
        <v>46153</v>
      </c>
      <c r="AI58" s="272"/>
      <c r="AJ58" s="222"/>
      <c r="AK58" s="222"/>
    </row>
    <row r="59" spans="1:37" ht="23.25" hidden="1" customHeight="1">
      <c r="A59" s="111">
        <v>62</v>
      </c>
      <c r="B59" s="112">
        <v>3</v>
      </c>
      <c r="C59" s="122" t="s">
        <v>2254</v>
      </c>
      <c r="D59" s="147" t="s">
        <v>2255</v>
      </c>
      <c r="E59" s="123" t="s">
        <v>2256</v>
      </c>
      <c r="F59" s="115" t="s">
        <v>968</v>
      </c>
      <c r="G59" s="115" t="s">
        <v>968</v>
      </c>
      <c r="H59" s="116">
        <v>13.7614792</v>
      </c>
      <c r="I59" s="116">
        <v>100.5530595</v>
      </c>
      <c r="J59" s="116" t="s">
        <v>969</v>
      </c>
      <c r="K59" s="115" t="s">
        <v>1048</v>
      </c>
      <c r="L59" s="117" t="s">
        <v>2257</v>
      </c>
      <c r="M59" s="121">
        <v>96930572</v>
      </c>
      <c r="N59" s="121" t="s">
        <v>892</v>
      </c>
      <c r="O59" s="121" t="s">
        <v>984</v>
      </c>
      <c r="P59" s="117" t="s">
        <v>902</v>
      </c>
      <c r="Q59" s="125" t="s">
        <v>972</v>
      </c>
      <c r="R59" s="125" t="s">
        <v>972</v>
      </c>
      <c r="S59" s="125" t="s">
        <v>972</v>
      </c>
      <c r="T59" s="222"/>
      <c r="U59" s="222"/>
      <c r="V59" s="222"/>
      <c r="W59" s="230"/>
      <c r="X59" s="331">
        <f t="shared" si="2"/>
        <v>0</v>
      </c>
      <c r="Y59" s="222"/>
      <c r="Z59" s="272">
        <f t="shared" si="0"/>
        <v>0</v>
      </c>
      <c r="AA59" s="331"/>
      <c r="AB59" s="331"/>
      <c r="AC59" s="331"/>
      <c r="AD59" s="331"/>
      <c r="AE59" s="331"/>
      <c r="AF59" s="331"/>
      <c r="AG59" s="331"/>
      <c r="AH59" s="241">
        <f t="shared" ca="1" si="1"/>
        <v>46153</v>
      </c>
      <c r="AI59" s="272"/>
      <c r="AJ59" s="222"/>
      <c r="AK59" s="222"/>
    </row>
    <row r="60" spans="1:37" ht="23.25" hidden="1" customHeight="1">
      <c r="A60" s="111">
        <v>63</v>
      </c>
      <c r="B60" s="112">
        <v>10</v>
      </c>
      <c r="C60" s="122" t="s">
        <v>2258</v>
      </c>
      <c r="D60" s="147" t="s">
        <v>2259</v>
      </c>
      <c r="E60" s="114" t="s">
        <v>2260</v>
      </c>
      <c r="F60" s="115" t="s">
        <v>968</v>
      </c>
      <c r="G60" s="115" t="s">
        <v>968</v>
      </c>
      <c r="H60" s="116">
        <v>13.761205</v>
      </c>
      <c r="I60" s="116">
        <v>100.553567</v>
      </c>
      <c r="J60" s="116" t="s">
        <v>969</v>
      </c>
      <c r="K60" s="115" t="s">
        <v>1048</v>
      </c>
      <c r="L60" s="117" t="s">
        <v>2257</v>
      </c>
      <c r="M60" s="117">
        <v>96930572</v>
      </c>
      <c r="N60" s="121" t="s">
        <v>892</v>
      </c>
      <c r="O60" s="121" t="s">
        <v>984</v>
      </c>
      <c r="P60" s="117" t="s">
        <v>902</v>
      </c>
      <c r="Q60" s="125" t="s">
        <v>972</v>
      </c>
      <c r="R60" s="125" t="s">
        <v>972</v>
      </c>
      <c r="S60" s="125" t="s">
        <v>972</v>
      </c>
      <c r="T60" s="222"/>
      <c r="U60" s="222"/>
      <c r="V60" s="222"/>
      <c r="W60" s="230"/>
      <c r="X60" s="331">
        <f t="shared" si="2"/>
        <v>0</v>
      </c>
      <c r="Y60" s="222"/>
      <c r="Z60" s="272">
        <f t="shared" si="0"/>
        <v>0</v>
      </c>
      <c r="AA60" s="331"/>
      <c r="AB60" s="331"/>
      <c r="AC60" s="331"/>
      <c r="AD60" s="331"/>
      <c r="AE60" s="331"/>
      <c r="AF60" s="331"/>
      <c r="AG60" s="331"/>
      <c r="AH60" s="241">
        <f t="shared" ca="1" si="1"/>
        <v>46153</v>
      </c>
      <c r="AI60" s="272"/>
      <c r="AJ60" s="222"/>
      <c r="AK60" s="222"/>
    </row>
    <row r="61" spans="1:37" ht="23.25" hidden="1" customHeight="1">
      <c r="A61" s="111">
        <v>431</v>
      </c>
      <c r="B61" s="112" t="s">
        <v>1098</v>
      </c>
      <c r="C61" s="113" t="s">
        <v>3185</v>
      </c>
      <c r="D61" s="147" t="s">
        <v>3186</v>
      </c>
      <c r="E61" s="114" t="s">
        <v>3187</v>
      </c>
      <c r="F61" s="115" t="s">
        <v>968</v>
      </c>
      <c r="G61" s="115" t="s">
        <v>936</v>
      </c>
      <c r="H61" s="116">
        <v>13.755601</v>
      </c>
      <c r="I61" s="116">
        <v>100.5650219</v>
      </c>
      <c r="J61" s="116" t="s">
        <v>2097</v>
      </c>
      <c r="K61" s="116" t="s">
        <v>2097</v>
      </c>
      <c r="L61" s="117" t="s">
        <v>3188</v>
      </c>
      <c r="M61" s="116" t="s">
        <v>1347</v>
      </c>
      <c r="N61" s="121" t="s">
        <v>892</v>
      </c>
      <c r="O61" s="121" t="s">
        <v>984</v>
      </c>
      <c r="P61" s="117" t="s">
        <v>902</v>
      </c>
      <c r="Q61" s="125" t="s">
        <v>972</v>
      </c>
      <c r="R61" s="125" t="s">
        <v>972</v>
      </c>
      <c r="S61" s="125" t="s">
        <v>972</v>
      </c>
      <c r="T61" s="222"/>
      <c r="U61" s="222"/>
      <c r="V61" s="222"/>
      <c r="W61" s="230"/>
      <c r="X61" s="331">
        <f t="shared" si="2"/>
        <v>0</v>
      </c>
      <c r="Y61" s="222"/>
      <c r="Z61" s="272">
        <f t="shared" si="0"/>
        <v>0</v>
      </c>
      <c r="AA61" s="331"/>
      <c r="AB61" s="331"/>
      <c r="AC61" s="331"/>
      <c r="AD61" s="331"/>
      <c r="AE61" s="331"/>
      <c r="AF61" s="331"/>
      <c r="AG61" s="331"/>
      <c r="AH61" s="241">
        <f t="shared" ca="1" si="1"/>
        <v>46153</v>
      </c>
      <c r="AI61" s="272"/>
      <c r="AJ61" s="222"/>
      <c r="AK61" s="222"/>
    </row>
    <row r="62" spans="1:37" ht="14.5" hidden="1">
      <c r="A62" s="111">
        <v>664</v>
      </c>
      <c r="B62" s="112">
        <v>14</v>
      </c>
      <c r="C62" s="122" t="s">
        <v>3780</v>
      </c>
      <c r="D62" s="160" t="s">
        <v>3781</v>
      </c>
      <c r="E62" s="133" t="s">
        <v>3782</v>
      </c>
      <c r="F62" s="117" t="s">
        <v>968</v>
      </c>
      <c r="G62" s="148" t="s">
        <v>968</v>
      </c>
      <c r="H62" s="117" t="s">
        <v>3783</v>
      </c>
      <c r="I62" s="117">
        <v>100.552543</v>
      </c>
      <c r="J62" s="116" t="s">
        <v>969</v>
      </c>
      <c r="K62" s="115" t="s">
        <v>1048</v>
      </c>
      <c r="L62" s="117" t="s">
        <v>3784</v>
      </c>
      <c r="M62" s="117">
        <v>96937751</v>
      </c>
      <c r="N62" s="117" t="s">
        <v>892</v>
      </c>
      <c r="O62" s="117" t="s">
        <v>901</v>
      </c>
      <c r="P62" s="117"/>
      <c r="Q62" s="119"/>
      <c r="R62" s="119"/>
      <c r="S62" s="119"/>
      <c r="T62" s="305" t="s">
        <v>5212</v>
      </c>
      <c r="U62" s="305" t="s">
        <v>5205</v>
      </c>
      <c r="V62" s="331">
        <v>45007</v>
      </c>
      <c r="W62" s="326">
        <v>4</v>
      </c>
      <c r="X62" s="331">
        <f t="shared" si="2"/>
        <v>45011</v>
      </c>
      <c r="Y62" s="331">
        <v>45020</v>
      </c>
      <c r="Z62" s="332">
        <f t="shared" si="0"/>
        <v>9</v>
      </c>
      <c r="AA62" s="331"/>
      <c r="AB62" s="331"/>
      <c r="AC62" s="331"/>
      <c r="AD62" s="331"/>
      <c r="AE62" s="331"/>
      <c r="AF62" s="331"/>
      <c r="AG62" s="331"/>
      <c r="AH62" s="331">
        <f t="shared" ca="1" si="1"/>
        <v>46153</v>
      </c>
      <c r="AI62" s="332"/>
      <c r="AJ62" s="312" t="s">
        <v>5143</v>
      </c>
      <c r="AK62" s="305" t="s">
        <v>5149</v>
      </c>
    </row>
    <row r="63" spans="1:37" ht="23.25" hidden="1" customHeight="1">
      <c r="A63" s="111">
        <v>736</v>
      </c>
      <c r="B63" s="112">
        <v>16</v>
      </c>
      <c r="C63" s="122" t="s">
        <v>3950</v>
      </c>
      <c r="D63" s="160" t="s">
        <v>3951</v>
      </c>
      <c r="E63" s="133" t="s">
        <v>3952</v>
      </c>
      <c r="F63" s="117" t="s">
        <v>968</v>
      </c>
      <c r="G63" s="148" t="s">
        <v>968</v>
      </c>
      <c r="H63" s="117" t="s">
        <v>3953</v>
      </c>
      <c r="I63" s="117">
        <v>100.55042400000001</v>
      </c>
      <c r="J63" s="116" t="s">
        <v>969</v>
      </c>
      <c r="K63" s="115" t="s">
        <v>1048</v>
      </c>
      <c r="L63" s="117" t="s">
        <v>3954</v>
      </c>
      <c r="M63" s="117">
        <v>96927290</v>
      </c>
      <c r="N63" s="117" t="s">
        <v>892</v>
      </c>
      <c r="O63" s="117" t="s">
        <v>901</v>
      </c>
      <c r="P63" s="117"/>
      <c r="Q63" s="119"/>
      <c r="R63" s="119"/>
      <c r="S63" s="119"/>
      <c r="T63" s="222"/>
      <c r="U63" s="222"/>
      <c r="V63" s="222"/>
      <c r="W63" s="230"/>
      <c r="X63" s="331">
        <f t="shared" si="2"/>
        <v>0</v>
      </c>
      <c r="Y63" s="222"/>
      <c r="Z63" s="272">
        <f t="shared" si="0"/>
        <v>0</v>
      </c>
      <c r="AA63" s="331"/>
      <c r="AB63" s="331"/>
      <c r="AC63" s="331"/>
      <c r="AD63" s="331"/>
      <c r="AE63" s="331"/>
      <c r="AF63" s="331"/>
      <c r="AG63" s="331"/>
      <c r="AH63" s="241">
        <f t="shared" ca="1" si="1"/>
        <v>46153</v>
      </c>
      <c r="AI63" s="272"/>
      <c r="AJ63" s="222"/>
      <c r="AK63" s="222"/>
    </row>
    <row r="64" spans="1:37" ht="23.25" hidden="1" customHeight="1">
      <c r="A64" s="111">
        <v>1059</v>
      </c>
      <c r="B64" s="112">
        <v>12</v>
      </c>
      <c r="C64" s="113" t="s">
        <v>4757</v>
      </c>
      <c r="D64" s="147" t="s">
        <v>4758</v>
      </c>
      <c r="E64" s="114" t="s">
        <v>4759</v>
      </c>
      <c r="F64" s="115" t="s">
        <v>968</v>
      </c>
      <c r="G64" s="115" t="s">
        <v>968</v>
      </c>
      <c r="H64" s="116">
        <v>13.7597199</v>
      </c>
      <c r="I64" s="116">
        <v>100.5561436</v>
      </c>
      <c r="J64" s="116" t="s">
        <v>969</v>
      </c>
      <c r="K64" s="115" t="s">
        <v>1048</v>
      </c>
      <c r="L64" s="117" t="s">
        <v>4760</v>
      </c>
      <c r="M64" s="117">
        <v>96927289</v>
      </c>
      <c r="N64" s="121" t="s">
        <v>892</v>
      </c>
      <c r="O64" s="121" t="s">
        <v>984</v>
      </c>
      <c r="P64" s="117" t="s">
        <v>902</v>
      </c>
      <c r="Q64" s="125" t="s">
        <v>972</v>
      </c>
      <c r="R64" s="125" t="s">
        <v>972</v>
      </c>
      <c r="S64" s="125" t="s">
        <v>972</v>
      </c>
      <c r="T64" s="222"/>
      <c r="U64" s="222"/>
      <c r="V64" s="222"/>
      <c r="W64" s="230"/>
      <c r="X64" s="331">
        <f t="shared" si="2"/>
        <v>0</v>
      </c>
      <c r="Y64" s="222"/>
      <c r="Z64" s="272">
        <f t="shared" si="0"/>
        <v>0</v>
      </c>
      <c r="AA64" s="331"/>
      <c r="AB64" s="331"/>
      <c r="AC64" s="331"/>
      <c r="AD64" s="331"/>
      <c r="AE64" s="331"/>
      <c r="AF64" s="331"/>
      <c r="AG64" s="331"/>
      <c r="AH64" s="241">
        <f t="shared" ca="1" si="1"/>
        <v>46153</v>
      </c>
      <c r="AI64" s="272"/>
      <c r="AJ64" s="222"/>
      <c r="AK64" s="222"/>
    </row>
    <row r="65" spans="1:37" ht="23.25" hidden="1" customHeight="1">
      <c r="A65" s="111">
        <v>117</v>
      </c>
      <c r="B65" s="112">
        <v>1</v>
      </c>
      <c r="C65" s="113" t="s">
        <v>2396</v>
      </c>
      <c r="D65" s="147" t="s">
        <v>2397</v>
      </c>
      <c r="E65" s="114" t="s">
        <v>2398</v>
      </c>
      <c r="F65" s="115" t="s">
        <v>2399</v>
      </c>
      <c r="G65" s="115" t="s">
        <v>1435</v>
      </c>
      <c r="H65" s="116">
        <v>13.799248</v>
      </c>
      <c r="I65" s="116">
        <v>100.53313</v>
      </c>
      <c r="J65" s="115" t="s">
        <v>2108</v>
      </c>
      <c r="K65" s="115" t="s">
        <v>2136</v>
      </c>
      <c r="L65" s="117" t="s">
        <v>2400</v>
      </c>
      <c r="M65" s="121" t="s">
        <v>972</v>
      </c>
      <c r="N65" s="121" t="s">
        <v>972</v>
      </c>
      <c r="O65" s="121" t="s">
        <v>958</v>
      </c>
      <c r="P65" s="117" t="s">
        <v>1876</v>
      </c>
      <c r="Q65" s="125" t="s">
        <v>972</v>
      </c>
      <c r="R65" s="125" t="s">
        <v>972</v>
      </c>
      <c r="S65" s="125" t="s">
        <v>972</v>
      </c>
      <c r="T65" s="222"/>
      <c r="U65" s="222"/>
      <c r="V65" s="222"/>
      <c r="W65" s="230"/>
      <c r="X65" s="331">
        <f t="shared" si="2"/>
        <v>0</v>
      </c>
      <c r="Y65" s="222"/>
      <c r="Z65" s="272">
        <f t="shared" si="0"/>
        <v>0</v>
      </c>
      <c r="AA65" s="331"/>
      <c r="AB65" s="331"/>
      <c r="AC65" s="331"/>
      <c r="AD65" s="331"/>
      <c r="AE65" s="331"/>
      <c r="AF65" s="331"/>
      <c r="AG65" s="331"/>
      <c r="AH65" s="241">
        <f t="shared" ca="1" si="1"/>
        <v>46153</v>
      </c>
      <c r="AI65" s="272"/>
      <c r="AJ65" s="222"/>
      <c r="AK65" s="222"/>
    </row>
    <row r="66" spans="1:37" ht="23.25" hidden="1" customHeight="1">
      <c r="A66" s="111">
        <v>555</v>
      </c>
      <c r="B66" s="112">
        <v>12</v>
      </c>
      <c r="C66" s="113" t="s">
        <v>3492</v>
      </c>
      <c r="D66" s="147" t="s">
        <v>3493</v>
      </c>
      <c r="E66" s="114" t="s">
        <v>3494</v>
      </c>
      <c r="F66" s="115" t="s">
        <v>2399</v>
      </c>
      <c r="G66" s="115" t="s">
        <v>1435</v>
      </c>
      <c r="H66" s="116">
        <v>13.801883999999999</v>
      </c>
      <c r="I66" s="116">
        <v>100.53457</v>
      </c>
      <c r="J66" s="115" t="s">
        <v>2108</v>
      </c>
      <c r="K66" s="115" t="s">
        <v>2136</v>
      </c>
      <c r="L66" s="117" t="s">
        <v>3495</v>
      </c>
      <c r="M66" s="121" t="s">
        <v>972</v>
      </c>
      <c r="N66" s="121" t="s">
        <v>972</v>
      </c>
      <c r="O66" s="121" t="s">
        <v>958</v>
      </c>
      <c r="P66" s="117" t="s">
        <v>952</v>
      </c>
      <c r="Q66" s="125" t="s">
        <v>972</v>
      </c>
      <c r="R66" s="125" t="s">
        <v>972</v>
      </c>
      <c r="S66" s="125" t="s">
        <v>972</v>
      </c>
      <c r="T66" s="222"/>
      <c r="U66" s="222"/>
      <c r="V66" s="222"/>
      <c r="W66" s="230"/>
      <c r="X66" s="331">
        <f t="shared" si="2"/>
        <v>0</v>
      </c>
      <c r="Y66" s="222"/>
      <c r="Z66" s="272">
        <f t="shared" si="0"/>
        <v>0</v>
      </c>
      <c r="AA66" s="331"/>
      <c r="AB66" s="331"/>
      <c r="AC66" s="331"/>
      <c r="AD66" s="331"/>
      <c r="AE66" s="331"/>
      <c r="AF66" s="331"/>
      <c r="AG66" s="331"/>
      <c r="AH66" s="241">
        <f t="shared" ca="1" si="1"/>
        <v>46153</v>
      </c>
      <c r="AI66" s="272"/>
      <c r="AJ66" s="222"/>
      <c r="AK66" s="222"/>
    </row>
    <row r="67" spans="1:37" ht="23.25" hidden="1" customHeight="1">
      <c r="A67" s="111">
        <v>556</v>
      </c>
      <c r="B67" s="112">
        <v>13</v>
      </c>
      <c r="C67" s="113" t="s">
        <v>3496</v>
      </c>
      <c r="D67" s="147" t="s">
        <v>3497</v>
      </c>
      <c r="E67" s="114" t="s">
        <v>3498</v>
      </c>
      <c r="F67" s="115" t="s">
        <v>2399</v>
      </c>
      <c r="G67" s="115" t="s">
        <v>1435</v>
      </c>
      <c r="H67" s="116">
        <v>13.802129000000001</v>
      </c>
      <c r="I67" s="116">
        <v>100.53470900000001</v>
      </c>
      <c r="J67" s="115" t="s">
        <v>2108</v>
      </c>
      <c r="K67" s="115" t="s">
        <v>2136</v>
      </c>
      <c r="L67" s="117" t="s">
        <v>3499</v>
      </c>
      <c r="M67" s="121" t="s">
        <v>972</v>
      </c>
      <c r="N67" s="121" t="s">
        <v>972</v>
      </c>
      <c r="O67" s="121" t="s">
        <v>958</v>
      </c>
      <c r="P67" s="117" t="s">
        <v>1876</v>
      </c>
      <c r="Q67" s="125" t="s">
        <v>972</v>
      </c>
      <c r="R67" s="125" t="s">
        <v>972</v>
      </c>
      <c r="S67" s="125" t="s">
        <v>972</v>
      </c>
      <c r="T67" s="222"/>
      <c r="U67" s="222"/>
      <c r="V67" s="222"/>
      <c r="W67" s="230"/>
      <c r="X67" s="331">
        <f t="shared" si="2"/>
        <v>0</v>
      </c>
      <c r="Y67" s="222"/>
      <c r="Z67" s="272">
        <f t="shared" ref="Z67:Z130" si="3">DATEDIF(X67,Y67,"d")</f>
        <v>0</v>
      </c>
      <c r="AA67" s="331"/>
      <c r="AB67" s="331"/>
      <c r="AC67" s="331"/>
      <c r="AD67" s="331"/>
      <c r="AE67" s="331"/>
      <c r="AF67" s="331"/>
      <c r="AG67" s="331"/>
      <c r="AH67" s="241">
        <f t="shared" ref="AH67:AH130" ca="1" si="4">TODAY()</f>
        <v>46153</v>
      </c>
      <c r="AI67" s="272"/>
      <c r="AJ67" s="222"/>
      <c r="AK67" s="222"/>
    </row>
    <row r="68" spans="1:37" ht="23.25" hidden="1" customHeight="1">
      <c r="A68" s="111">
        <v>127</v>
      </c>
      <c r="B68" s="112">
        <v>2</v>
      </c>
      <c r="C68" s="113" t="s">
        <v>2428</v>
      </c>
      <c r="D68" s="147" t="s">
        <v>2429</v>
      </c>
      <c r="E68" s="114" t="s">
        <v>2430</v>
      </c>
      <c r="F68" s="115" t="s">
        <v>2431</v>
      </c>
      <c r="G68" s="115" t="s">
        <v>1000</v>
      </c>
      <c r="H68" s="116">
        <v>13.7951137</v>
      </c>
      <c r="I68" s="116">
        <v>100.52666809999999</v>
      </c>
      <c r="J68" s="115" t="s">
        <v>2108</v>
      </c>
      <c r="K68" s="115" t="s">
        <v>2136</v>
      </c>
      <c r="L68" s="117" t="s">
        <v>2432</v>
      </c>
      <c r="M68" s="121" t="s">
        <v>972</v>
      </c>
      <c r="N68" s="121" t="s">
        <v>972</v>
      </c>
      <c r="O68" s="121" t="s">
        <v>958</v>
      </c>
      <c r="P68" s="117" t="s">
        <v>1876</v>
      </c>
      <c r="Q68" s="125" t="s">
        <v>972</v>
      </c>
      <c r="R68" s="125" t="s">
        <v>972</v>
      </c>
      <c r="S68" s="125" t="s">
        <v>972</v>
      </c>
      <c r="T68" s="222"/>
      <c r="U68" s="222"/>
      <c r="V68" s="222"/>
      <c r="W68" s="230"/>
      <c r="X68" s="331">
        <f t="shared" ref="X68:X131" si="5">V68+(W68)</f>
        <v>0</v>
      </c>
      <c r="Y68" s="222"/>
      <c r="Z68" s="272">
        <f t="shared" si="3"/>
        <v>0</v>
      </c>
      <c r="AA68" s="331"/>
      <c r="AB68" s="331"/>
      <c r="AC68" s="331"/>
      <c r="AD68" s="331"/>
      <c r="AE68" s="331"/>
      <c r="AF68" s="331"/>
      <c r="AG68" s="331"/>
      <c r="AH68" s="241">
        <f t="shared" ca="1" si="4"/>
        <v>46153</v>
      </c>
      <c r="AI68" s="272"/>
      <c r="AJ68" s="222"/>
      <c r="AK68" s="222"/>
    </row>
    <row r="69" spans="1:37" ht="23.25" hidden="1" customHeight="1">
      <c r="A69" s="111">
        <v>437</v>
      </c>
      <c r="B69" s="112">
        <v>16</v>
      </c>
      <c r="C69" s="122" t="s">
        <v>3200</v>
      </c>
      <c r="D69" s="147" t="s">
        <v>3201</v>
      </c>
      <c r="E69" s="114" t="s">
        <v>3202</v>
      </c>
      <c r="F69" s="115" t="s">
        <v>3203</v>
      </c>
      <c r="G69" s="115" t="s">
        <v>929</v>
      </c>
      <c r="H69" s="116">
        <v>13.766159</v>
      </c>
      <c r="I69" s="116">
        <v>100.603768</v>
      </c>
      <c r="J69" s="115" t="s">
        <v>2108</v>
      </c>
      <c r="K69" s="117" t="s">
        <v>2109</v>
      </c>
      <c r="L69" s="117" t="s">
        <v>2110</v>
      </c>
      <c r="M69" s="121" t="s">
        <v>972</v>
      </c>
      <c r="N69" s="121" t="s">
        <v>972</v>
      </c>
      <c r="O69" s="121" t="s">
        <v>901</v>
      </c>
      <c r="P69" s="117" t="s">
        <v>1876</v>
      </c>
      <c r="Q69" s="125" t="s">
        <v>972</v>
      </c>
      <c r="R69" s="125" t="s">
        <v>972</v>
      </c>
      <c r="S69" s="125" t="s">
        <v>972</v>
      </c>
      <c r="T69" s="222"/>
      <c r="U69" s="222"/>
      <c r="V69" s="222"/>
      <c r="W69" s="230"/>
      <c r="X69" s="331">
        <f t="shared" si="5"/>
        <v>0</v>
      </c>
      <c r="Y69" s="222"/>
      <c r="Z69" s="272">
        <f t="shared" si="3"/>
        <v>0</v>
      </c>
      <c r="AA69" s="331"/>
      <c r="AB69" s="331"/>
      <c r="AC69" s="331"/>
      <c r="AD69" s="331"/>
      <c r="AE69" s="331"/>
      <c r="AF69" s="331"/>
      <c r="AG69" s="331"/>
      <c r="AH69" s="241">
        <f t="shared" ca="1" si="4"/>
        <v>46153</v>
      </c>
      <c r="AI69" s="272"/>
      <c r="AJ69" s="222"/>
      <c r="AK69" s="222"/>
    </row>
    <row r="70" spans="1:37" ht="23.25" hidden="1" customHeight="1">
      <c r="A70" s="111">
        <v>674</v>
      </c>
      <c r="B70" s="112">
        <v>1</v>
      </c>
      <c r="C70" s="113" t="s">
        <v>3798</v>
      </c>
      <c r="D70" s="147" t="s">
        <v>3799</v>
      </c>
      <c r="E70" s="114" t="s">
        <v>3800</v>
      </c>
      <c r="F70" s="115" t="s">
        <v>3801</v>
      </c>
      <c r="G70" s="115" t="s">
        <v>1435</v>
      </c>
      <c r="H70" s="116">
        <v>13.802571</v>
      </c>
      <c r="I70" s="116">
        <v>100.539101</v>
      </c>
      <c r="J70" s="115" t="s">
        <v>2108</v>
      </c>
      <c r="K70" s="117" t="s">
        <v>2109</v>
      </c>
      <c r="L70" s="117" t="s">
        <v>2110</v>
      </c>
      <c r="M70" s="121" t="s">
        <v>972</v>
      </c>
      <c r="N70" s="121" t="s">
        <v>972</v>
      </c>
      <c r="O70" s="121" t="s">
        <v>958</v>
      </c>
      <c r="P70" s="117" t="s">
        <v>1876</v>
      </c>
      <c r="Q70" s="125" t="s">
        <v>972</v>
      </c>
      <c r="R70" s="125" t="s">
        <v>972</v>
      </c>
      <c r="S70" s="125" t="s">
        <v>972</v>
      </c>
      <c r="T70" s="222"/>
      <c r="U70" s="222"/>
      <c r="V70" s="222"/>
      <c r="W70" s="230"/>
      <c r="X70" s="331">
        <f t="shared" si="5"/>
        <v>0</v>
      </c>
      <c r="Y70" s="222"/>
      <c r="Z70" s="272">
        <f t="shared" si="3"/>
        <v>0</v>
      </c>
      <c r="AA70" s="331"/>
      <c r="AB70" s="331"/>
      <c r="AC70" s="331"/>
      <c r="AD70" s="331"/>
      <c r="AE70" s="331"/>
      <c r="AF70" s="331"/>
      <c r="AG70" s="331"/>
      <c r="AH70" s="241">
        <f t="shared" ca="1" si="4"/>
        <v>46153</v>
      </c>
      <c r="AI70" s="272"/>
      <c r="AJ70" s="222"/>
      <c r="AK70" s="222"/>
    </row>
    <row r="71" spans="1:37" ht="23.25" hidden="1" customHeight="1">
      <c r="A71" s="111">
        <v>899</v>
      </c>
      <c r="B71" s="112">
        <v>3</v>
      </c>
      <c r="C71" s="122" t="s">
        <v>4347</v>
      </c>
      <c r="D71" s="147" t="s">
        <v>4348</v>
      </c>
      <c r="E71" s="123" t="s">
        <v>4349</v>
      </c>
      <c r="F71" s="115" t="s">
        <v>3801</v>
      </c>
      <c r="G71" s="115" t="s">
        <v>1000</v>
      </c>
      <c r="H71" s="116">
        <v>13.777008</v>
      </c>
      <c r="I71" s="116">
        <v>100.528724</v>
      </c>
      <c r="J71" s="115" t="s">
        <v>2108</v>
      </c>
      <c r="K71" s="117" t="s">
        <v>2109</v>
      </c>
      <c r="L71" s="117" t="s">
        <v>2110</v>
      </c>
      <c r="M71" s="121" t="s">
        <v>972</v>
      </c>
      <c r="N71" s="121" t="s">
        <v>972</v>
      </c>
      <c r="O71" s="121" t="s">
        <v>958</v>
      </c>
      <c r="P71" s="117" t="s">
        <v>1876</v>
      </c>
      <c r="Q71" s="125" t="s">
        <v>972</v>
      </c>
      <c r="R71" s="125" t="s">
        <v>972</v>
      </c>
      <c r="S71" s="125" t="s">
        <v>972</v>
      </c>
      <c r="T71" s="222"/>
      <c r="U71" s="222"/>
      <c r="V71" s="222"/>
      <c r="W71" s="230"/>
      <c r="X71" s="331">
        <f t="shared" si="5"/>
        <v>0</v>
      </c>
      <c r="Y71" s="222"/>
      <c r="Z71" s="272">
        <f t="shared" si="3"/>
        <v>0</v>
      </c>
      <c r="AA71" s="331"/>
      <c r="AB71" s="331"/>
      <c r="AC71" s="331"/>
      <c r="AD71" s="331"/>
      <c r="AE71" s="331"/>
      <c r="AF71" s="331"/>
      <c r="AG71" s="331"/>
      <c r="AH71" s="241">
        <f t="shared" ca="1" si="4"/>
        <v>46153</v>
      </c>
      <c r="AI71" s="272"/>
      <c r="AJ71" s="222"/>
      <c r="AK71" s="222"/>
    </row>
    <row r="72" spans="1:37" ht="23.25" hidden="1" customHeight="1">
      <c r="A72" s="111">
        <v>981</v>
      </c>
      <c r="B72" s="112">
        <v>11</v>
      </c>
      <c r="C72" s="122" t="s">
        <v>4575</v>
      </c>
      <c r="D72" s="147" t="s">
        <v>4576</v>
      </c>
      <c r="E72" s="114" t="s">
        <v>4577</v>
      </c>
      <c r="F72" s="115" t="s">
        <v>3801</v>
      </c>
      <c r="G72" s="115" t="s">
        <v>1435</v>
      </c>
      <c r="H72" s="116">
        <v>13.800672</v>
      </c>
      <c r="I72" s="116">
        <v>100.538371</v>
      </c>
      <c r="J72" s="115" t="s">
        <v>2108</v>
      </c>
      <c r="K72" s="117" t="s">
        <v>2109</v>
      </c>
      <c r="L72" s="117" t="s">
        <v>2110</v>
      </c>
      <c r="M72" s="121" t="s">
        <v>972</v>
      </c>
      <c r="N72" s="121" t="s">
        <v>972</v>
      </c>
      <c r="O72" s="121" t="s">
        <v>958</v>
      </c>
      <c r="P72" s="117" t="s">
        <v>1876</v>
      </c>
      <c r="Q72" s="125" t="s">
        <v>972</v>
      </c>
      <c r="R72" s="125" t="s">
        <v>972</v>
      </c>
      <c r="S72" s="125" t="s">
        <v>972</v>
      </c>
      <c r="T72" s="222"/>
      <c r="U72" s="222"/>
      <c r="V72" s="222"/>
      <c r="W72" s="230"/>
      <c r="X72" s="331">
        <f t="shared" si="5"/>
        <v>0</v>
      </c>
      <c r="Y72" s="222"/>
      <c r="Z72" s="272">
        <f t="shared" si="3"/>
        <v>0</v>
      </c>
      <c r="AA72" s="331"/>
      <c r="AB72" s="331"/>
      <c r="AC72" s="331"/>
      <c r="AD72" s="331"/>
      <c r="AE72" s="331"/>
      <c r="AF72" s="331"/>
      <c r="AG72" s="331"/>
      <c r="AH72" s="241">
        <f t="shared" ca="1" si="4"/>
        <v>46153</v>
      </c>
      <c r="AI72" s="272"/>
      <c r="AJ72" s="222"/>
      <c r="AK72" s="222"/>
    </row>
    <row r="73" spans="1:37" ht="23" hidden="1">
      <c r="A73" s="111">
        <v>366</v>
      </c>
      <c r="B73" s="112">
        <v>5</v>
      </c>
      <c r="C73" s="113" t="s">
        <v>1303</v>
      </c>
      <c r="D73" s="147" t="s">
        <v>1304</v>
      </c>
      <c r="E73" s="114" t="s">
        <v>1305</v>
      </c>
      <c r="F73" s="115" t="s">
        <v>1306</v>
      </c>
      <c r="G73" s="115" t="s">
        <v>936</v>
      </c>
      <c r="H73" s="116">
        <v>13.767485799999999</v>
      </c>
      <c r="I73" s="116">
        <v>100.5769063</v>
      </c>
      <c r="J73" s="116" t="s">
        <v>890</v>
      </c>
      <c r="K73" s="117" t="s">
        <v>891</v>
      </c>
      <c r="L73" s="117" t="s">
        <v>891</v>
      </c>
      <c r="M73" s="117">
        <v>96894804</v>
      </c>
      <c r="N73" s="120" t="s">
        <v>892</v>
      </c>
      <c r="O73" s="120" t="s">
        <v>901</v>
      </c>
      <c r="P73" s="117" t="s">
        <v>902</v>
      </c>
      <c r="Q73" s="118">
        <v>80057501</v>
      </c>
      <c r="R73" s="119" t="s">
        <v>895</v>
      </c>
      <c r="S73" s="119" t="s">
        <v>895</v>
      </c>
      <c r="T73" s="222"/>
      <c r="U73" s="222"/>
      <c r="V73" s="222"/>
      <c r="W73" s="230"/>
      <c r="X73" s="331">
        <f t="shared" si="5"/>
        <v>0</v>
      </c>
      <c r="Y73" s="222"/>
      <c r="Z73" s="272">
        <f t="shared" si="3"/>
        <v>0</v>
      </c>
      <c r="AA73" s="331"/>
      <c r="AB73" s="331"/>
      <c r="AC73" s="331"/>
      <c r="AD73" s="331"/>
      <c r="AE73" s="331"/>
      <c r="AF73" s="331"/>
      <c r="AG73" s="331"/>
      <c r="AH73" s="241">
        <f t="shared" ca="1" si="4"/>
        <v>46153</v>
      </c>
      <c r="AI73" s="272"/>
      <c r="AJ73" s="222"/>
      <c r="AK73" s="222"/>
    </row>
    <row r="74" spans="1:37" ht="23.25" hidden="1" customHeight="1">
      <c r="A74" s="111">
        <v>210</v>
      </c>
      <c r="B74" s="112">
        <v>16</v>
      </c>
      <c r="C74" s="113" t="s">
        <v>2654</v>
      </c>
      <c r="D74" s="147" t="s">
        <v>2655</v>
      </c>
      <c r="E74" s="114" t="s">
        <v>2656</v>
      </c>
      <c r="F74" s="115" t="s">
        <v>2657</v>
      </c>
      <c r="G74" s="115" t="s">
        <v>1000</v>
      </c>
      <c r="H74" s="116">
        <v>13.777339899999999</v>
      </c>
      <c r="I74" s="116">
        <v>100.5262115</v>
      </c>
      <c r="J74" s="115" t="s">
        <v>2108</v>
      </c>
      <c r="K74" s="115" t="s">
        <v>2136</v>
      </c>
      <c r="L74" s="117" t="s">
        <v>2658</v>
      </c>
      <c r="M74" s="121" t="s">
        <v>972</v>
      </c>
      <c r="N74" s="121" t="s">
        <v>972</v>
      </c>
      <c r="O74" s="121" t="s">
        <v>958</v>
      </c>
      <c r="P74" s="117" t="s">
        <v>1876</v>
      </c>
      <c r="Q74" s="125" t="s">
        <v>972</v>
      </c>
      <c r="R74" s="125" t="s">
        <v>972</v>
      </c>
      <c r="S74" s="125" t="s">
        <v>972</v>
      </c>
      <c r="T74" s="222"/>
      <c r="U74" s="222"/>
      <c r="V74" s="222"/>
      <c r="W74" s="230"/>
      <c r="X74" s="331">
        <f t="shared" si="5"/>
        <v>0</v>
      </c>
      <c r="Y74" s="222"/>
      <c r="Z74" s="272">
        <f t="shared" si="3"/>
        <v>0</v>
      </c>
      <c r="AA74" s="331"/>
      <c r="AB74" s="331"/>
      <c r="AC74" s="331"/>
      <c r="AD74" s="331"/>
      <c r="AE74" s="331"/>
      <c r="AF74" s="331"/>
      <c r="AG74" s="331"/>
      <c r="AH74" s="241">
        <f t="shared" ca="1" si="4"/>
        <v>46153</v>
      </c>
      <c r="AI74" s="272"/>
      <c r="AJ74" s="222"/>
      <c r="AK74" s="222"/>
    </row>
    <row r="75" spans="1:37" ht="14.5" hidden="1">
      <c r="A75" s="111">
        <v>1180</v>
      </c>
      <c r="B75" s="150" t="s">
        <v>2209</v>
      </c>
      <c r="C75" s="150" t="s">
        <v>2210</v>
      </c>
      <c r="D75" s="150" t="s">
        <v>2211</v>
      </c>
      <c r="E75" s="152" t="s">
        <v>2212</v>
      </c>
      <c r="F75" s="150" t="s">
        <v>2213</v>
      </c>
      <c r="G75" s="153" t="s">
        <v>1000</v>
      </c>
      <c r="H75" s="117">
        <v>13.778044</v>
      </c>
      <c r="I75" s="117">
        <v>100.512271</v>
      </c>
      <c r="J75" s="117" t="s">
        <v>890</v>
      </c>
      <c r="K75" s="117" t="s">
        <v>891</v>
      </c>
      <c r="L75" s="117" t="s">
        <v>891</v>
      </c>
      <c r="M75" s="117">
        <v>97046986</v>
      </c>
      <c r="N75" s="117" t="s">
        <v>892</v>
      </c>
      <c r="O75" s="117" t="s">
        <v>958</v>
      </c>
      <c r="P75" s="117" t="s">
        <v>902</v>
      </c>
      <c r="Q75" s="119"/>
      <c r="R75" s="119" t="s">
        <v>895</v>
      </c>
      <c r="S75" s="119" t="s">
        <v>895</v>
      </c>
      <c r="T75" s="222"/>
      <c r="U75" s="222"/>
      <c r="V75" s="222"/>
      <c r="W75" s="230"/>
      <c r="X75" s="331">
        <f t="shared" si="5"/>
        <v>0</v>
      </c>
      <c r="Y75" s="222"/>
      <c r="Z75" s="272">
        <f t="shared" si="3"/>
        <v>0</v>
      </c>
      <c r="AA75" s="331"/>
      <c r="AB75" s="331"/>
      <c r="AC75" s="331"/>
      <c r="AD75" s="331"/>
      <c r="AE75" s="331"/>
      <c r="AF75" s="331"/>
      <c r="AG75" s="331"/>
      <c r="AH75" s="241">
        <f t="shared" ca="1" si="4"/>
        <v>46153</v>
      </c>
      <c r="AI75" s="272"/>
      <c r="AJ75" s="222"/>
      <c r="AK75" s="222"/>
    </row>
    <row r="76" spans="1:37" ht="23" hidden="1">
      <c r="A76" s="111">
        <v>667</v>
      </c>
      <c r="B76" s="112">
        <v>6</v>
      </c>
      <c r="C76" s="113" t="s">
        <v>1617</v>
      </c>
      <c r="D76" s="147" t="s">
        <v>1618</v>
      </c>
      <c r="E76" s="114" t="s">
        <v>1619</v>
      </c>
      <c r="F76" s="115" t="s">
        <v>1620</v>
      </c>
      <c r="G76" s="115" t="s">
        <v>1000</v>
      </c>
      <c r="H76" s="116">
        <v>13.760673000000001</v>
      </c>
      <c r="I76" s="116">
        <v>100.513667</v>
      </c>
      <c r="J76" s="116" t="s">
        <v>890</v>
      </c>
      <c r="K76" s="117" t="s">
        <v>891</v>
      </c>
      <c r="L76" s="117" t="s">
        <v>891</v>
      </c>
      <c r="M76" s="127">
        <v>96896574</v>
      </c>
      <c r="N76" s="117" t="s">
        <v>1050</v>
      </c>
      <c r="O76" s="117" t="s">
        <v>958</v>
      </c>
      <c r="P76" s="117" t="s">
        <v>902</v>
      </c>
      <c r="Q76" s="118">
        <v>80057501</v>
      </c>
      <c r="R76" s="119" t="s">
        <v>895</v>
      </c>
      <c r="S76" s="119" t="s">
        <v>895</v>
      </c>
      <c r="T76" s="222"/>
      <c r="U76" s="222"/>
      <c r="V76" s="222"/>
      <c r="W76" s="230"/>
      <c r="X76" s="331">
        <f t="shared" si="5"/>
        <v>0</v>
      </c>
      <c r="Y76" s="222"/>
      <c r="Z76" s="272">
        <f t="shared" si="3"/>
        <v>0</v>
      </c>
      <c r="AA76" s="331"/>
      <c r="AB76" s="331"/>
      <c r="AC76" s="331"/>
      <c r="AD76" s="331"/>
      <c r="AE76" s="331"/>
      <c r="AF76" s="331"/>
      <c r="AG76" s="331"/>
      <c r="AH76" s="241">
        <f t="shared" ca="1" si="4"/>
        <v>46153</v>
      </c>
      <c r="AI76" s="272"/>
      <c r="AJ76" s="222"/>
      <c r="AK76" s="222"/>
    </row>
    <row r="77" spans="1:37" ht="23.25" hidden="1" customHeight="1">
      <c r="A77" s="111">
        <v>627</v>
      </c>
      <c r="B77" s="112">
        <v>7</v>
      </c>
      <c r="C77" s="113" t="s">
        <v>3696</v>
      </c>
      <c r="D77" s="147" t="s">
        <v>3697</v>
      </c>
      <c r="E77" s="114" t="s">
        <v>3698</v>
      </c>
      <c r="F77" s="115" t="s">
        <v>1620</v>
      </c>
      <c r="G77" s="115" t="s">
        <v>1580</v>
      </c>
      <c r="H77" s="116">
        <v>13.757114</v>
      </c>
      <c r="I77" s="116">
        <v>100.507324</v>
      </c>
      <c r="J77" s="115" t="s">
        <v>2108</v>
      </c>
      <c r="K77" s="115" t="s">
        <v>2136</v>
      </c>
      <c r="L77" s="117" t="s">
        <v>3699</v>
      </c>
      <c r="M77" s="121" t="s">
        <v>972</v>
      </c>
      <c r="N77" s="121" t="s">
        <v>972</v>
      </c>
      <c r="O77" s="117" t="s">
        <v>958</v>
      </c>
      <c r="P77" s="117" t="s">
        <v>1876</v>
      </c>
      <c r="Q77" s="125" t="s">
        <v>972</v>
      </c>
      <c r="R77" s="125" t="s">
        <v>972</v>
      </c>
      <c r="S77" s="125" t="s">
        <v>972</v>
      </c>
      <c r="T77" s="222"/>
      <c r="U77" s="222"/>
      <c r="V77" s="222"/>
      <c r="W77" s="230"/>
      <c r="X77" s="331">
        <f t="shared" si="5"/>
        <v>0</v>
      </c>
      <c r="Y77" s="222"/>
      <c r="Z77" s="272">
        <f t="shared" si="3"/>
        <v>0</v>
      </c>
      <c r="AA77" s="331"/>
      <c r="AB77" s="331"/>
      <c r="AC77" s="331"/>
      <c r="AD77" s="331"/>
      <c r="AE77" s="331"/>
      <c r="AF77" s="331"/>
      <c r="AG77" s="331"/>
      <c r="AH77" s="241">
        <f t="shared" ca="1" si="4"/>
        <v>46153</v>
      </c>
      <c r="AI77" s="272"/>
      <c r="AJ77" s="222"/>
      <c r="AK77" s="222"/>
    </row>
    <row r="78" spans="1:37" ht="23.25" hidden="1" customHeight="1">
      <c r="A78" s="111">
        <v>525</v>
      </c>
      <c r="B78" s="112">
        <v>11</v>
      </c>
      <c r="C78" s="113" t="s">
        <v>1477</v>
      </c>
      <c r="D78" s="147" t="s">
        <v>1478</v>
      </c>
      <c r="E78" s="114" t="s">
        <v>1479</v>
      </c>
      <c r="F78" s="115" t="s">
        <v>1480</v>
      </c>
      <c r="G78" s="115" t="s">
        <v>918</v>
      </c>
      <c r="H78" s="116">
        <v>13.696365</v>
      </c>
      <c r="I78" s="116">
        <v>100.545652</v>
      </c>
      <c r="J78" s="116" t="s">
        <v>969</v>
      </c>
      <c r="K78" s="116" t="s">
        <v>970</v>
      </c>
      <c r="L78" s="117" t="s">
        <v>1481</v>
      </c>
      <c r="M78" s="117">
        <v>96894767</v>
      </c>
      <c r="N78" s="121" t="s">
        <v>892</v>
      </c>
      <c r="O78" s="121" t="s">
        <v>918</v>
      </c>
      <c r="P78" s="117" t="s">
        <v>894</v>
      </c>
      <c r="Q78" s="125" t="s">
        <v>972</v>
      </c>
      <c r="R78" s="125" t="s">
        <v>972</v>
      </c>
      <c r="S78" s="125" t="s">
        <v>972</v>
      </c>
      <c r="T78" s="222"/>
      <c r="U78" s="222"/>
      <c r="V78" s="222"/>
      <c r="W78" s="230"/>
      <c r="X78" s="331">
        <f t="shared" si="5"/>
        <v>0</v>
      </c>
      <c r="Y78" s="222"/>
      <c r="Z78" s="272">
        <f t="shared" si="3"/>
        <v>0</v>
      </c>
      <c r="AA78" s="331"/>
      <c r="AB78" s="331"/>
      <c r="AC78" s="331"/>
      <c r="AD78" s="331"/>
      <c r="AE78" s="331"/>
      <c r="AF78" s="331"/>
      <c r="AG78" s="331"/>
      <c r="AH78" s="241">
        <f t="shared" ca="1" si="4"/>
        <v>46153</v>
      </c>
      <c r="AI78" s="272"/>
      <c r="AJ78" s="222"/>
      <c r="AK78" s="222"/>
    </row>
    <row r="79" spans="1:37" ht="23" hidden="1">
      <c r="A79" s="111">
        <v>750</v>
      </c>
      <c r="B79" s="112" t="s">
        <v>1459</v>
      </c>
      <c r="C79" s="113" t="s">
        <v>1708</v>
      </c>
      <c r="D79" s="147" t="s">
        <v>1709</v>
      </c>
      <c r="E79" s="114" t="s">
        <v>1710</v>
      </c>
      <c r="F79" s="115" t="s">
        <v>1480</v>
      </c>
      <c r="G79" s="115" t="s">
        <v>918</v>
      </c>
      <c r="H79" s="116">
        <v>13.696963999999999</v>
      </c>
      <c r="I79" s="116">
        <v>100.544911</v>
      </c>
      <c r="J79" s="116" t="s">
        <v>969</v>
      </c>
      <c r="K79" s="116" t="s">
        <v>970</v>
      </c>
      <c r="L79" s="117" t="s">
        <v>1481</v>
      </c>
      <c r="M79" s="124">
        <v>96894767</v>
      </c>
      <c r="N79" s="117" t="s">
        <v>892</v>
      </c>
      <c r="O79" s="121" t="s">
        <v>918</v>
      </c>
      <c r="P79" s="121" t="s">
        <v>894</v>
      </c>
      <c r="Q79" s="118">
        <v>80057501</v>
      </c>
      <c r="R79" s="119" t="s">
        <v>895</v>
      </c>
      <c r="S79" s="125" t="s">
        <v>972</v>
      </c>
      <c r="T79" s="222"/>
      <c r="U79" s="222"/>
      <c r="V79" s="222"/>
      <c r="W79" s="230"/>
      <c r="X79" s="331">
        <f t="shared" si="5"/>
        <v>0</v>
      </c>
      <c r="Y79" s="222"/>
      <c r="Z79" s="272">
        <f t="shared" si="3"/>
        <v>0</v>
      </c>
      <c r="AA79" s="331"/>
      <c r="AB79" s="331"/>
      <c r="AC79" s="331"/>
      <c r="AD79" s="331"/>
      <c r="AE79" s="331"/>
      <c r="AF79" s="331"/>
      <c r="AG79" s="331"/>
      <c r="AH79" s="241">
        <f t="shared" ca="1" si="4"/>
        <v>46153</v>
      </c>
      <c r="AI79" s="272"/>
      <c r="AJ79" s="222"/>
      <c r="AK79" s="222"/>
    </row>
    <row r="80" spans="1:37" ht="23.25" hidden="1" customHeight="1">
      <c r="A80" s="111">
        <v>751</v>
      </c>
      <c r="B80" s="112">
        <v>2</v>
      </c>
      <c r="C80" s="113" t="s">
        <v>1711</v>
      </c>
      <c r="D80" s="147" t="s">
        <v>1712</v>
      </c>
      <c r="E80" s="114" t="s">
        <v>1713</v>
      </c>
      <c r="F80" s="115" t="s">
        <v>1480</v>
      </c>
      <c r="G80" s="115" t="s">
        <v>918</v>
      </c>
      <c r="H80" s="116">
        <v>13.6967692</v>
      </c>
      <c r="I80" s="116">
        <v>100.545208</v>
      </c>
      <c r="J80" s="116" t="s">
        <v>890</v>
      </c>
      <c r="K80" s="117" t="s">
        <v>891</v>
      </c>
      <c r="L80" s="117" t="s">
        <v>891</v>
      </c>
      <c r="M80" s="117">
        <v>96894767</v>
      </c>
      <c r="N80" s="120" t="s">
        <v>892</v>
      </c>
      <c r="O80" s="121" t="s">
        <v>918</v>
      </c>
      <c r="P80" s="117" t="s">
        <v>894</v>
      </c>
      <c r="Q80" s="125" t="s">
        <v>972</v>
      </c>
      <c r="R80" s="138" t="s">
        <v>895</v>
      </c>
      <c r="S80" s="119" t="s">
        <v>895</v>
      </c>
      <c r="T80" s="222"/>
      <c r="U80" s="222"/>
      <c r="V80" s="222"/>
      <c r="W80" s="230"/>
      <c r="X80" s="331">
        <f t="shared" si="5"/>
        <v>0</v>
      </c>
      <c r="Y80" s="222"/>
      <c r="Z80" s="272">
        <f t="shared" si="3"/>
        <v>0</v>
      </c>
      <c r="AA80" s="331"/>
      <c r="AB80" s="331"/>
      <c r="AC80" s="331"/>
      <c r="AD80" s="331"/>
      <c r="AE80" s="331"/>
      <c r="AF80" s="331"/>
      <c r="AG80" s="331"/>
      <c r="AH80" s="241">
        <f t="shared" ca="1" si="4"/>
        <v>46153</v>
      </c>
      <c r="AI80" s="272"/>
      <c r="AJ80" s="222"/>
      <c r="AK80" s="222"/>
    </row>
    <row r="81" spans="1:37" ht="23" hidden="1">
      <c r="A81" s="111">
        <v>753</v>
      </c>
      <c r="B81" s="112">
        <v>9</v>
      </c>
      <c r="C81" s="113" t="s">
        <v>1714</v>
      </c>
      <c r="D81" s="147" t="s">
        <v>1715</v>
      </c>
      <c r="E81" s="114" t="s">
        <v>1716</v>
      </c>
      <c r="F81" s="115" t="s">
        <v>1480</v>
      </c>
      <c r="G81" s="115" t="s">
        <v>918</v>
      </c>
      <c r="H81" s="116">
        <v>13.697089399999999</v>
      </c>
      <c r="I81" s="116">
        <v>100.5442469</v>
      </c>
      <c r="J81" s="116" t="s">
        <v>890</v>
      </c>
      <c r="K81" s="117" t="s">
        <v>891</v>
      </c>
      <c r="L81" s="117" t="s">
        <v>891</v>
      </c>
      <c r="M81" s="117">
        <v>96894774</v>
      </c>
      <c r="N81" s="120" t="s">
        <v>892</v>
      </c>
      <c r="O81" s="121" t="s">
        <v>918</v>
      </c>
      <c r="P81" s="117" t="s">
        <v>894</v>
      </c>
      <c r="Q81" s="118">
        <v>80057501</v>
      </c>
      <c r="R81" s="119" t="s">
        <v>895</v>
      </c>
      <c r="S81" s="119" t="s">
        <v>895</v>
      </c>
      <c r="T81" s="222"/>
      <c r="U81" s="222"/>
      <c r="V81" s="222"/>
      <c r="W81" s="230"/>
      <c r="X81" s="331">
        <f t="shared" si="5"/>
        <v>0</v>
      </c>
      <c r="Y81" s="222"/>
      <c r="Z81" s="272">
        <f t="shared" si="3"/>
        <v>0</v>
      </c>
      <c r="AA81" s="331"/>
      <c r="AB81" s="331"/>
      <c r="AC81" s="331"/>
      <c r="AD81" s="331"/>
      <c r="AE81" s="331"/>
      <c r="AF81" s="331"/>
      <c r="AG81" s="331"/>
      <c r="AH81" s="241">
        <f t="shared" ca="1" si="4"/>
        <v>46153</v>
      </c>
      <c r="AI81" s="272"/>
      <c r="AJ81" s="222"/>
      <c r="AK81" s="222"/>
    </row>
    <row r="82" spans="1:37" ht="23" hidden="1">
      <c r="A82" s="111">
        <v>755</v>
      </c>
      <c r="B82" s="112">
        <v>14</v>
      </c>
      <c r="C82" s="113" t="s">
        <v>1717</v>
      </c>
      <c r="D82" s="147" t="s">
        <v>1718</v>
      </c>
      <c r="E82" s="114" t="s">
        <v>1719</v>
      </c>
      <c r="F82" s="115" t="s">
        <v>1480</v>
      </c>
      <c r="G82" s="115" t="s">
        <v>918</v>
      </c>
      <c r="H82" s="116">
        <v>13.701713</v>
      </c>
      <c r="I82" s="116">
        <v>100.540519</v>
      </c>
      <c r="J82" s="116" t="s">
        <v>890</v>
      </c>
      <c r="K82" s="117" t="s">
        <v>891</v>
      </c>
      <c r="L82" s="117" t="s">
        <v>891</v>
      </c>
      <c r="M82" s="117">
        <v>96894775</v>
      </c>
      <c r="N82" s="120" t="s">
        <v>892</v>
      </c>
      <c r="O82" s="121" t="s">
        <v>918</v>
      </c>
      <c r="P82" s="117" t="s">
        <v>894</v>
      </c>
      <c r="Q82" s="118">
        <v>80057501</v>
      </c>
      <c r="R82" s="119" t="s">
        <v>895</v>
      </c>
      <c r="S82" s="119" t="s">
        <v>895</v>
      </c>
      <c r="T82" s="222"/>
      <c r="U82" s="222"/>
      <c r="V82" s="222"/>
      <c r="W82" s="230"/>
      <c r="X82" s="331">
        <f t="shared" si="5"/>
        <v>0</v>
      </c>
      <c r="Y82" s="222"/>
      <c r="Z82" s="272">
        <f t="shared" si="3"/>
        <v>0</v>
      </c>
      <c r="AA82" s="331"/>
      <c r="AB82" s="331"/>
      <c r="AC82" s="331"/>
      <c r="AD82" s="331"/>
      <c r="AE82" s="331"/>
      <c r="AF82" s="331"/>
      <c r="AG82" s="331"/>
      <c r="AH82" s="241">
        <f t="shared" ca="1" si="4"/>
        <v>46153</v>
      </c>
      <c r="AI82" s="272"/>
      <c r="AJ82" s="222"/>
      <c r="AK82" s="222"/>
    </row>
    <row r="83" spans="1:37" ht="23" hidden="1">
      <c r="A83" s="111">
        <v>757</v>
      </c>
      <c r="B83" s="112">
        <v>6</v>
      </c>
      <c r="C83" s="113" t="s">
        <v>1720</v>
      </c>
      <c r="D83" s="147" t="s">
        <v>1721</v>
      </c>
      <c r="E83" s="114" t="s">
        <v>1722</v>
      </c>
      <c r="F83" s="115" t="s">
        <v>1480</v>
      </c>
      <c r="G83" s="115" t="s">
        <v>918</v>
      </c>
      <c r="H83" s="116">
        <v>13.705883999999999</v>
      </c>
      <c r="I83" s="116">
        <v>100.538158</v>
      </c>
      <c r="J83" s="116" t="s">
        <v>890</v>
      </c>
      <c r="K83" s="117" t="s">
        <v>891</v>
      </c>
      <c r="L83" s="117" t="s">
        <v>891</v>
      </c>
      <c r="M83" s="117">
        <v>96894778</v>
      </c>
      <c r="N83" s="120" t="s">
        <v>892</v>
      </c>
      <c r="O83" s="121" t="s">
        <v>918</v>
      </c>
      <c r="P83" s="117" t="s">
        <v>894</v>
      </c>
      <c r="Q83" s="118">
        <v>80057501</v>
      </c>
      <c r="R83" s="119" t="s">
        <v>895</v>
      </c>
      <c r="S83" s="119" t="s">
        <v>895</v>
      </c>
      <c r="T83" s="305" t="s">
        <v>5212</v>
      </c>
      <c r="U83" s="312" t="s">
        <v>5117</v>
      </c>
      <c r="V83" s="331">
        <v>45103</v>
      </c>
      <c r="W83" s="326">
        <v>4</v>
      </c>
      <c r="X83" s="331">
        <f t="shared" si="5"/>
        <v>45107</v>
      </c>
      <c r="Y83" s="329">
        <v>45120</v>
      </c>
      <c r="Z83" s="332">
        <f t="shared" si="3"/>
        <v>13</v>
      </c>
      <c r="AA83" s="331"/>
      <c r="AB83" s="331"/>
      <c r="AC83" s="331"/>
      <c r="AD83" s="331"/>
      <c r="AE83" s="331"/>
      <c r="AF83" s="331"/>
      <c r="AG83" s="331"/>
      <c r="AH83" s="329">
        <f t="shared" ca="1" si="4"/>
        <v>46153</v>
      </c>
      <c r="AI83" s="330"/>
      <c r="AJ83" s="312" t="s">
        <v>5143</v>
      </c>
      <c r="AK83" s="312"/>
    </row>
    <row r="84" spans="1:37" ht="23" hidden="1">
      <c r="A84" s="111">
        <v>118</v>
      </c>
      <c r="B84" s="112">
        <v>1</v>
      </c>
      <c r="C84" s="113" t="s">
        <v>2214</v>
      </c>
      <c r="D84" s="147" t="s">
        <v>2215</v>
      </c>
      <c r="E84" s="114" t="s">
        <v>2216</v>
      </c>
      <c r="F84" s="115" t="s">
        <v>1480</v>
      </c>
      <c r="G84" s="115" t="s">
        <v>1542</v>
      </c>
      <c r="H84" s="116">
        <v>13.728245100000001</v>
      </c>
      <c r="I84" s="116">
        <v>100.5271394</v>
      </c>
      <c r="J84" s="115" t="s">
        <v>890</v>
      </c>
      <c r="K84" s="117" t="s">
        <v>2180</v>
      </c>
      <c r="L84" s="117" t="s">
        <v>2180</v>
      </c>
      <c r="M84" s="121">
        <v>17008073</v>
      </c>
      <c r="N84" s="121" t="s">
        <v>892</v>
      </c>
      <c r="O84" s="121" t="s">
        <v>984</v>
      </c>
      <c r="P84" s="117" t="s">
        <v>894</v>
      </c>
      <c r="Q84" s="125" t="s">
        <v>972</v>
      </c>
      <c r="R84" s="119" t="s">
        <v>895</v>
      </c>
      <c r="S84" s="119" t="s">
        <v>895</v>
      </c>
      <c r="T84" s="222"/>
      <c r="U84" s="222"/>
      <c r="V84" s="222"/>
      <c r="W84" s="230"/>
      <c r="X84" s="331">
        <f t="shared" si="5"/>
        <v>0</v>
      </c>
      <c r="Y84" s="222"/>
      <c r="Z84" s="272">
        <f t="shared" si="3"/>
        <v>0</v>
      </c>
      <c r="AA84" s="331"/>
      <c r="AB84" s="331"/>
      <c r="AC84" s="331"/>
      <c r="AD84" s="331"/>
      <c r="AE84" s="331"/>
      <c r="AF84" s="331"/>
      <c r="AG84" s="331"/>
      <c r="AH84" s="241">
        <f t="shared" ca="1" si="4"/>
        <v>46153</v>
      </c>
      <c r="AI84" s="272"/>
      <c r="AJ84" s="222"/>
      <c r="AK84" s="222"/>
    </row>
    <row r="85" spans="1:37" ht="23.25" hidden="1" customHeight="1">
      <c r="A85" s="111">
        <v>172</v>
      </c>
      <c r="B85" s="112">
        <v>2</v>
      </c>
      <c r="C85" s="113" t="s">
        <v>2548</v>
      </c>
      <c r="D85" s="147" t="s">
        <v>2549</v>
      </c>
      <c r="E85" s="114" t="s">
        <v>2550</v>
      </c>
      <c r="F85" s="115" t="s">
        <v>1480</v>
      </c>
      <c r="G85" s="115" t="s">
        <v>1451</v>
      </c>
      <c r="H85" s="117">
        <v>13.7167543</v>
      </c>
      <c r="I85" s="117">
        <v>100.53260469999999</v>
      </c>
      <c r="J85" s="116" t="s">
        <v>969</v>
      </c>
      <c r="K85" s="116" t="s">
        <v>970</v>
      </c>
      <c r="L85" s="117" t="s">
        <v>2551</v>
      </c>
      <c r="M85" s="116" t="s">
        <v>1347</v>
      </c>
      <c r="N85" s="121" t="s">
        <v>892</v>
      </c>
      <c r="O85" s="121" t="s">
        <v>918</v>
      </c>
      <c r="P85" s="117" t="s">
        <v>894</v>
      </c>
      <c r="Q85" s="125" t="s">
        <v>972</v>
      </c>
      <c r="R85" s="125" t="s">
        <v>972</v>
      </c>
      <c r="S85" s="125" t="s">
        <v>972</v>
      </c>
      <c r="T85" s="305" t="s">
        <v>5212</v>
      </c>
      <c r="U85" s="305" t="s">
        <v>5117</v>
      </c>
      <c r="V85" s="331">
        <v>45039</v>
      </c>
      <c r="W85" s="326">
        <v>4</v>
      </c>
      <c r="X85" s="331">
        <f t="shared" si="5"/>
        <v>45043</v>
      </c>
      <c r="Y85" s="329">
        <v>45043</v>
      </c>
      <c r="Z85" s="332">
        <f t="shared" si="3"/>
        <v>0</v>
      </c>
      <c r="AA85" s="331"/>
      <c r="AB85" s="331"/>
      <c r="AC85" s="331"/>
      <c r="AD85" s="331"/>
      <c r="AE85" s="331"/>
      <c r="AF85" s="331"/>
      <c r="AG85" s="331"/>
      <c r="AH85" s="331">
        <f t="shared" ca="1" si="4"/>
        <v>46153</v>
      </c>
      <c r="AI85" s="332"/>
      <c r="AJ85" s="312" t="s">
        <v>5143</v>
      </c>
      <c r="AK85" s="305" t="s">
        <v>5149</v>
      </c>
    </row>
    <row r="86" spans="1:37" ht="23.25" hidden="1" customHeight="1">
      <c r="A86" s="111">
        <v>342</v>
      </c>
      <c r="B86" s="112">
        <v>4</v>
      </c>
      <c r="C86" s="113" t="s">
        <v>2973</v>
      </c>
      <c r="D86" s="147" t="s">
        <v>2974</v>
      </c>
      <c r="E86" s="114" t="s">
        <v>2975</v>
      </c>
      <c r="F86" s="115" t="s">
        <v>1480</v>
      </c>
      <c r="G86" s="115" t="s">
        <v>1451</v>
      </c>
      <c r="H86" s="116">
        <v>13.7164822</v>
      </c>
      <c r="I86" s="116">
        <v>100.53273590000001</v>
      </c>
      <c r="J86" s="116" t="s">
        <v>2108</v>
      </c>
      <c r="K86" s="117" t="s">
        <v>2109</v>
      </c>
      <c r="L86" s="117" t="s">
        <v>2110</v>
      </c>
      <c r="M86" s="116" t="s">
        <v>1347</v>
      </c>
      <c r="N86" s="116" t="s">
        <v>1347</v>
      </c>
      <c r="O86" s="121" t="s">
        <v>918</v>
      </c>
      <c r="P86" s="117" t="s">
        <v>894</v>
      </c>
      <c r="Q86" s="125" t="s">
        <v>972</v>
      </c>
      <c r="R86" s="125" t="s">
        <v>972</v>
      </c>
      <c r="S86" s="125" t="s">
        <v>972</v>
      </c>
      <c r="T86" s="274" t="s">
        <v>5212</v>
      </c>
      <c r="U86" s="312" t="s">
        <v>5184</v>
      </c>
      <c r="V86" s="329">
        <v>45005</v>
      </c>
      <c r="W86" s="326">
        <v>4</v>
      </c>
      <c r="X86" s="331">
        <f t="shared" si="5"/>
        <v>45009</v>
      </c>
      <c r="Y86" s="312"/>
      <c r="Z86" s="332" t="e">
        <f t="shared" si="3"/>
        <v>#NUM!</v>
      </c>
      <c r="AA86" s="331"/>
      <c r="AB86" s="331"/>
      <c r="AC86" s="331"/>
      <c r="AD86" s="331"/>
      <c r="AE86" s="331"/>
      <c r="AF86" s="331"/>
      <c r="AG86" s="331"/>
      <c r="AH86" s="329">
        <f t="shared" ca="1" si="4"/>
        <v>46153</v>
      </c>
      <c r="AI86" s="330"/>
      <c r="AJ86" s="312" t="s">
        <v>5143</v>
      </c>
      <c r="AK86" s="312"/>
    </row>
    <row r="87" spans="1:37" ht="23" hidden="1">
      <c r="A87" s="111">
        <v>823</v>
      </c>
      <c r="B87" s="112" t="s">
        <v>919</v>
      </c>
      <c r="C87" s="122" t="s">
        <v>3461</v>
      </c>
      <c r="D87" s="147" t="s">
        <v>3462</v>
      </c>
      <c r="E87" s="123" t="s">
        <v>3463</v>
      </c>
      <c r="F87" s="116" t="s">
        <v>1480</v>
      </c>
      <c r="G87" s="116" t="s">
        <v>1542</v>
      </c>
      <c r="H87" s="116">
        <v>13.7236373</v>
      </c>
      <c r="I87" s="116">
        <v>100.5291794</v>
      </c>
      <c r="J87" s="116" t="s">
        <v>890</v>
      </c>
      <c r="K87" s="117" t="s">
        <v>891</v>
      </c>
      <c r="L87" s="117" t="s">
        <v>891</v>
      </c>
      <c r="M87" s="120">
        <v>96941346</v>
      </c>
      <c r="N87" s="120" t="s">
        <v>892</v>
      </c>
      <c r="O87" s="121" t="s">
        <v>918</v>
      </c>
      <c r="P87" s="117" t="s">
        <v>894</v>
      </c>
      <c r="Q87" s="125" t="s">
        <v>972</v>
      </c>
      <c r="R87" s="119" t="s">
        <v>895</v>
      </c>
      <c r="S87" s="119" t="s">
        <v>895</v>
      </c>
      <c r="T87" s="222"/>
      <c r="U87" s="222"/>
      <c r="V87" s="222"/>
      <c r="W87" s="230"/>
      <c r="X87" s="331">
        <f t="shared" si="5"/>
        <v>0</v>
      </c>
      <c r="Y87" s="222"/>
      <c r="Z87" s="272">
        <f t="shared" si="3"/>
        <v>0</v>
      </c>
      <c r="AA87" s="331"/>
      <c r="AB87" s="331"/>
      <c r="AC87" s="331"/>
      <c r="AD87" s="331"/>
      <c r="AE87" s="331"/>
      <c r="AF87" s="331"/>
      <c r="AG87" s="331"/>
      <c r="AH87" s="241">
        <f t="shared" ca="1" si="4"/>
        <v>46153</v>
      </c>
      <c r="AI87" s="272"/>
      <c r="AJ87" s="222"/>
      <c r="AK87" s="222"/>
    </row>
    <row r="88" spans="1:37" ht="23" hidden="1">
      <c r="A88" s="111">
        <v>913</v>
      </c>
      <c r="B88" s="112" t="s">
        <v>1082</v>
      </c>
      <c r="C88" s="113" t="s">
        <v>3700</v>
      </c>
      <c r="D88" s="147" t="s">
        <v>3701</v>
      </c>
      <c r="E88" s="114" t="s">
        <v>3702</v>
      </c>
      <c r="F88" s="115" t="s">
        <v>1480</v>
      </c>
      <c r="G88" s="115" t="s">
        <v>1451</v>
      </c>
      <c r="H88" s="116">
        <v>13.7190929</v>
      </c>
      <c r="I88" s="116">
        <v>100.5314364</v>
      </c>
      <c r="J88" s="116" t="s">
        <v>890</v>
      </c>
      <c r="K88" s="117" t="s">
        <v>891</v>
      </c>
      <c r="L88" s="117" t="s">
        <v>891</v>
      </c>
      <c r="M88" s="120">
        <v>96941348</v>
      </c>
      <c r="N88" s="120" t="s">
        <v>892</v>
      </c>
      <c r="O88" s="121" t="s">
        <v>918</v>
      </c>
      <c r="P88" s="117" t="s">
        <v>894</v>
      </c>
      <c r="Q88" s="125" t="s">
        <v>972</v>
      </c>
      <c r="R88" s="119" t="s">
        <v>895</v>
      </c>
      <c r="S88" s="119" t="s">
        <v>895</v>
      </c>
      <c r="T88" s="222"/>
      <c r="U88" s="222"/>
      <c r="V88" s="222"/>
      <c r="W88" s="230"/>
      <c r="X88" s="331">
        <f t="shared" si="5"/>
        <v>0</v>
      </c>
      <c r="Y88" s="222"/>
      <c r="Z88" s="272">
        <f t="shared" si="3"/>
        <v>0</v>
      </c>
      <c r="AA88" s="331"/>
      <c r="AB88" s="331"/>
      <c r="AC88" s="331"/>
      <c r="AD88" s="331"/>
      <c r="AE88" s="331"/>
      <c r="AF88" s="331"/>
      <c r="AG88" s="331"/>
      <c r="AH88" s="241">
        <f t="shared" ca="1" si="4"/>
        <v>46153</v>
      </c>
      <c r="AI88" s="272"/>
      <c r="AJ88" s="222"/>
      <c r="AK88" s="222"/>
    </row>
    <row r="89" spans="1:37" ht="23" hidden="1">
      <c r="A89" s="111">
        <v>917</v>
      </c>
      <c r="B89" s="112" t="s">
        <v>985</v>
      </c>
      <c r="C89" s="113" t="s">
        <v>3703</v>
      </c>
      <c r="D89" s="147" t="s">
        <v>3704</v>
      </c>
      <c r="E89" s="114" t="s">
        <v>3705</v>
      </c>
      <c r="F89" s="115" t="s">
        <v>1480</v>
      </c>
      <c r="G89" s="115" t="s">
        <v>1451</v>
      </c>
      <c r="H89" s="116">
        <v>13.714643499999999</v>
      </c>
      <c r="I89" s="116">
        <v>100.5336902</v>
      </c>
      <c r="J89" s="116" t="s">
        <v>890</v>
      </c>
      <c r="K89" s="117" t="s">
        <v>891</v>
      </c>
      <c r="L89" s="117" t="s">
        <v>891</v>
      </c>
      <c r="M89" s="120">
        <v>96941351</v>
      </c>
      <c r="N89" s="120" t="s">
        <v>892</v>
      </c>
      <c r="O89" s="121" t="s">
        <v>918</v>
      </c>
      <c r="P89" s="117" t="s">
        <v>894</v>
      </c>
      <c r="Q89" s="125" t="s">
        <v>972</v>
      </c>
      <c r="R89" s="119" t="s">
        <v>895</v>
      </c>
      <c r="S89" s="119" t="s">
        <v>895</v>
      </c>
      <c r="T89" s="222"/>
      <c r="U89" s="222"/>
      <c r="V89" s="222"/>
      <c r="W89" s="230"/>
      <c r="X89" s="331">
        <f t="shared" si="5"/>
        <v>0</v>
      </c>
      <c r="Y89" s="222"/>
      <c r="Z89" s="272">
        <f t="shared" si="3"/>
        <v>0</v>
      </c>
      <c r="AA89" s="331"/>
      <c r="AB89" s="331"/>
      <c r="AC89" s="331"/>
      <c r="AD89" s="331"/>
      <c r="AE89" s="331"/>
      <c r="AF89" s="331"/>
      <c r="AG89" s="331"/>
      <c r="AH89" s="241">
        <f t="shared" ca="1" si="4"/>
        <v>46153</v>
      </c>
      <c r="AI89" s="272"/>
      <c r="AJ89" s="222"/>
      <c r="AK89" s="222"/>
    </row>
    <row r="90" spans="1:37" ht="23" hidden="1">
      <c r="A90" s="111">
        <v>921</v>
      </c>
      <c r="B90" s="112" t="s">
        <v>1155</v>
      </c>
      <c r="C90" s="113" t="s">
        <v>3722</v>
      </c>
      <c r="D90" s="147" t="s">
        <v>3723</v>
      </c>
      <c r="E90" s="114" t="s">
        <v>3724</v>
      </c>
      <c r="F90" s="115" t="s">
        <v>1480</v>
      </c>
      <c r="G90" s="115" t="s">
        <v>1451</v>
      </c>
      <c r="H90" s="116">
        <v>13.710065</v>
      </c>
      <c r="I90" s="116">
        <v>100.535978</v>
      </c>
      <c r="J90" s="116" t="s">
        <v>890</v>
      </c>
      <c r="K90" s="117" t="s">
        <v>891</v>
      </c>
      <c r="L90" s="117" t="s">
        <v>891</v>
      </c>
      <c r="M90" s="120">
        <v>96939777</v>
      </c>
      <c r="N90" s="120" t="s">
        <v>892</v>
      </c>
      <c r="O90" s="121" t="s">
        <v>918</v>
      </c>
      <c r="P90" s="117" t="s">
        <v>894</v>
      </c>
      <c r="Q90" s="125" t="s">
        <v>972</v>
      </c>
      <c r="R90" s="119" t="s">
        <v>895</v>
      </c>
      <c r="S90" s="119" t="s">
        <v>895</v>
      </c>
      <c r="T90" s="222"/>
      <c r="U90" s="222"/>
      <c r="V90" s="222"/>
      <c r="W90" s="230"/>
      <c r="X90" s="331">
        <f t="shared" si="5"/>
        <v>0</v>
      </c>
      <c r="Y90" s="222"/>
      <c r="Z90" s="272">
        <f t="shared" si="3"/>
        <v>0</v>
      </c>
      <c r="AA90" s="331"/>
      <c r="AB90" s="331"/>
      <c r="AC90" s="331"/>
      <c r="AD90" s="331"/>
      <c r="AE90" s="331"/>
      <c r="AF90" s="331"/>
      <c r="AG90" s="331"/>
      <c r="AH90" s="241">
        <f t="shared" ca="1" si="4"/>
        <v>46153</v>
      </c>
      <c r="AI90" s="272"/>
      <c r="AJ90" s="222"/>
      <c r="AK90" s="222"/>
    </row>
    <row r="91" spans="1:37" ht="23" hidden="1">
      <c r="A91" s="111">
        <v>925</v>
      </c>
      <c r="B91" s="112">
        <v>2</v>
      </c>
      <c r="C91" s="113" t="s">
        <v>3737</v>
      </c>
      <c r="D91" s="147" t="s">
        <v>3738</v>
      </c>
      <c r="E91" s="114" t="s">
        <v>3739</v>
      </c>
      <c r="F91" s="115" t="s">
        <v>1480</v>
      </c>
      <c r="G91" s="115" t="s">
        <v>1451</v>
      </c>
      <c r="H91" s="116">
        <v>13.705361999999999</v>
      </c>
      <c r="I91" s="116">
        <v>100.538814</v>
      </c>
      <c r="J91" s="116" t="s">
        <v>890</v>
      </c>
      <c r="K91" s="117" t="s">
        <v>891</v>
      </c>
      <c r="L91" s="117" t="s">
        <v>891</v>
      </c>
      <c r="M91" s="120">
        <v>96941367</v>
      </c>
      <c r="N91" s="120" t="s">
        <v>892</v>
      </c>
      <c r="O91" s="121" t="s">
        <v>918</v>
      </c>
      <c r="P91" s="117" t="s">
        <v>894</v>
      </c>
      <c r="Q91" s="125" t="s">
        <v>972</v>
      </c>
      <c r="R91" s="119" t="s">
        <v>895</v>
      </c>
      <c r="S91" s="119" t="s">
        <v>895</v>
      </c>
      <c r="T91" s="305" t="s">
        <v>5212</v>
      </c>
      <c r="U91" s="305" t="s">
        <v>5184</v>
      </c>
      <c r="V91" s="329">
        <v>45118</v>
      </c>
      <c r="W91" s="326">
        <v>4</v>
      </c>
      <c r="X91" s="331">
        <f t="shared" si="5"/>
        <v>45122</v>
      </c>
      <c r="Y91" s="331">
        <v>45119</v>
      </c>
      <c r="Z91" s="332" t="e">
        <f t="shared" si="3"/>
        <v>#NUM!</v>
      </c>
      <c r="AA91" s="331"/>
      <c r="AB91" s="331"/>
      <c r="AC91" s="331"/>
      <c r="AD91" s="331"/>
      <c r="AE91" s="331"/>
      <c r="AF91" s="331"/>
      <c r="AG91" s="331"/>
      <c r="AH91" s="331">
        <f t="shared" ca="1" si="4"/>
        <v>46153</v>
      </c>
      <c r="AI91" s="332"/>
      <c r="AJ91" s="312" t="s">
        <v>5143</v>
      </c>
      <c r="AK91" s="305"/>
    </row>
    <row r="92" spans="1:37" ht="23.25" hidden="1" customHeight="1">
      <c r="A92" s="111">
        <v>742</v>
      </c>
      <c r="B92" s="112" t="s">
        <v>1553</v>
      </c>
      <c r="C92" s="113" t="s">
        <v>3969</v>
      </c>
      <c r="D92" s="147" t="s">
        <v>3970</v>
      </c>
      <c r="E92" s="114" t="s">
        <v>3971</v>
      </c>
      <c r="F92" s="115" t="s">
        <v>1480</v>
      </c>
      <c r="G92" s="115" t="s">
        <v>1451</v>
      </c>
      <c r="H92" s="116">
        <v>13.7168277</v>
      </c>
      <c r="I92" s="116">
        <v>100.53259610000001</v>
      </c>
      <c r="J92" s="116" t="s">
        <v>2097</v>
      </c>
      <c r="K92" s="116" t="s">
        <v>2097</v>
      </c>
      <c r="L92" s="117" t="s">
        <v>2098</v>
      </c>
      <c r="M92" s="116" t="s">
        <v>1347</v>
      </c>
      <c r="N92" s="121" t="s">
        <v>892</v>
      </c>
      <c r="O92" s="121" t="s">
        <v>918</v>
      </c>
      <c r="P92" s="117" t="s">
        <v>894</v>
      </c>
      <c r="Q92" s="125" t="s">
        <v>972</v>
      </c>
      <c r="R92" s="125" t="s">
        <v>972</v>
      </c>
      <c r="S92" s="125" t="s">
        <v>972</v>
      </c>
      <c r="T92" s="222"/>
      <c r="U92" s="222"/>
      <c r="V92" s="222"/>
      <c r="W92" s="230"/>
      <c r="X92" s="331">
        <f t="shared" si="5"/>
        <v>0</v>
      </c>
      <c r="Y92" s="222"/>
      <c r="Z92" s="272">
        <f t="shared" si="3"/>
        <v>0</v>
      </c>
      <c r="AA92" s="331"/>
      <c r="AB92" s="331"/>
      <c r="AC92" s="331"/>
      <c r="AD92" s="331"/>
      <c r="AE92" s="331"/>
      <c r="AF92" s="331"/>
      <c r="AG92" s="331"/>
      <c r="AH92" s="241">
        <f t="shared" ca="1" si="4"/>
        <v>46153</v>
      </c>
      <c r="AI92" s="272"/>
      <c r="AJ92" s="222"/>
      <c r="AK92" s="222"/>
    </row>
    <row r="93" spans="1:37" ht="23.25" hidden="1" customHeight="1">
      <c r="A93" s="111">
        <v>748</v>
      </c>
      <c r="B93" s="112">
        <v>16</v>
      </c>
      <c r="C93" s="122" t="s">
        <v>3979</v>
      </c>
      <c r="D93" s="147" t="s">
        <v>3980</v>
      </c>
      <c r="E93" s="114" t="s">
        <v>3981</v>
      </c>
      <c r="F93" s="115" t="s">
        <v>1480</v>
      </c>
      <c r="G93" s="115" t="s">
        <v>918</v>
      </c>
      <c r="H93" s="115">
        <v>13.699220199999999</v>
      </c>
      <c r="I93" s="115">
        <v>100.5427775</v>
      </c>
      <c r="J93" s="115" t="s">
        <v>890</v>
      </c>
      <c r="K93" s="117" t="s">
        <v>891</v>
      </c>
      <c r="L93" s="117" t="s">
        <v>891</v>
      </c>
      <c r="M93" s="121">
        <v>97200411</v>
      </c>
      <c r="N93" s="121" t="s">
        <v>892</v>
      </c>
      <c r="O93" s="121" t="s">
        <v>918</v>
      </c>
      <c r="P93" s="117" t="s">
        <v>952</v>
      </c>
      <c r="Q93" s="125" t="s">
        <v>972</v>
      </c>
      <c r="R93" s="125" t="s">
        <v>972</v>
      </c>
      <c r="S93" s="125" t="s">
        <v>972</v>
      </c>
      <c r="T93" s="274" t="s">
        <v>5212</v>
      </c>
      <c r="U93" s="312" t="s">
        <v>5192</v>
      </c>
      <c r="V93" s="329">
        <v>44979</v>
      </c>
      <c r="W93" s="326">
        <v>30</v>
      </c>
      <c r="X93" s="331">
        <f t="shared" si="5"/>
        <v>45009</v>
      </c>
      <c r="Y93" s="312"/>
      <c r="Z93" s="332" t="e">
        <f t="shared" si="3"/>
        <v>#NUM!</v>
      </c>
      <c r="AA93" s="331"/>
      <c r="AB93" s="331"/>
      <c r="AC93" s="331"/>
      <c r="AD93" s="331"/>
      <c r="AE93" s="331"/>
      <c r="AF93" s="331"/>
      <c r="AG93" s="331"/>
      <c r="AH93" s="329">
        <f t="shared" ca="1" si="4"/>
        <v>46153</v>
      </c>
      <c r="AI93" s="330"/>
      <c r="AJ93" s="312" t="s">
        <v>5143</v>
      </c>
      <c r="AK93" s="312" t="s">
        <v>5149</v>
      </c>
    </row>
    <row r="94" spans="1:37" ht="23.25" hidden="1" customHeight="1">
      <c r="A94" s="111">
        <v>797</v>
      </c>
      <c r="B94" s="112">
        <v>5</v>
      </c>
      <c r="C94" s="113" t="s">
        <v>4089</v>
      </c>
      <c r="D94" s="147" t="s">
        <v>4090</v>
      </c>
      <c r="E94" s="114" t="s">
        <v>4091</v>
      </c>
      <c r="F94" s="115" t="s">
        <v>1480</v>
      </c>
      <c r="G94" s="115" t="s">
        <v>1542</v>
      </c>
      <c r="H94" s="116">
        <v>13.7267004</v>
      </c>
      <c r="I94" s="116">
        <v>100.52790299999999</v>
      </c>
      <c r="J94" s="116" t="s">
        <v>2097</v>
      </c>
      <c r="K94" s="116" t="s">
        <v>2097</v>
      </c>
      <c r="L94" s="117" t="s">
        <v>4092</v>
      </c>
      <c r="M94" s="116" t="s">
        <v>1347</v>
      </c>
      <c r="N94" s="121" t="s">
        <v>892</v>
      </c>
      <c r="O94" s="121" t="s">
        <v>918</v>
      </c>
      <c r="P94" s="117" t="s">
        <v>894</v>
      </c>
      <c r="Q94" s="125" t="s">
        <v>972</v>
      </c>
      <c r="R94" s="125" t="s">
        <v>972</v>
      </c>
      <c r="S94" s="125" t="s">
        <v>2830</v>
      </c>
      <c r="T94" s="222"/>
      <c r="U94" s="222"/>
      <c r="V94" s="222"/>
      <c r="W94" s="230"/>
      <c r="X94" s="331">
        <f t="shared" si="5"/>
        <v>0</v>
      </c>
      <c r="Y94" s="222"/>
      <c r="Z94" s="272">
        <f t="shared" si="3"/>
        <v>0</v>
      </c>
      <c r="AA94" s="331"/>
      <c r="AB94" s="331"/>
      <c r="AC94" s="331"/>
      <c r="AD94" s="331"/>
      <c r="AE94" s="331"/>
      <c r="AF94" s="331"/>
      <c r="AG94" s="331"/>
      <c r="AH94" s="241">
        <f t="shared" ca="1" si="4"/>
        <v>46153</v>
      </c>
      <c r="AI94" s="272"/>
      <c r="AJ94" s="222"/>
      <c r="AK94" s="222"/>
    </row>
    <row r="95" spans="1:37" ht="23" hidden="1">
      <c r="A95" s="111">
        <v>756</v>
      </c>
      <c r="B95" s="112" t="s">
        <v>979</v>
      </c>
      <c r="C95" s="113" t="s">
        <v>4148</v>
      </c>
      <c r="D95" s="147" t="s">
        <v>4149</v>
      </c>
      <c r="E95" s="114" t="s">
        <v>4150</v>
      </c>
      <c r="F95" s="115" t="s">
        <v>1480</v>
      </c>
      <c r="G95" s="115" t="s">
        <v>918</v>
      </c>
      <c r="H95" s="116">
        <v>13.706759590000001</v>
      </c>
      <c r="I95" s="116">
        <v>100.5375696</v>
      </c>
      <c r="J95" s="116" t="s">
        <v>890</v>
      </c>
      <c r="K95" s="117" t="s">
        <v>891</v>
      </c>
      <c r="L95" s="117" t="s">
        <v>891</v>
      </c>
      <c r="M95" s="117">
        <v>96894777</v>
      </c>
      <c r="N95" s="120" t="s">
        <v>892</v>
      </c>
      <c r="O95" s="121" t="s">
        <v>918</v>
      </c>
      <c r="P95" s="117" t="s">
        <v>894</v>
      </c>
      <c r="Q95" s="118">
        <v>80057501</v>
      </c>
      <c r="R95" s="119"/>
      <c r="S95" s="119" t="s">
        <v>895</v>
      </c>
      <c r="T95" s="222"/>
      <c r="U95" s="222"/>
      <c r="V95" s="222"/>
      <c r="W95" s="230"/>
      <c r="X95" s="331">
        <f t="shared" si="5"/>
        <v>0</v>
      </c>
      <c r="Y95" s="222"/>
      <c r="Z95" s="272">
        <f t="shared" si="3"/>
        <v>0</v>
      </c>
      <c r="AA95" s="331"/>
      <c r="AB95" s="331"/>
      <c r="AC95" s="331"/>
      <c r="AD95" s="331"/>
      <c r="AE95" s="331"/>
      <c r="AF95" s="331"/>
      <c r="AG95" s="331"/>
      <c r="AH95" s="241">
        <f t="shared" ca="1" si="4"/>
        <v>46153</v>
      </c>
      <c r="AI95" s="272"/>
      <c r="AJ95" s="222"/>
      <c r="AK95" s="222"/>
    </row>
    <row r="96" spans="1:37" s="345" customFormat="1" ht="23.25" hidden="1" customHeight="1">
      <c r="A96" s="111">
        <v>824</v>
      </c>
      <c r="B96" s="112" t="s">
        <v>1114</v>
      </c>
      <c r="C96" s="113" t="s">
        <v>4151</v>
      </c>
      <c r="D96" s="147" t="s">
        <v>4152</v>
      </c>
      <c r="E96" s="114" t="s">
        <v>4153</v>
      </c>
      <c r="F96" s="115" t="s">
        <v>1480</v>
      </c>
      <c r="G96" s="115" t="s">
        <v>1542</v>
      </c>
      <c r="H96" s="116">
        <v>13.723708</v>
      </c>
      <c r="I96" s="116">
        <v>100.529033</v>
      </c>
      <c r="J96" s="116" t="s">
        <v>969</v>
      </c>
      <c r="K96" s="116" t="s">
        <v>970</v>
      </c>
      <c r="L96" s="117" t="s">
        <v>4154</v>
      </c>
      <c r="M96" s="120">
        <v>96941346</v>
      </c>
      <c r="N96" s="121" t="s">
        <v>892</v>
      </c>
      <c r="O96" s="121" t="s">
        <v>918</v>
      </c>
      <c r="P96" s="117" t="s">
        <v>894</v>
      </c>
      <c r="Q96" s="125" t="s">
        <v>972</v>
      </c>
      <c r="R96" s="125" t="s">
        <v>972</v>
      </c>
      <c r="S96" s="125" t="s">
        <v>972</v>
      </c>
      <c r="T96" s="222"/>
      <c r="U96" s="222"/>
      <c r="V96" s="222"/>
      <c r="W96" s="230"/>
      <c r="X96" s="331">
        <f t="shared" si="5"/>
        <v>0</v>
      </c>
      <c r="Y96" s="222"/>
      <c r="Z96" s="272">
        <f t="shared" si="3"/>
        <v>0</v>
      </c>
      <c r="AA96" s="331"/>
      <c r="AB96" s="331"/>
      <c r="AC96" s="331"/>
      <c r="AD96" s="331"/>
      <c r="AE96" s="331"/>
      <c r="AF96" s="331"/>
      <c r="AG96" s="331"/>
      <c r="AH96" s="241">
        <f t="shared" ca="1" si="4"/>
        <v>46153</v>
      </c>
      <c r="AI96" s="272"/>
      <c r="AJ96" s="222"/>
      <c r="AK96" s="222"/>
    </row>
    <row r="97" spans="1:37" ht="23" hidden="1">
      <c r="A97" s="111">
        <v>758</v>
      </c>
      <c r="B97" s="112">
        <v>10</v>
      </c>
      <c r="C97" s="122" t="s">
        <v>4155</v>
      </c>
      <c r="D97" s="147" t="s">
        <v>4156</v>
      </c>
      <c r="E97" s="114" t="s">
        <v>4157</v>
      </c>
      <c r="F97" s="115" t="s">
        <v>1480</v>
      </c>
      <c r="G97" s="115" t="s">
        <v>918</v>
      </c>
      <c r="H97" s="116">
        <v>13.698612600000001</v>
      </c>
      <c r="I97" s="116">
        <v>100.54280780000001</v>
      </c>
      <c r="J97" s="116" t="s">
        <v>890</v>
      </c>
      <c r="K97" s="117" t="s">
        <v>891</v>
      </c>
      <c r="L97" s="117" t="s">
        <v>891</v>
      </c>
      <c r="M97" s="120">
        <v>96961076</v>
      </c>
      <c r="N97" s="120" t="s">
        <v>892</v>
      </c>
      <c r="O97" s="121" t="s">
        <v>918</v>
      </c>
      <c r="P97" s="117" t="s">
        <v>894</v>
      </c>
      <c r="Q97" s="125" t="s">
        <v>972</v>
      </c>
      <c r="R97" s="119"/>
      <c r="S97" s="119" t="s">
        <v>895</v>
      </c>
      <c r="T97" s="222"/>
      <c r="U97" s="222"/>
      <c r="V97" s="222"/>
      <c r="W97" s="230"/>
      <c r="X97" s="331">
        <f t="shared" si="5"/>
        <v>0</v>
      </c>
      <c r="Y97" s="222"/>
      <c r="Z97" s="272">
        <f t="shared" si="3"/>
        <v>0</v>
      </c>
      <c r="AA97" s="331"/>
      <c r="AB97" s="331"/>
      <c r="AC97" s="331"/>
      <c r="AD97" s="331"/>
      <c r="AE97" s="331"/>
      <c r="AF97" s="331"/>
      <c r="AG97" s="331"/>
      <c r="AH97" s="241">
        <f t="shared" ca="1" si="4"/>
        <v>46153</v>
      </c>
      <c r="AI97" s="272"/>
      <c r="AJ97" s="222"/>
      <c r="AK97" s="222"/>
    </row>
    <row r="98" spans="1:37" ht="23" hidden="1">
      <c r="A98" s="111">
        <v>915</v>
      </c>
      <c r="B98" s="112">
        <v>5</v>
      </c>
      <c r="C98" s="113" t="s">
        <v>4165</v>
      </c>
      <c r="D98" s="555" t="s">
        <v>4166</v>
      </c>
      <c r="E98" s="114" t="s">
        <v>4167</v>
      </c>
      <c r="F98" s="115" t="s">
        <v>1480</v>
      </c>
      <c r="G98" s="115" t="s">
        <v>1451</v>
      </c>
      <c r="H98" s="117">
        <v>13.7161147</v>
      </c>
      <c r="I98" s="117">
        <v>100.5333861</v>
      </c>
      <c r="J98" s="116" t="s">
        <v>890</v>
      </c>
      <c r="K98" s="117" t="s">
        <v>891</v>
      </c>
      <c r="L98" s="117" t="s">
        <v>891</v>
      </c>
      <c r="M98" s="120">
        <v>96941349</v>
      </c>
      <c r="N98" s="120" t="s">
        <v>892</v>
      </c>
      <c r="O98" s="121" t="s">
        <v>918</v>
      </c>
      <c r="P98" s="117" t="s">
        <v>894</v>
      </c>
      <c r="Q98" s="125" t="s">
        <v>972</v>
      </c>
      <c r="R98" s="119"/>
      <c r="S98" s="138" t="s">
        <v>895</v>
      </c>
      <c r="T98" s="312" t="s">
        <v>5212</v>
      </c>
      <c r="U98" s="312" t="s">
        <v>5184</v>
      </c>
      <c r="V98" s="329">
        <v>45118</v>
      </c>
      <c r="W98" s="326">
        <v>4</v>
      </c>
      <c r="X98" s="331">
        <f t="shared" si="5"/>
        <v>45122</v>
      </c>
      <c r="Y98" s="329">
        <v>45119</v>
      </c>
      <c r="Z98" s="332" t="e">
        <f t="shared" si="3"/>
        <v>#NUM!</v>
      </c>
      <c r="AA98" s="331"/>
      <c r="AB98" s="331"/>
      <c r="AC98" s="331"/>
      <c r="AD98" s="331"/>
      <c r="AE98" s="331"/>
      <c r="AF98" s="331"/>
      <c r="AG98" s="331"/>
      <c r="AH98" s="329">
        <f t="shared" ca="1" si="4"/>
        <v>46153</v>
      </c>
      <c r="AI98" s="330"/>
      <c r="AJ98" s="312" t="s">
        <v>5143</v>
      </c>
      <c r="AK98" s="312"/>
    </row>
    <row r="99" spans="1:37" ht="23.25" hidden="1" customHeight="1">
      <c r="A99" s="111">
        <v>912</v>
      </c>
      <c r="B99" s="112" t="s">
        <v>1013</v>
      </c>
      <c r="C99" s="113" t="s">
        <v>4387</v>
      </c>
      <c r="D99" s="147" t="s">
        <v>4388</v>
      </c>
      <c r="E99" s="114" t="s">
        <v>4389</v>
      </c>
      <c r="F99" s="115" t="s">
        <v>1480</v>
      </c>
      <c r="G99" s="115" t="s">
        <v>1451</v>
      </c>
      <c r="H99" s="116">
        <v>13.718764999999999</v>
      </c>
      <c r="I99" s="116">
        <v>100.53162450000001</v>
      </c>
      <c r="J99" s="116" t="s">
        <v>969</v>
      </c>
      <c r="K99" s="116" t="s">
        <v>970</v>
      </c>
      <c r="L99" s="117" t="s">
        <v>4390</v>
      </c>
      <c r="M99" s="120">
        <v>96941348</v>
      </c>
      <c r="N99" s="121" t="s">
        <v>892</v>
      </c>
      <c r="O99" s="121" t="s">
        <v>918</v>
      </c>
      <c r="P99" s="117" t="s">
        <v>894</v>
      </c>
      <c r="Q99" s="125" t="s">
        <v>972</v>
      </c>
      <c r="R99" s="125" t="s">
        <v>972</v>
      </c>
      <c r="S99" s="125" t="s">
        <v>972</v>
      </c>
      <c r="T99" s="222"/>
      <c r="U99" s="222"/>
      <c r="V99" s="222"/>
      <c r="W99" s="230"/>
      <c r="X99" s="331">
        <f t="shared" si="5"/>
        <v>0</v>
      </c>
      <c r="Y99" s="222"/>
      <c r="Z99" s="272">
        <f t="shared" si="3"/>
        <v>0</v>
      </c>
      <c r="AA99" s="331"/>
      <c r="AB99" s="331"/>
      <c r="AC99" s="331"/>
      <c r="AD99" s="331"/>
      <c r="AE99" s="331"/>
      <c r="AF99" s="331"/>
      <c r="AG99" s="331"/>
      <c r="AH99" s="241">
        <f t="shared" ca="1" si="4"/>
        <v>46153</v>
      </c>
      <c r="AI99" s="272"/>
      <c r="AJ99" s="222"/>
      <c r="AK99" s="222"/>
    </row>
    <row r="100" spans="1:37" ht="23.25" hidden="1" customHeight="1">
      <c r="A100" s="111">
        <v>914</v>
      </c>
      <c r="B100" s="112">
        <v>10</v>
      </c>
      <c r="C100" s="122" t="s">
        <v>4395</v>
      </c>
      <c r="D100" s="147" t="s">
        <v>4396</v>
      </c>
      <c r="E100" s="123" t="s">
        <v>4397</v>
      </c>
      <c r="F100" s="116" t="s">
        <v>1480</v>
      </c>
      <c r="G100" s="116" t="s">
        <v>1451</v>
      </c>
      <c r="H100" s="116">
        <v>13.716025999999999</v>
      </c>
      <c r="I100" s="116">
        <v>100.53340300000001</v>
      </c>
      <c r="J100" s="116" t="s">
        <v>969</v>
      </c>
      <c r="K100" s="116" t="s">
        <v>970</v>
      </c>
      <c r="L100" s="117" t="s">
        <v>4398</v>
      </c>
      <c r="M100" s="120">
        <v>96941349</v>
      </c>
      <c r="N100" s="121" t="s">
        <v>892</v>
      </c>
      <c r="O100" s="121" t="s">
        <v>918</v>
      </c>
      <c r="P100" s="117" t="s">
        <v>894</v>
      </c>
      <c r="Q100" s="125" t="s">
        <v>972</v>
      </c>
      <c r="R100" s="125" t="s">
        <v>972</v>
      </c>
      <c r="S100" s="125" t="s">
        <v>972</v>
      </c>
      <c r="T100" s="312" t="s">
        <v>5212</v>
      </c>
      <c r="U100" s="312" t="s">
        <v>5117</v>
      </c>
      <c r="V100" s="329">
        <v>45118</v>
      </c>
      <c r="W100" s="326">
        <v>4</v>
      </c>
      <c r="X100" s="331">
        <f t="shared" si="5"/>
        <v>45122</v>
      </c>
      <c r="Y100" s="329">
        <v>45119</v>
      </c>
      <c r="Z100" s="332" t="e">
        <f t="shared" si="3"/>
        <v>#NUM!</v>
      </c>
      <c r="AA100" s="331"/>
      <c r="AB100" s="331"/>
      <c r="AC100" s="331"/>
      <c r="AD100" s="331"/>
      <c r="AE100" s="331"/>
      <c r="AF100" s="331"/>
      <c r="AG100" s="331"/>
      <c r="AH100" s="329">
        <f t="shared" ca="1" si="4"/>
        <v>46153</v>
      </c>
      <c r="AI100" s="330"/>
      <c r="AJ100" s="312" t="s">
        <v>5143</v>
      </c>
      <c r="AK100" s="312"/>
    </row>
    <row r="101" spans="1:37" ht="23.25" hidden="1" customHeight="1">
      <c r="A101" s="111">
        <v>916</v>
      </c>
      <c r="B101" s="112">
        <v>7</v>
      </c>
      <c r="C101" s="113" t="s">
        <v>4402</v>
      </c>
      <c r="D101" s="147" t="s">
        <v>4403</v>
      </c>
      <c r="E101" s="114" t="s">
        <v>4404</v>
      </c>
      <c r="F101" s="115" t="s">
        <v>1480</v>
      </c>
      <c r="G101" s="115" t="s">
        <v>1451</v>
      </c>
      <c r="H101" s="116">
        <v>13.714599</v>
      </c>
      <c r="I101" s="116">
        <v>100.533694</v>
      </c>
      <c r="J101" s="116" t="s">
        <v>969</v>
      </c>
      <c r="K101" s="116" t="s">
        <v>970</v>
      </c>
      <c r="L101" s="117" t="s">
        <v>4405</v>
      </c>
      <c r="M101" s="120">
        <v>96941351</v>
      </c>
      <c r="N101" s="121" t="s">
        <v>892</v>
      </c>
      <c r="O101" s="121" t="s">
        <v>918</v>
      </c>
      <c r="P101" s="117" t="s">
        <v>894</v>
      </c>
      <c r="Q101" s="125" t="s">
        <v>972</v>
      </c>
      <c r="R101" s="125" t="s">
        <v>972</v>
      </c>
      <c r="S101" s="125" t="s">
        <v>972</v>
      </c>
      <c r="T101" s="222"/>
      <c r="U101" s="222"/>
      <c r="V101" s="222"/>
      <c r="W101" s="230"/>
      <c r="X101" s="331">
        <f t="shared" si="5"/>
        <v>0</v>
      </c>
      <c r="Y101" s="222"/>
      <c r="Z101" s="272">
        <f t="shared" si="3"/>
        <v>0</v>
      </c>
      <c r="AA101" s="331"/>
      <c r="AB101" s="331"/>
      <c r="AC101" s="331"/>
      <c r="AD101" s="331"/>
      <c r="AE101" s="331"/>
      <c r="AF101" s="331"/>
      <c r="AG101" s="331"/>
      <c r="AH101" s="241">
        <f t="shared" ca="1" si="4"/>
        <v>46153</v>
      </c>
      <c r="AI101" s="272"/>
      <c r="AJ101" s="222"/>
      <c r="AK101" s="222"/>
    </row>
    <row r="102" spans="1:37" ht="23.25" hidden="1" customHeight="1">
      <c r="A102" s="111">
        <v>919</v>
      </c>
      <c r="B102" s="112">
        <v>12</v>
      </c>
      <c r="C102" s="113" t="s">
        <v>4414</v>
      </c>
      <c r="D102" s="555" t="s">
        <v>4415</v>
      </c>
      <c r="E102" s="114" t="s">
        <v>4416</v>
      </c>
      <c r="F102" s="115" t="s">
        <v>1480</v>
      </c>
      <c r="G102" s="115" t="s">
        <v>1451</v>
      </c>
      <c r="H102" s="116">
        <v>13.7134933</v>
      </c>
      <c r="I102" s="116">
        <v>100.53469560000001</v>
      </c>
      <c r="J102" s="116" t="s">
        <v>890</v>
      </c>
      <c r="K102" s="117" t="s">
        <v>891</v>
      </c>
      <c r="L102" s="117" t="s">
        <v>891</v>
      </c>
      <c r="M102" s="120">
        <v>96941361</v>
      </c>
      <c r="N102" s="121" t="s">
        <v>892</v>
      </c>
      <c r="O102" s="121" t="s">
        <v>918</v>
      </c>
      <c r="P102" s="117" t="s">
        <v>894</v>
      </c>
      <c r="Q102" s="125" t="s">
        <v>972</v>
      </c>
      <c r="R102" s="125" t="s">
        <v>972</v>
      </c>
      <c r="S102" s="125" t="s">
        <v>972</v>
      </c>
      <c r="T102" s="274" t="s">
        <v>5212</v>
      </c>
      <c r="U102" s="312" t="s">
        <v>5184</v>
      </c>
      <c r="V102" s="329">
        <v>45005</v>
      </c>
      <c r="W102" s="326">
        <v>4</v>
      </c>
      <c r="X102" s="331">
        <f t="shared" si="5"/>
        <v>45009</v>
      </c>
      <c r="Y102" s="329">
        <v>45043</v>
      </c>
      <c r="Z102" s="332">
        <f t="shared" si="3"/>
        <v>34</v>
      </c>
      <c r="AA102" s="331"/>
      <c r="AB102" s="331"/>
      <c r="AC102" s="331"/>
      <c r="AD102" s="331"/>
      <c r="AE102" s="331"/>
      <c r="AF102" s="331"/>
      <c r="AG102" s="331"/>
      <c r="AH102" s="329">
        <f t="shared" ca="1" si="4"/>
        <v>46153</v>
      </c>
      <c r="AI102" s="330"/>
      <c r="AJ102" s="312" t="s">
        <v>5143</v>
      </c>
      <c r="AK102" s="312"/>
    </row>
    <row r="103" spans="1:37" ht="23.25" hidden="1" customHeight="1">
      <c r="A103" s="111">
        <v>920</v>
      </c>
      <c r="B103" s="112" t="s">
        <v>1022</v>
      </c>
      <c r="C103" s="113" t="s">
        <v>4417</v>
      </c>
      <c r="D103" s="147" t="s">
        <v>4418</v>
      </c>
      <c r="E103" s="114" t="s">
        <v>4419</v>
      </c>
      <c r="F103" s="115" t="s">
        <v>1480</v>
      </c>
      <c r="G103" s="115" t="s">
        <v>1451</v>
      </c>
      <c r="H103" s="116">
        <v>13.70993</v>
      </c>
      <c r="I103" s="116">
        <v>100.536039</v>
      </c>
      <c r="J103" s="116" t="s">
        <v>969</v>
      </c>
      <c r="K103" s="116" t="s">
        <v>970</v>
      </c>
      <c r="L103" s="117" t="s">
        <v>4420</v>
      </c>
      <c r="M103" s="120">
        <v>96939777</v>
      </c>
      <c r="N103" s="121" t="s">
        <v>892</v>
      </c>
      <c r="O103" s="121" t="s">
        <v>918</v>
      </c>
      <c r="P103" s="117" t="s">
        <v>894</v>
      </c>
      <c r="Q103" s="125" t="s">
        <v>972</v>
      </c>
      <c r="R103" s="125" t="s">
        <v>972</v>
      </c>
      <c r="S103" s="125" t="s">
        <v>972</v>
      </c>
      <c r="T103" s="222"/>
      <c r="U103" s="222"/>
      <c r="V103" s="222"/>
      <c r="W103" s="230"/>
      <c r="X103" s="331">
        <f t="shared" si="5"/>
        <v>0</v>
      </c>
      <c r="Y103" s="222"/>
      <c r="Z103" s="272">
        <f t="shared" si="3"/>
        <v>0</v>
      </c>
      <c r="AA103" s="331"/>
      <c r="AB103" s="331"/>
      <c r="AC103" s="331"/>
      <c r="AD103" s="331"/>
      <c r="AE103" s="331"/>
      <c r="AF103" s="331"/>
      <c r="AG103" s="331"/>
      <c r="AH103" s="241">
        <f t="shared" ca="1" si="4"/>
        <v>46153</v>
      </c>
      <c r="AI103" s="272"/>
      <c r="AJ103" s="222"/>
      <c r="AK103" s="222"/>
    </row>
    <row r="104" spans="1:37" ht="23" hidden="1">
      <c r="A104" s="111">
        <v>922</v>
      </c>
      <c r="B104" s="112">
        <v>9</v>
      </c>
      <c r="C104" s="113" t="s">
        <v>4424</v>
      </c>
      <c r="D104" s="147" t="s">
        <v>4425</v>
      </c>
      <c r="E104" s="114" t="s">
        <v>4426</v>
      </c>
      <c r="F104" s="115" t="s">
        <v>1480</v>
      </c>
      <c r="G104" s="115" t="s">
        <v>1451</v>
      </c>
      <c r="H104" s="116">
        <v>13.709654</v>
      </c>
      <c r="I104" s="116">
        <v>100.536571</v>
      </c>
      <c r="J104" s="116" t="s">
        <v>969</v>
      </c>
      <c r="K104" s="115" t="s">
        <v>1048</v>
      </c>
      <c r="L104" s="117" t="s">
        <v>4427</v>
      </c>
      <c r="M104" s="117">
        <v>96937710</v>
      </c>
      <c r="N104" s="121" t="s">
        <v>892</v>
      </c>
      <c r="O104" s="121" t="s">
        <v>918</v>
      </c>
      <c r="P104" s="117" t="s">
        <v>1876</v>
      </c>
      <c r="Q104" s="125" t="s">
        <v>972</v>
      </c>
      <c r="R104" s="125" t="s">
        <v>972</v>
      </c>
      <c r="S104" s="125" t="s">
        <v>972</v>
      </c>
      <c r="T104" s="305" t="s">
        <v>5212</v>
      </c>
      <c r="U104" s="305" t="s">
        <v>5184</v>
      </c>
      <c r="V104" s="329">
        <v>45118</v>
      </c>
      <c r="W104" s="326">
        <v>4</v>
      </c>
      <c r="X104" s="331">
        <f t="shared" si="5"/>
        <v>45122</v>
      </c>
      <c r="Y104" s="329">
        <v>45119</v>
      </c>
      <c r="Z104" s="332" t="e">
        <f t="shared" si="3"/>
        <v>#NUM!</v>
      </c>
      <c r="AA104" s="331"/>
      <c r="AB104" s="331"/>
      <c r="AC104" s="331"/>
      <c r="AD104" s="331"/>
      <c r="AE104" s="331"/>
      <c r="AF104" s="331"/>
      <c r="AG104" s="331"/>
      <c r="AH104" s="331">
        <f t="shared" ca="1" si="4"/>
        <v>46153</v>
      </c>
      <c r="AI104" s="332"/>
      <c r="AJ104" s="312" t="s">
        <v>5143</v>
      </c>
      <c r="AK104" s="305"/>
    </row>
    <row r="105" spans="1:37" ht="23.25" hidden="1" customHeight="1">
      <c r="A105" s="111">
        <v>923</v>
      </c>
      <c r="B105" s="112">
        <v>8</v>
      </c>
      <c r="C105" s="113" t="s">
        <v>4428</v>
      </c>
      <c r="D105" s="147" t="s">
        <v>4429</v>
      </c>
      <c r="E105" s="114" t="s">
        <v>4430</v>
      </c>
      <c r="F105" s="115" t="s">
        <v>1480</v>
      </c>
      <c r="G105" s="115" t="s">
        <v>1451</v>
      </c>
      <c r="H105" s="116">
        <v>13.709408</v>
      </c>
      <c r="I105" s="116">
        <v>100.536693</v>
      </c>
      <c r="J105" s="116" t="s">
        <v>969</v>
      </c>
      <c r="K105" s="115" t="s">
        <v>1048</v>
      </c>
      <c r="L105" s="117" t="s">
        <v>4427</v>
      </c>
      <c r="M105" s="117">
        <v>96937710</v>
      </c>
      <c r="N105" s="121" t="s">
        <v>892</v>
      </c>
      <c r="O105" s="121" t="s">
        <v>918</v>
      </c>
      <c r="P105" s="117" t="s">
        <v>1876</v>
      </c>
      <c r="Q105" s="125" t="s">
        <v>972</v>
      </c>
      <c r="R105" s="125" t="s">
        <v>972</v>
      </c>
      <c r="S105" s="125" t="s">
        <v>972</v>
      </c>
      <c r="T105" s="222"/>
      <c r="U105" s="222"/>
      <c r="V105" s="222"/>
      <c r="W105" s="230"/>
      <c r="X105" s="331">
        <f t="shared" si="5"/>
        <v>0</v>
      </c>
      <c r="Y105" s="222"/>
      <c r="Z105" s="272">
        <f t="shared" si="3"/>
        <v>0</v>
      </c>
      <c r="AA105" s="331"/>
      <c r="AB105" s="331"/>
      <c r="AC105" s="331"/>
      <c r="AD105" s="331"/>
      <c r="AE105" s="331"/>
      <c r="AF105" s="331"/>
      <c r="AG105" s="331"/>
      <c r="AH105" s="241">
        <f t="shared" ca="1" si="4"/>
        <v>46153</v>
      </c>
      <c r="AI105" s="272"/>
      <c r="AJ105" s="222"/>
      <c r="AK105" s="222"/>
    </row>
    <row r="106" spans="1:37" ht="23.25" hidden="1" customHeight="1">
      <c r="A106" s="111">
        <v>924</v>
      </c>
      <c r="B106" s="128" t="s">
        <v>1086</v>
      </c>
      <c r="C106" s="113" t="s">
        <v>4431</v>
      </c>
      <c r="D106" s="147" t="s">
        <v>4432</v>
      </c>
      <c r="E106" s="114" t="s">
        <v>4433</v>
      </c>
      <c r="F106" s="115" t="s">
        <v>1480</v>
      </c>
      <c r="G106" s="115" t="s">
        <v>1451</v>
      </c>
      <c r="H106" s="115">
        <v>13.7056922</v>
      </c>
      <c r="I106" s="115">
        <v>100.5386359</v>
      </c>
      <c r="J106" s="116" t="s">
        <v>969</v>
      </c>
      <c r="K106" s="116" t="s">
        <v>970</v>
      </c>
      <c r="L106" s="117" t="s">
        <v>4434</v>
      </c>
      <c r="M106" s="120">
        <v>96941367</v>
      </c>
      <c r="N106" s="121" t="s">
        <v>892</v>
      </c>
      <c r="O106" s="121" t="s">
        <v>918</v>
      </c>
      <c r="P106" s="117" t="s">
        <v>894</v>
      </c>
      <c r="Q106" s="125" t="s">
        <v>972</v>
      </c>
      <c r="R106" s="125" t="s">
        <v>972</v>
      </c>
      <c r="S106" s="125" t="s">
        <v>972</v>
      </c>
      <c r="T106" s="305" t="s">
        <v>5212</v>
      </c>
      <c r="U106" s="305" t="s">
        <v>5184</v>
      </c>
      <c r="V106" s="329">
        <v>45118</v>
      </c>
      <c r="W106" s="326">
        <v>4</v>
      </c>
      <c r="X106" s="331">
        <f t="shared" si="5"/>
        <v>45122</v>
      </c>
      <c r="Y106" s="329">
        <v>45119</v>
      </c>
      <c r="Z106" s="332" t="e">
        <f t="shared" si="3"/>
        <v>#NUM!</v>
      </c>
      <c r="AA106" s="331"/>
      <c r="AB106" s="331"/>
      <c r="AC106" s="331"/>
      <c r="AD106" s="331"/>
      <c r="AE106" s="331"/>
      <c r="AF106" s="331"/>
      <c r="AG106" s="331"/>
      <c r="AH106" s="331">
        <f t="shared" ca="1" si="4"/>
        <v>46153</v>
      </c>
      <c r="AI106" s="332"/>
      <c r="AJ106" s="312" t="s">
        <v>5143</v>
      </c>
      <c r="AK106" s="305"/>
    </row>
    <row r="107" spans="1:37" ht="23.25" hidden="1" customHeight="1">
      <c r="A107" s="111">
        <v>554</v>
      </c>
      <c r="B107" s="112">
        <v>9</v>
      </c>
      <c r="C107" s="113" t="s">
        <v>1519</v>
      </c>
      <c r="D107" s="147" t="s">
        <v>1520</v>
      </c>
      <c r="E107" s="114" t="s">
        <v>1521</v>
      </c>
      <c r="F107" s="115" t="s">
        <v>1522</v>
      </c>
      <c r="G107" s="115" t="s">
        <v>1217</v>
      </c>
      <c r="H107" s="116">
        <v>13.7877109</v>
      </c>
      <c r="I107" s="116">
        <v>100.64990280000001</v>
      </c>
      <c r="J107" s="115" t="s">
        <v>890</v>
      </c>
      <c r="K107" s="117" t="s">
        <v>891</v>
      </c>
      <c r="L107" s="117" t="s">
        <v>891</v>
      </c>
      <c r="M107" s="117">
        <v>96895735</v>
      </c>
      <c r="N107" s="121" t="s">
        <v>892</v>
      </c>
      <c r="O107" s="121" t="s">
        <v>906</v>
      </c>
      <c r="P107" s="121" t="s">
        <v>902</v>
      </c>
      <c r="Q107" s="118">
        <v>80057501</v>
      </c>
      <c r="R107" s="119" t="s">
        <v>895</v>
      </c>
      <c r="S107" s="119" t="s">
        <v>895</v>
      </c>
      <c r="T107" s="222"/>
      <c r="U107" s="222"/>
      <c r="V107" s="222"/>
      <c r="W107" s="230"/>
      <c r="X107" s="331">
        <f t="shared" si="5"/>
        <v>0</v>
      </c>
      <c r="Y107" s="222"/>
      <c r="Z107" s="272">
        <f t="shared" si="3"/>
        <v>0</v>
      </c>
      <c r="AA107" s="331"/>
      <c r="AB107" s="331"/>
      <c r="AC107" s="331"/>
      <c r="AD107" s="331"/>
      <c r="AE107" s="331"/>
      <c r="AF107" s="331"/>
      <c r="AG107" s="331"/>
      <c r="AH107" s="241">
        <f t="shared" ca="1" si="4"/>
        <v>46153</v>
      </c>
      <c r="AI107" s="272"/>
      <c r="AJ107" s="222"/>
      <c r="AK107" s="222"/>
    </row>
    <row r="108" spans="1:37" ht="23.25" hidden="1" customHeight="1">
      <c r="A108" s="111">
        <v>516</v>
      </c>
      <c r="B108" s="112">
        <v>10</v>
      </c>
      <c r="C108" s="113" t="s">
        <v>3415</v>
      </c>
      <c r="D108" s="147" t="s">
        <v>3416</v>
      </c>
      <c r="E108" s="114" t="s">
        <v>3417</v>
      </c>
      <c r="F108" s="115" t="s">
        <v>1522</v>
      </c>
      <c r="G108" s="115" t="s">
        <v>1217</v>
      </c>
      <c r="H108" s="116">
        <v>13.8206779</v>
      </c>
      <c r="I108" s="116">
        <v>100.6548004</v>
      </c>
      <c r="J108" s="115" t="s">
        <v>2108</v>
      </c>
      <c r="K108" s="117" t="s">
        <v>2109</v>
      </c>
      <c r="L108" s="117" t="s">
        <v>2110</v>
      </c>
      <c r="M108" s="121" t="s">
        <v>972</v>
      </c>
      <c r="N108" s="121" t="s">
        <v>972</v>
      </c>
      <c r="O108" s="121" t="s">
        <v>906</v>
      </c>
      <c r="P108" s="117" t="s">
        <v>1876</v>
      </c>
      <c r="Q108" s="125" t="s">
        <v>972</v>
      </c>
      <c r="R108" s="125" t="s">
        <v>972</v>
      </c>
      <c r="S108" s="125" t="s">
        <v>972</v>
      </c>
      <c r="T108" s="222"/>
      <c r="U108" s="222"/>
      <c r="V108" s="222"/>
      <c r="W108" s="230"/>
      <c r="X108" s="331">
        <f t="shared" si="5"/>
        <v>0</v>
      </c>
      <c r="Y108" s="222"/>
      <c r="Z108" s="272">
        <f t="shared" si="3"/>
        <v>0</v>
      </c>
      <c r="AA108" s="331"/>
      <c r="AB108" s="331"/>
      <c r="AC108" s="331"/>
      <c r="AD108" s="331"/>
      <c r="AE108" s="331"/>
      <c r="AF108" s="331"/>
      <c r="AG108" s="331"/>
      <c r="AH108" s="241">
        <f t="shared" ca="1" si="4"/>
        <v>46153</v>
      </c>
      <c r="AI108" s="272"/>
      <c r="AJ108" s="222"/>
      <c r="AK108" s="222"/>
    </row>
    <row r="109" spans="1:37" ht="23.25" hidden="1" customHeight="1">
      <c r="A109" s="111">
        <v>527</v>
      </c>
      <c r="B109" s="112">
        <v>6</v>
      </c>
      <c r="C109" s="113" t="s">
        <v>3439</v>
      </c>
      <c r="D109" s="147" t="s">
        <v>3440</v>
      </c>
      <c r="E109" s="114" t="s">
        <v>3441</v>
      </c>
      <c r="F109" s="115" t="s">
        <v>1522</v>
      </c>
      <c r="G109" s="115" t="s">
        <v>901</v>
      </c>
      <c r="H109" s="116">
        <v>13.7808624</v>
      </c>
      <c r="I109" s="116">
        <v>100.6452651</v>
      </c>
      <c r="J109" s="115" t="s">
        <v>2108</v>
      </c>
      <c r="K109" s="117" t="s">
        <v>2109</v>
      </c>
      <c r="L109" s="117" t="s">
        <v>2110</v>
      </c>
      <c r="M109" s="121" t="s">
        <v>972</v>
      </c>
      <c r="N109" s="121" t="s">
        <v>972</v>
      </c>
      <c r="O109" s="121" t="s">
        <v>906</v>
      </c>
      <c r="P109" s="118" t="s">
        <v>1876</v>
      </c>
      <c r="Q109" s="125" t="s">
        <v>972</v>
      </c>
      <c r="R109" s="125" t="s">
        <v>972</v>
      </c>
      <c r="S109" s="125" t="s">
        <v>972</v>
      </c>
      <c r="T109" s="222"/>
      <c r="U109" s="222"/>
      <c r="V109" s="222"/>
      <c r="W109" s="230"/>
      <c r="X109" s="331">
        <f t="shared" si="5"/>
        <v>0</v>
      </c>
      <c r="Y109" s="222"/>
      <c r="Z109" s="272">
        <f t="shared" si="3"/>
        <v>0</v>
      </c>
      <c r="AA109" s="331"/>
      <c r="AB109" s="331"/>
      <c r="AC109" s="331"/>
      <c r="AD109" s="331"/>
      <c r="AE109" s="331"/>
      <c r="AF109" s="331"/>
      <c r="AG109" s="331"/>
      <c r="AH109" s="241">
        <f t="shared" ca="1" si="4"/>
        <v>46153</v>
      </c>
      <c r="AI109" s="272"/>
      <c r="AJ109" s="222"/>
      <c r="AK109" s="222"/>
    </row>
    <row r="110" spans="1:37" ht="23.25" hidden="1" customHeight="1">
      <c r="A110" s="111">
        <v>531</v>
      </c>
      <c r="B110" s="112">
        <v>5</v>
      </c>
      <c r="C110" s="113" t="s">
        <v>3449</v>
      </c>
      <c r="D110" s="147" t="s">
        <v>3450</v>
      </c>
      <c r="E110" s="114" t="s">
        <v>3451</v>
      </c>
      <c r="F110" s="115" t="s">
        <v>1522</v>
      </c>
      <c r="G110" s="115" t="s">
        <v>1217</v>
      </c>
      <c r="H110" s="116">
        <v>13.8104674</v>
      </c>
      <c r="I110" s="116">
        <v>100.650273</v>
      </c>
      <c r="J110" s="115" t="s">
        <v>2108</v>
      </c>
      <c r="K110" s="117" t="s">
        <v>2109</v>
      </c>
      <c r="L110" s="117" t="s">
        <v>2110</v>
      </c>
      <c r="M110" s="121" t="s">
        <v>972</v>
      </c>
      <c r="N110" s="121" t="s">
        <v>972</v>
      </c>
      <c r="O110" s="121" t="s">
        <v>906</v>
      </c>
      <c r="P110" s="117" t="s">
        <v>1876</v>
      </c>
      <c r="Q110" s="125" t="s">
        <v>972</v>
      </c>
      <c r="R110" s="125" t="s">
        <v>972</v>
      </c>
      <c r="S110" s="125" t="s">
        <v>972</v>
      </c>
      <c r="T110" s="222"/>
      <c r="U110" s="222"/>
      <c r="V110" s="222"/>
      <c r="W110" s="230"/>
      <c r="X110" s="331">
        <f t="shared" si="5"/>
        <v>0</v>
      </c>
      <c r="Y110" s="222"/>
      <c r="Z110" s="272">
        <f t="shared" si="3"/>
        <v>0</v>
      </c>
      <c r="AA110" s="331"/>
      <c r="AB110" s="331"/>
      <c r="AC110" s="331"/>
      <c r="AD110" s="331"/>
      <c r="AE110" s="331"/>
      <c r="AF110" s="331"/>
      <c r="AG110" s="331"/>
      <c r="AH110" s="241">
        <f t="shared" ca="1" si="4"/>
        <v>46153</v>
      </c>
      <c r="AI110" s="272"/>
      <c r="AJ110" s="222"/>
      <c r="AK110" s="222"/>
    </row>
    <row r="111" spans="1:37" ht="23" hidden="1">
      <c r="A111" s="111">
        <v>548</v>
      </c>
      <c r="B111" s="112">
        <v>1</v>
      </c>
      <c r="C111" s="113" t="s">
        <v>3478</v>
      </c>
      <c r="D111" s="147" t="s">
        <v>3479</v>
      </c>
      <c r="E111" s="114" t="s">
        <v>3480</v>
      </c>
      <c r="F111" s="115" t="s">
        <v>1522</v>
      </c>
      <c r="G111" s="115" t="s">
        <v>1217</v>
      </c>
      <c r="H111" s="116">
        <v>13.818693</v>
      </c>
      <c r="I111" s="116">
        <v>100.654014</v>
      </c>
      <c r="J111" s="115" t="s">
        <v>2108</v>
      </c>
      <c r="K111" s="117" t="s">
        <v>2109</v>
      </c>
      <c r="L111" s="117" t="s">
        <v>2110</v>
      </c>
      <c r="M111" s="121" t="s">
        <v>972</v>
      </c>
      <c r="N111" s="121" t="s">
        <v>972</v>
      </c>
      <c r="O111" s="121" t="s">
        <v>906</v>
      </c>
      <c r="P111" s="117" t="s">
        <v>1876</v>
      </c>
      <c r="Q111" s="125" t="s">
        <v>972</v>
      </c>
      <c r="R111" s="125" t="s">
        <v>972</v>
      </c>
      <c r="S111" s="125" t="s">
        <v>972</v>
      </c>
      <c r="T111" s="222"/>
      <c r="U111" s="222"/>
      <c r="V111" s="222"/>
      <c r="W111" s="230"/>
      <c r="X111" s="331">
        <f t="shared" si="5"/>
        <v>0</v>
      </c>
      <c r="Y111" s="222"/>
      <c r="Z111" s="272">
        <f t="shared" si="3"/>
        <v>0</v>
      </c>
      <c r="AA111" s="331"/>
      <c r="AB111" s="331"/>
      <c r="AC111" s="331"/>
      <c r="AD111" s="331"/>
      <c r="AE111" s="331"/>
      <c r="AF111" s="331"/>
      <c r="AG111" s="331"/>
      <c r="AH111" s="241">
        <f t="shared" ca="1" si="4"/>
        <v>46153</v>
      </c>
      <c r="AI111" s="272"/>
      <c r="AJ111" s="222"/>
      <c r="AK111" s="222"/>
    </row>
    <row r="112" spans="1:37" ht="23.25" hidden="1" customHeight="1">
      <c r="A112" s="111">
        <v>584</v>
      </c>
      <c r="B112" s="112">
        <v>3</v>
      </c>
      <c r="C112" s="122" t="s">
        <v>3581</v>
      </c>
      <c r="D112" s="147" t="s">
        <v>3582</v>
      </c>
      <c r="E112" s="123" t="s">
        <v>3583</v>
      </c>
      <c r="F112" s="115" t="s">
        <v>1522</v>
      </c>
      <c r="G112" s="115" t="s">
        <v>1217</v>
      </c>
      <c r="H112" s="116">
        <v>13.786545</v>
      </c>
      <c r="I112" s="116">
        <v>100.64910500000001</v>
      </c>
      <c r="J112" s="115" t="s">
        <v>2108</v>
      </c>
      <c r="K112" s="117" t="s">
        <v>2109</v>
      </c>
      <c r="L112" s="117" t="s">
        <v>2110</v>
      </c>
      <c r="M112" s="121" t="s">
        <v>972</v>
      </c>
      <c r="N112" s="121" t="s">
        <v>972</v>
      </c>
      <c r="O112" s="121" t="s">
        <v>906</v>
      </c>
      <c r="P112" s="117" t="s">
        <v>902</v>
      </c>
      <c r="Q112" s="125" t="s">
        <v>972</v>
      </c>
      <c r="R112" s="125" t="s">
        <v>972</v>
      </c>
      <c r="S112" s="125" t="s">
        <v>972</v>
      </c>
      <c r="T112" s="222"/>
      <c r="U112" s="222"/>
      <c r="V112" s="222"/>
      <c r="W112" s="230"/>
      <c r="X112" s="331">
        <f t="shared" si="5"/>
        <v>0</v>
      </c>
      <c r="Y112" s="222"/>
      <c r="Z112" s="272">
        <f t="shared" si="3"/>
        <v>0</v>
      </c>
      <c r="AA112" s="331"/>
      <c r="AB112" s="331"/>
      <c r="AC112" s="331"/>
      <c r="AD112" s="331"/>
      <c r="AE112" s="331"/>
      <c r="AF112" s="331"/>
      <c r="AG112" s="331"/>
      <c r="AH112" s="241">
        <f t="shared" ca="1" si="4"/>
        <v>46153</v>
      </c>
      <c r="AI112" s="272"/>
      <c r="AJ112" s="222"/>
      <c r="AK112" s="222"/>
    </row>
    <row r="113" spans="1:37" ht="23.25" hidden="1" customHeight="1">
      <c r="A113" s="111">
        <v>708</v>
      </c>
      <c r="B113" s="112">
        <v>3</v>
      </c>
      <c r="C113" s="122" t="s">
        <v>3866</v>
      </c>
      <c r="D113" s="147" t="s">
        <v>3867</v>
      </c>
      <c r="E113" s="123" t="s">
        <v>3868</v>
      </c>
      <c r="F113" s="115" t="s">
        <v>1522</v>
      </c>
      <c r="G113" s="115" t="s">
        <v>1217</v>
      </c>
      <c r="H113" s="116">
        <v>13.826478</v>
      </c>
      <c r="I113" s="116">
        <v>100.657327</v>
      </c>
      <c r="J113" s="115" t="s">
        <v>2108</v>
      </c>
      <c r="K113" s="117" t="s">
        <v>2109</v>
      </c>
      <c r="L113" s="117" t="s">
        <v>2110</v>
      </c>
      <c r="M113" s="121" t="s">
        <v>972</v>
      </c>
      <c r="N113" s="121" t="s">
        <v>972</v>
      </c>
      <c r="O113" s="121" t="s">
        <v>906</v>
      </c>
      <c r="P113" s="117" t="s">
        <v>1876</v>
      </c>
      <c r="Q113" s="125" t="s">
        <v>972</v>
      </c>
      <c r="R113" s="125" t="s">
        <v>972</v>
      </c>
      <c r="S113" s="125" t="s">
        <v>972</v>
      </c>
      <c r="T113" s="222"/>
      <c r="U113" s="222"/>
      <c r="V113" s="222"/>
      <c r="W113" s="230"/>
      <c r="X113" s="331">
        <f t="shared" si="5"/>
        <v>0</v>
      </c>
      <c r="Y113" s="222"/>
      <c r="Z113" s="272">
        <f t="shared" si="3"/>
        <v>0</v>
      </c>
      <c r="AA113" s="331"/>
      <c r="AB113" s="331"/>
      <c r="AC113" s="331"/>
      <c r="AD113" s="331"/>
      <c r="AE113" s="331"/>
      <c r="AF113" s="331"/>
      <c r="AG113" s="331"/>
      <c r="AH113" s="241">
        <f t="shared" ca="1" si="4"/>
        <v>46153</v>
      </c>
      <c r="AI113" s="272"/>
      <c r="AJ113" s="222"/>
      <c r="AK113" s="222"/>
    </row>
    <row r="114" spans="1:37" ht="23.25" hidden="1" customHeight="1">
      <c r="A114" s="111">
        <v>214</v>
      </c>
      <c r="B114" s="112">
        <v>7</v>
      </c>
      <c r="C114" s="113" t="s">
        <v>1138</v>
      </c>
      <c r="D114" s="147" t="s">
        <v>1139</v>
      </c>
      <c r="E114" s="114" t="s">
        <v>1140</v>
      </c>
      <c r="F114" s="115" t="s">
        <v>1141</v>
      </c>
      <c r="G114" s="115" t="s">
        <v>918</v>
      </c>
      <c r="H114" s="116">
        <v>13.704257</v>
      </c>
      <c r="I114" s="116">
        <v>100.5446</v>
      </c>
      <c r="J114" s="116" t="s">
        <v>969</v>
      </c>
      <c r="K114" s="116" t="s">
        <v>970</v>
      </c>
      <c r="L114" s="117" t="s">
        <v>1142</v>
      </c>
      <c r="M114" s="117">
        <v>96894545</v>
      </c>
      <c r="N114" s="121" t="s">
        <v>892</v>
      </c>
      <c r="O114" s="121" t="s">
        <v>918</v>
      </c>
      <c r="P114" s="117" t="s">
        <v>894</v>
      </c>
      <c r="Q114" s="125" t="s">
        <v>972</v>
      </c>
      <c r="R114" s="125" t="s">
        <v>972</v>
      </c>
      <c r="S114" s="125" t="s">
        <v>972</v>
      </c>
      <c r="T114" s="222"/>
      <c r="U114" s="222"/>
      <c r="V114" s="222"/>
      <c r="W114" s="230"/>
      <c r="X114" s="331">
        <f t="shared" si="5"/>
        <v>0</v>
      </c>
      <c r="Y114" s="222"/>
      <c r="Z114" s="272">
        <f t="shared" si="3"/>
        <v>0</v>
      </c>
      <c r="AA114" s="331"/>
      <c r="AB114" s="331"/>
      <c r="AC114" s="331"/>
      <c r="AD114" s="331"/>
      <c r="AE114" s="331"/>
      <c r="AF114" s="331"/>
      <c r="AG114" s="331"/>
      <c r="AH114" s="241">
        <f t="shared" ca="1" si="4"/>
        <v>46153</v>
      </c>
      <c r="AI114" s="272"/>
      <c r="AJ114" s="222"/>
      <c r="AK114" s="222"/>
    </row>
    <row r="115" spans="1:37" ht="23" hidden="1">
      <c r="A115" s="111">
        <v>657</v>
      </c>
      <c r="B115" s="112">
        <v>4</v>
      </c>
      <c r="C115" s="113" t="s">
        <v>1605</v>
      </c>
      <c r="D115" s="147" t="s">
        <v>1606</v>
      </c>
      <c r="E115" s="114" t="s">
        <v>1607</v>
      </c>
      <c r="F115" s="115" t="s">
        <v>1141</v>
      </c>
      <c r="G115" s="115" t="s">
        <v>1451</v>
      </c>
      <c r="H115" s="115">
        <v>13.7113029</v>
      </c>
      <c r="I115" s="115">
        <v>100.54136029999999</v>
      </c>
      <c r="J115" s="116" t="s">
        <v>890</v>
      </c>
      <c r="K115" s="117" t="s">
        <v>891</v>
      </c>
      <c r="L115" s="118" t="s">
        <v>891</v>
      </c>
      <c r="M115" s="117">
        <v>96887894</v>
      </c>
      <c r="N115" s="120" t="s">
        <v>892</v>
      </c>
      <c r="O115" s="121" t="s">
        <v>918</v>
      </c>
      <c r="P115" s="117" t="s">
        <v>894</v>
      </c>
      <c r="Q115" s="118">
        <v>80057501</v>
      </c>
      <c r="R115" s="119" t="s">
        <v>895</v>
      </c>
      <c r="S115" s="119" t="s">
        <v>895</v>
      </c>
      <c r="T115" s="222"/>
      <c r="U115" s="222"/>
      <c r="V115" s="222"/>
      <c r="W115" s="230"/>
      <c r="X115" s="331">
        <f t="shared" si="5"/>
        <v>0</v>
      </c>
      <c r="Y115" s="222"/>
      <c r="Z115" s="272">
        <f t="shared" si="3"/>
        <v>0</v>
      </c>
      <c r="AA115" s="331"/>
      <c r="AB115" s="331"/>
      <c r="AC115" s="331"/>
      <c r="AD115" s="331"/>
      <c r="AE115" s="331"/>
      <c r="AF115" s="331"/>
      <c r="AG115" s="331"/>
      <c r="AH115" s="241">
        <f t="shared" ca="1" si="4"/>
        <v>46153</v>
      </c>
      <c r="AI115" s="272"/>
      <c r="AJ115" s="222"/>
      <c r="AK115" s="222"/>
    </row>
    <row r="116" spans="1:37" ht="23.25" hidden="1" customHeight="1">
      <c r="A116" s="111">
        <v>658</v>
      </c>
      <c r="B116" s="112">
        <v>14</v>
      </c>
      <c r="C116" s="113" t="s">
        <v>1608</v>
      </c>
      <c r="D116" s="147" t="s">
        <v>1609</v>
      </c>
      <c r="E116" s="114" t="s">
        <v>1610</v>
      </c>
      <c r="F116" s="115" t="s">
        <v>1141</v>
      </c>
      <c r="G116" s="115" t="s">
        <v>1451</v>
      </c>
      <c r="H116" s="116">
        <v>13.710243999999999</v>
      </c>
      <c r="I116" s="116">
        <v>100.541906</v>
      </c>
      <c r="J116" s="116" t="s">
        <v>890</v>
      </c>
      <c r="K116" s="117" t="s">
        <v>891</v>
      </c>
      <c r="L116" s="118" t="s">
        <v>891</v>
      </c>
      <c r="M116" s="117">
        <v>96887895</v>
      </c>
      <c r="N116" s="120" t="s">
        <v>892</v>
      </c>
      <c r="O116" s="121" t="s">
        <v>918</v>
      </c>
      <c r="P116" s="117" t="s">
        <v>894</v>
      </c>
      <c r="Q116" s="118">
        <v>80057501</v>
      </c>
      <c r="R116" s="119" t="s">
        <v>895</v>
      </c>
      <c r="S116" s="119" t="s">
        <v>895</v>
      </c>
      <c r="T116" s="222"/>
      <c r="U116" s="222"/>
      <c r="V116" s="222"/>
      <c r="W116" s="230"/>
      <c r="X116" s="331">
        <f t="shared" si="5"/>
        <v>0</v>
      </c>
      <c r="Y116" s="222"/>
      <c r="Z116" s="272">
        <f t="shared" si="3"/>
        <v>0</v>
      </c>
      <c r="AA116" s="331"/>
      <c r="AB116" s="331"/>
      <c r="AC116" s="331"/>
      <c r="AD116" s="331"/>
      <c r="AE116" s="331"/>
      <c r="AF116" s="331"/>
      <c r="AG116" s="331"/>
      <c r="AH116" s="241">
        <f t="shared" ca="1" si="4"/>
        <v>46153</v>
      </c>
      <c r="AI116" s="272"/>
      <c r="AJ116" s="222"/>
      <c r="AK116" s="222"/>
    </row>
    <row r="117" spans="1:37" ht="23" hidden="1">
      <c r="A117" s="111">
        <v>746</v>
      </c>
      <c r="B117" s="112" t="s">
        <v>1569</v>
      </c>
      <c r="C117" s="113" t="s">
        <v>1699</v>
      </c>
      <c r="D117" s="147" t="s">
        <v>1700</v>
      </c>
      <c r="E117" s="114" t="s">
        <v>1701</v>
      </c>
      <c r="F117" s="115" t="s">
        <v>1141</v>
      </c>
      <c r="G117" s="115" t="s">
        <v>918</v>
      </c>
      <c r="H117" s="116">
        <v>13.703847</v>
      </c>
      <c r="I117" s="116">
        <v>100.54484100000001</v>
      </c>
      <c r="J117" s="116" t="s">
        <v>890</v>
      </c>
      <c r="K117" s="117" t="s">
        <v>891</v>
      </c>
      <c r="L117" s="117" t="s">
        <v>891</v>
      </c>
      <c r="M117" s="117">
        <v>96894547</v>
      </c>
      <c r="N117" s="120" t="s">
        <v>892</v>
      </c>
      <c r="O117" s="121" t="s">
        <v>918</v>
      </c>
      <c r="P117" s="117" t="s">
        <v>894</v>
      </c>
      <c r="Q117" s="118">
        <v>80057501</v>
      </c>
      <c r="R117" s="119" t="s">
        <v>895</v>
      </c>
      <c r="S117" s="119" t="s">
        <v>895</v>
      </c>
      <c r="T117" s="222"/>
      <c r="U117" s="222"/>
      <c r="V117" s="222"/>
      <c r="W117" s="230"/>
      <c r="X117" s="331">
        <f t="shared" si="5"/>
        <v>0</v>
      </c>
      <c r="Y117" s="222"/>
      <c r="Z117" s="272">
        <f t="shared" si="3"/>
        <v>0</v>
      </c>
      <c r="AA117" s="331"/>
      <c r="AB117" s="331"/>
      <c r="AC117" s="331"/>
      <c r="AD117" s="331"/>
      <c r="AE117" s="331"/>
      <c r="AF117" s="331"/>
      <c r="AG117" s="331"/>
      <c r="AH117" s="241">
        <f t="shared" ca="1" si="4"/>
        <v>46153</v>
      </c>
      <c r="AI117" s="272"/>
      <c r="AJ117" s="222"/>
      <c r="AK117" s="222"/>
    </row>
    <row r="118" spans="1:37" ht="23" hidden="1">
      <c r="A118" s="111">
        <v>747</v>
      </c>
      <c r="B118" s="112">
        <v>14</v>
      </c>
      <c r="C118" s="113" t="s">
        <v>1702</v>
      </c>
      <c r="D118" s="147" t="s">
        <v>1703</v>
      </c>
      <c r="E118" s="114" t="s">
        <v>1704</v>
      </c>
      <c r="F118" s="115" t="s">
        <v>1141</v>
      </c>
      <c r="G118" s="115" t="s">
        <v>918</v>
      </c>
      <c r="H118" s="116">
        <v>13.7036274</v>
      </c>
      <c r="I118" s="116">
        <v>100.5449133</v>
      </c>
      <c r="J118" s="116" t="s">
        <v>890</v>
      </c>
      <c r="K118" s="117" t="s">
        <v>891</v>
      </c>
      <c r="L118" s="117" t="s">
        <v>891</v>
      </c>
      <c r="M118" s="117">
        <v>96894545</v>
      </c>
      <c r="N118" s="120" t="s">
        <v>892</v>
      </c>
      <c r="O118" s="121" t="s">
        <v>918</v>
      </c>
      <c r="P118" s="117" t="s">
        <v>894</v>
      </c>
      <c r="Q118" s="125" t="s">
        <v>972</v>
      </c>
      <c r="R118" s="119" t="s">
        <v>895</v>
      </c>
      <c r="S118" s="119" t="s">
        <v>895</v>
      </c>
      <c r="T118" s="222"/>
      <c r="U118" s="222"/>
      <c r="V118" s="222"/>
      <c r="W118" s="230"/>
      <c r="X118" s="331">
        <f t="shared" si="5"/>
        <v>0</v>
      </c>
      <c r="Y118" s="222"/>
      <c r="Z118" s="272">
        <f t="shared" si="3"/>
        <v>0</v>
      </c>
      <c r="AA118" s="331"/>
      <c r="AB118" s="331"/>
      <c r="AC118" s="331"/>
      <c r="AD118" s="331"/>
      <c r="AE118" s="331"/>
      <c r="AF118" s="331"/>
      <c r="AG118" s="331"/>
      <c r="AH118" s="241">
        <f t="shared" ca="1" si="4"/>
        <v>46153</v>
      </c>
      <c r="AI118" s="272"/>
      <c r="AJ118" s="222"/>
      <c r="AK118" s="222"/>
    </row>
    <row r="119" spans="1:37" ht="23" hidden="1">
      <c r="A119" s="111">
        <v>815</v>
      </c>
      <c r="B119" s="112">
        <v>11</v>
      </c>
      <c r="C119" s="113" t="s">
        <v>1788</v>
      </c>
      <c r="D119" s="147" t="s">
        <v>1789</v>
      </c>
      <c r="E119" s="114" t="s">
        <v>1790</v>
      </c>
      <c r="F119" s="115" t="s">
        <v>1141</v>
      </c>
      <c r="G119" s="115" t="s">
        <v>1451</v>
      </c>
      <c r="H119" s="116">
        <v>13.714546</v>
      </c>
      <c r="I119" s="116">
        <v>100.53966699999999</v>
      </c>
      <c r="J119" s="116" t="s">
        <v>890</v>
      </c>
      <c r="K119" s="117" t="s">
        <v>891</v>
      </c>
      <c r="L119" s="118" t="s">
        <v>891</v>
      </c>
      <c r="M119" s="117">
        <v>96887896</v>
      </c>
      <c r="N119" s="120" t="s">
        <v>892</v>
      </c>
      <c r="O119" s="121" t="s">
        <v>918</v>
      </c>
      <c r="P119" s="118" t="s">
        <v>894</v>
      </c>
      <c r="Q119" s="118">
        <v>80057501</v>
      </c>
      <c r="R119" s="119" t="s">
        <v>895</v>
      </c>
      <c r="S119" s="119" t="s">
        <v>895</v>
      </c>
      <c r="T119" s="222"/>
      <c r="U119" s="222"/>
      <c r="V119" s="222"/>
      <c r="W119" s="230"/>
      <c r="X119" s="331">
        <f t="shared" si="5"/>
        <v>0</v>
      </c>
      <c r="Y119" s="222"/>
      <c r="Z119" s="272">
        <f t="shared" si="3"/>
        <v>0</v>
      </c>
      <c r="AA119" s="331"/>
      <c r="AB119" s="331"/>
      <c r="AC119" s="331"/>
      <c r="AD119" s="331"/>
      <c r="AE119" s="331"/>
      <c r="AF119" s="331"/>
      <c r="AG119" s="331"/>
      <c r="AH119" s="241">
        <f t="shared" ca="1" si="4"/>
        <v>46153</v>
      </c>
      <c r="AI119" s="272"/>
      <c r="AJ119" s="222"/>
      <c r="AK119" s="222"/>
    </row>
    <row r="120" spans="1:37" ht="23" hidden="1">
      <c r="A120" s="111">
        <v>265</v>
      </c>
      <c r="B120" s="112">
        <v>4</v>
      </c>
      <c r="C120" s="122" t="s">
        <v>2514</v>
      </c>
      <c r="D120" s="147" t="s">
        <v>2515</v>
      </c>
      <c r="E120" s="123" t="s">
        <v>2516</v>
      </c>
      <c r="F120" s="116" t="s">
        <v>1141</v>
      </c>
      <c r="G120" s="115" t="s">
        <v>918</v>
      </c>
      <c r="H120" s="116">
        <v>13.705386499999999</v>
      </c>
      <c r="I120" s="116">
        <v>100.5444291</v>
      </c>
      <c r="J120" s="116" t="s">
        <v>890</v>
      </c>
      <c r="K120" s="117" t="s">
        <v>891</v>
      </c>
      <c r="L120" s="117" t="s">
        <v>891</v>
      </c>
      <c r="M120" s="117">
        <v>96929052</v>
      </c>
      <c r="N120" s="120" t="s">
        <v>892</v>
      </c>
      <c r="O120" s="121" t="s">
        <v>918</v>
      </c>
      <c r="P120" s="117" t="s">
        <v>894</v>
      </c>
      <c r="Q120" s="125" t="s">
        <v>972</v>
      </c>
      <c r="R120" s="119" t="s">
        <v>895</v>
      </c>
      <c r="S120" s="119" t="s">
        <v>895</v>
      </c>
      <c r="T120" s="222"/>
      <c r="U120" s="222"/>
      <c r="V120" s="222"/>
      <c r="W120" s="230"/>
      <c r="X120" s="331">
        <f t="shared" si="5"/>
        <v>0</v>
      </c>
      <c r="Y120" s="222"/>
      <c r="Z120" s="272">
        <f t="shared" si="3"/>
        <v>0</v>
      </c>
      <c r="AA120" s="331"/>
      <c r="AB120" s="331"/>
      <c r="AC120" s="331"/>
      <c r="AD120" s="331"/>
      <c r="AE120" s="331"/>
      <c r="AF120" s="331"/>
      <c r="AG120" s="331"/>
      <c r="AH120" s="241">
        <f t="shared" ca="1" si="4"/>
        <v>46153</v>
      </c>
      <c r="AI120" s="272"/>
      <c r="AJ120" s="222"/>
      <c r="AK120" s="222"/>
    </row>
    <row r="121" spans="1:37" ht="23" hidden="1">
      <c r="A121" s="111">
        <v>911</v>
      </c>
      <c r="B121" s="112">
        <v>10</v>
      </c>
      <c r="C121" s="113" t="s">
        <v>3682</v>
      </c>
      <c r="D121" s="147" t="s">
        <v>3683</v>
      </c>
      <c r="E121" s="114" t="s">
        <v>3684</v>
      </c>
      <c r="F121" s="115" t="s">
        <v>1141</v>
      </c>
      <c r="G121" s="115" t="s">
        <v>1451</v>
      </c>
      <c r="H121" s="116">
        <v>13.708335</v>
      </c>
      <c r="I121" s="116">
        <v>100.5429494</v>
      </c>
      <c r="J121" s="115" t="s">
        <v>890</v>
      </c>
      <c r="K121" s="115" t="s">
        <v>891</v>
      </c>
      <c r="L121" s="115" t="s">
        <v>891</v>
      </c>
      <c r="M121" s="121">
        <v>97050392</v>
      </c>
      <c r="N121" s="117" t="s">
        <v>892</v>
      </c>
      <c r="O121" s="121" t="s">
        <v>918</v>
      </c>
      <c r="P121" s="117" t="s">
        <v>894</v>
      </c>
      <c r="Q121" s="125" t="s">
        <v>972</v>
      </c>
      <c r="R121" s="119" t="s">
        <v>895</v>
      </c>
      <c r="S121" s="119" t="s">
        <v>895</v>
      </c>
      <c r="T121" s="222"/>
      <c r="U121" s="222"/>
      <c r="V121" s="222"/>
      <c r="W121" s="230"/>
      <c r="X121" s="331">
        <f t="shared" si="5"/>
        <v>0</v>
      </c>
      <c r="Y121" s="222"/>
      <c r="Z121" s="272">
        <f t="shared" si="3"/>
        <v>0</v>
      </c>
      <c r="AA121" s="331"/>
      <c r="AB121" s="331"/>
      <c r="AC121" s="331"/>
      <c r="AD121" s="331"/>
      <c r="AE121" s="331"/>
      <c r="AF121" s="331"/>
      <c r="AG121" s="331"/>
      <c r="AH121" s="241">
        <f t="shared" ca="1" si="4"/>
        <v>46153</v>
      </c>
      <c r="AI121" s="272"/>
      <c r="AJ121" s="222"/>
      <c r="AK121" s="222"/>
    </row>
    <row r="122" spans="1:37" ht="23.25" hidden="1" customHeight="1">
      <c r="A122" s="111">
        <v>745</v>
      </c>
      <c r="B122" s="112">
        <v>6</v>
      </c>
      <c r="C122" s="113" t="s">
        <v>3975</v>
      </c>
      <c r="D122" s="147" t="s">
        <v>3976</v>
      </c>
      <c r="E122" s="114" t="s">
        <v>3977</v>
      </c>
      <c r="F122" s="115" t="s">
        <v>1141</v>
      </c>
      <c r="G122" s="115" t="s">
        <v>1451</v>
      </c>
      <c r="H122" s="116">
        <v>13.712535000000001</v>
      </c>
      <c r="I122" s="116">
        <v>100.54069800000001</v>
      </c>
      <c r="J122" s="115" t="s">
        <v>2108</v>
      </c>
      <c r="K122" s="115" t="s">
        <v>2136</v>
      </c>
      <c r="L122" s="117" t="s">
        <v>3978</v>
      </c>
      <c r="M122" s="121" t="s">
        <v>972</v>
      </c>
      <c r="N122" s="121" t="s">
        <v>972</v>
      </c>
      <c r="O122" s="121" t="s">
        <v>918</v>
      </c>
      <c r="P122" s="117" t="s">
        <v>894</v>
      </c>
      <c r="Q122" s="125" t="s">
        <v>972</v>
      </c>
      <c r="R122" s="125" t="s">
        <v>972</v>
      </c>
      <c r="S122" s="125" t="s">
        <v>972</v>
      </c>
      <c r="T122" s="222"/>
      <c r="U122" s="222"/>
      <c r="V122" s="222"/>
      <c r="W122" s="230"/>
      <c r="X122" s="331">
        <f t="shared" si="5"/>
        <v>0</v>
      </c>
      <c r="Y122" s="222"/>
      <c r="Z122" s="272">
        <f t="shared" si="3"/>
        <v>0</v>
      </c>
      <c r="AA122" s="331"/>
      <c r="AB122" s="331"/>
      <c r="AC122" s="331"/>
      <c r="AD122" s="331"/>
      <c r="AE122" s="331"/>
      <c r="AF122" s="331"/>
      <c r="AG122" s="331"/>
      <c r="AH122" s="241">
        <f t="shared" ca="1" si="4"/>
        <v>46153</v>
      </c>
      <c r="AI122" s="272"/>
      <c r="AJ122" s="222"/>
      <c r="AK122" s="222"/>
    </row>
    <row r="123" spans="1:37" ht="23.25" hidden="1" customHeight="1">
      <c r="A123" s="111">
        <v>842</v>
      </c>
      <c r="B123" s="112">
        <v>1</v>
      </c>
      <c r="C123" s="113" t="s">
        <v>4187</v>
      </c>
      <c r="D123" s="147" t="s">
        <v>4188</v>
      </c>
      <c r="E123" s="114" t="s">
        <v>4189</v>
      </c>
      <c r="F123" s="115" t="s">
        <v>1141</v>
      </c>
      <c r="G123" s="115" t="s">
        <v>1451</v>
      </c>
      <c r="H123" s="116">
        <v>13.715793</v>
      </c>
      <c r="I123" s="116">
        <v>100.53907599999999</v>
      </c>
      <c r="J123" s="115" t="s">
        <v>2108</v>
      </c>
      <c r="K123" s="117" t="s">
        <v>2109</v>
      </c>
      <c r="L123" s="117" t="s">
        <v>2110</v>
      </c>
      <c r="M123" s="121" t="s">
        <v>972</v>
      </c>
      <c r="N123" s="121" t="s">
        <v>972</v>
      </c>
      <c r="O123" s="121" t="s">
        <v>918</v>
      </c>
      <c r="P123" s="117" t="s">
        <v>1876</v>
      </c>
      <c r="Q123" s="125" t="s">
        <v>972</v>
      </c>
      <c r="R123" s="125" t="s">
        <v>972</v>
      </c>
      <c r="S123" s="125" t="s">
        <v>972</v>
      </c>
      <c r="T123" s="222"/>
      <c r="U123" s="222"/>
      <c r="V123" s="222"/>
      <c r="W123" s="230"/>
      <c r="X123" s="331">
        <f t="shared" si="5"/>
        <v>0</v>
      </c>
      <c r="Y123" s="222"/>
      <c r="Z123" s="272">
        <f t="shared" si="3"/>
        <v>0</v>
      </c>
      <c r="AA123" s="331"/>
      <c r="AB123" s="331"/>
      <c r="AC123" s="331"/>
      <c r="AD123" s="331"/>
      <c r="AE123" s="331"/>
      <c r="AF123" s="331"/>
      <c r="AG123" s="331"/>
      <c r="AH123" s="241">
        <f t="shared" ca="1" si="4"/>
        <v>46153</v>
      </c>
      <c r="AI123" s="272"/>
      <c r="AJ123" s="222"/>
      <c r="AK123" s="222"/>
    </row>
    <row r="124" spans="1:37" ht="23.25" hidden="1" customHeight="1">
      <c r="A124" s="111">
        <v>908</v>
      </c>
      <c r="B124" s="112">
        <v>3</v>
      </c>
      <c r="C124" s="122" t="s">
        <v>4372</v>
      </c>
      <c r="D124" s="147" t="s">
        <v>4373</v>
      </c>
      <c r="E124" s="114" t="s">
        <v>4374</v>
      </c>
      <c r="F124" s="115" t="s">
        <v>1141</v>
      </c>
      <c r="G124" s="115" t="s">
        <v>1451</v>
      </c>
      <c r="H124" s="116">
        <v>13.714095</v>
      </c>
      <c r="I124" s="116">
        <v>100.53987600000001</v>
      </c>
      <c r="J124" s="116" t="s">
        <v>969</v>
      </c>
      <c r="K124" s="115" t="s">
        <v>1048</v>
      </c>
      <c r="L124" s="117" t="s">
        <v>4375</v>
      </c>
      <c r="M124" s="121">
        <v>96937713</v>
      </c>
      <c r="N124" s="121" t="s">
        <v>892</v>
      </c>
      <c r="O124" s="121" t="s">
        <v>918</v>
      </c>
      <c r="P124" s="117" t="s">
        <v>894</v>
      </c>
      <c r="Q124" s="125" t="s">
        <v>972</v>
      </c>
      <c r="R124" s="125" t="s">
        <v>972</v>
      </c>
      <c r="S124" s="125" t="s">
        <v>972</v>
      </c>
      <c r="T124" s="222"/>
      <c r="U124" s="222"/>
      <c r="V124" s="222"/>
      <c r="W124" s="230"/>
      <c r="X124" s="331">
        <f t="shared" si="5"/>
        <v>0</v>
      </c>
      <c r="Y124" s="222"/>
      <c r="Z124" s="272">
        <f t="shared" si="3"/>
        <v>0</v>
      </c>
      <c r="AA124" s="331"/>
      <c r="AB124" s="331"/>
      <c r="AC124" s="331"/>
      <c r="AD124" s="331"/>
      <c r="AE124" s="331"/>
      <c r="AF124" s="331"/>
      <c r="AG124" s="331"/>
      <c r="AH124" s="241">
        <f t="shared" ca="1" si="4"/>
        <v>46153</v>
      </c>
      <c r="AI124" s="272"/>
      <c r="AJ124" s="222"/>
      <c r="AK124" s="222"/>
    </row>
    <row r="125" spans="1:37" ht="23.25" hidden="1" customHeight="1">
      <c r="A125" s="111">
        <v>909</v>
      </c>
      <c r="B125" s="112">
        <v>5</v>
      </c>
      <c r="C125" s="113" t="s">
        <v>4376</v>
      </c>
      <c r="D125" s="147" t="s">
        <v>4377</v>
      </c>
      <c r="E125" s="114" t="s">
        <v>4378</v>
      </c>
      <c r="F125" s="115" t="s">
        <v>1141</v>
      </c>
      <c r="G125" s="115" t="s">
        <v>1451</v>
      </c>
      <c r="H125" s="116">
        <v>13.713539600000001</v>
      </c>
      <c r="I125" s="116">
        <v>100.5402232</v>
      </c>
      <c r="J125" s="116" t="s">
        <v>969</v>
      </c>
      <c r="K125" s="116" t="s">
        <v>970</v>
      </c>
      <c r="L125" s="117" t="s">
        <v>4379</v>
      </c>
      <c r="M125" s="121">
        <v>96937713</v>
      </c>
      <c r="N125" s="121" t="s">
        <v>892</v>
      </c>
      <c r="O125" s="121" t="s">
        <v>918</v>
      </c>
      <c r="P125" s="117" t="s">
        <v>894</v>
      </c>
      <c r="Q125" s="125" t="s">
        <v>972</v>
      </c>
      <c r="R125" s="125" t="s">
        <v>972</v>
      </c>
      <c r="S125" s="125" t="s">
        <v>972</v>
      </c>
      <c r="T125" s="222"/>
      <c r="U125" s="222"/>
      <c r="V125" s="222"/>
      <c r="W125" s="230"/>
      <c r="X125" s="331">
        <f t="shared" si="5"/>
        <v>0</v>
      </c>
      <c r="Y125" s="222"/>
      <c r="Z125" s="272">
        <f t="shared" si="3"/>
        <v>0</v>
      </c>
      <c r="AA125" s="331"/>
      <c r="AB125" s="331"/>
      <c r="AC125" s="331"/>
      <c r="AD125" s="331"/>
      <c r="AE125" s="331"/>
      <c r="AF125" s="331"/>
      <c r="AG125" s="331"/>
      <c r="AH125" s="241">
        <f t="shared" ca="1" si="4"/>
        <v>46153</v>
      </c>
      <c r="AI125" s="272"/>
      <c r="AJ125" s="222"/>
      <c r="AK125" s="222"/>
    </row>
    <row r="126" spans="1:37" ht="23.25" hidden="1" customHeight="1">
      <c r="A126" s="111">
        <v>910</v>
      </c>
      <c r="B126" s="112">
        <v>9</v>
      </c>
      <c r="C126" s="113" t="s">
        <v>4380</v>
      </c>
      <c r="D126" s="147" t="s">
        <v>4381</v>
      </c>
      <c r="E126" s="114" t="s">
        <v>4382</v>
      </c>
      <c r="F126" s="115" t="s">
        <v>1141</v>
      </c>
      <c r="G126" s="115" t="s">
        <v>1451</v>
      </c>
      <c r="H126" s="116">
        <v>13.707763999999999</v>
      </c>
      <c r="I126" s="116">
        <v>100.543262</v>
      </c>
      <c r="J126" s="116" t="s">
        <v>969</v>
      </c>
      <c r="K126" s="115" t="s">
        <v>970</v>
      </c>
      <c r="L126" s="115" t="s">
        <v>4383</v>
      </c>
      <c r="M126" s="117" t="s">
        <v>1347</v>
      </c>
      <c r="N126" s="121" t="s">
        <v>972</v>
      </c>
      <c r="O126" s="121" t="s">
        <v>918</v>
      </c>
      <c r="P126" s="117" t="s">
        <v>894</v>
      </c>
      <c r="Q126" s="125" t="s">
        <v>972</v>
      </c>
      <c r="R126" s="125" t="s">
        <v>972</v>
      </c>
      <c r="S126" s="125" t="s">
        <v>972</v>
      </c>
      <c r="T126" s="222"/>
      <c r="U126" s="222"/>
      <c r="V126" s="222"/>
      <c r="W126" s="230"/>
      <c r="X126" s="331">
        <f t="shared" si="5"/>
        <v>0</v>
      </c>
      <c r="Y126" s="222"/>
      <c r="Z126" s="272">
        <f t="shared" si="3"/>
        <v>0</v>
      </c>
      <c r="AA126" s="331"/>
      <c r="AB126" s="331"/>
      <c r="AC126" s="331"/>
      <c r="AD126" s="331"/>
      <c r="AE126" s="331"/>
      <c r="AF126" s="331"/>
      <c r="AG126" s="331"/>
      <c r="AH126" s="241">
        <f t="shared" ca="1" si="4"/>
        <v>46153</v>
      </c>
      <c r="AI126" s="272"/>
      <c r="AJ126" s="222"/>
      <c r="AK126" s="222"/>
    </row>
    <row r="127" spans="1:37" ht="23" hidden="1">
      <c r="A127" s="111">
        <v>298</v>
      </c>
      <c r="B127" s="112" t="s">
        <v>1114</v>
      </c>
      <c r="C127" s="122" t="s">
        <v>1224</v>
      </c>
      <c r="D127" s="147" t="s">
        <v>1225</v>
      </c>
      <c r="E127" s="123" t="s">
        <v>1226</v>
      </c>
      <c r="F127" s="116" t="s">
        <v>1227</v>
      </c>
      <c r="G127" s="116" t="s">
        <v>957</v>
      </c>
      <c r="H127" s="116">
        <v>13.754837999999999</v>
      </c>
      <c r="I127" s="116">
        <v>100.542585</v>
      </c>
      <c r="J127" s="116" t="s">
        <v>890</v>
      </c>
      <c r="K127" s="117" t="s">
        <v>891</v>
      </c>
      <c r="L127" s="117" t="s">
        <v>891</v>
      </c>
      <c r="M127" s="117">
        <v>96893713</v>
      </c>
      <c r="N127" s="120" t="s">
        <v>892</v>
      </c>
      <c r="O127" s="121" t="s">
        <v>901</v>
      </c>
      <c r="P127" s="117" t="s">
        <v>902</v>
      </c>
      <c r="Q127" s="118">
        <v>80057501</v>
      </c>
      <c r="R127" s="119" t="s">
        <v>895</v>
      </c>
      <c r="S127" s="119" t="s">
        <v>895</v>
      </c>
      <c r="T127" s="222"/>
      <c r="U127" s="222"/>
      <c r="V127" s="222"/>
      <c r="W127" s="230"/>
      <c r="X127" s="331">
        <f t="shared" si="5"/>
        <v>0</v>
      </c>
      <c r="Y127" s="222"/>
      <c r="Z127" s="272">
        <f t="shared" si="3"/>
        <v>0</v>
      </c>
      <c r="AA127" s="331"/>
      <c r="AB127" s="331"/>
      <c r="AC127" s="331"/>
      <c r="AD127" s="331"/>
      <c r="AE127" s="331"/>
      <c r="AF127" s="331"/>
      <c r="AG127" s="331"/>
      <c r="AH127" s="241">
        <f t="shared" ca="1" si="4"/>
        <v>46153</v>
      </c>
      <c r="AI127" s="272"/>
      <c r="AJ127" s="222"/>
      <c r="AK127" s="222"/>
    </row>
    <row r="128" spans="1:37" ht="23.25" hidden="1" customHeight="1">
      <c r="A128" s="111">
        <v>644</v>
      </c>
      <c r="B128" s="112">
        <v>1</v>
      </c>
      <c r="C128" s="113" t="s">
        <v>3731</v>
      </c>
      <c r="D128" s="147" t="s">
        <v>3732</v>
      </c>
      <c r="E128" s="114" t="s">
        <v>3733</v>
      </c>
      <c r="F128" s="115" t="s">
        <v>1227</v>
      </c>
      <c r="G128" s="115" t="s">
        <v>957</v>
      </c>
      <c r="H128" s="116">
        <v>13.7537766</v>
      </c>
      <c r="I128" s="116">
        <v>100.54629799999999</v>
      </c>
      <c r="J128" s="115" t="s">
        <v>2108</v>
      </c>
      <c r="K128" s="117" t="s">
        <v>2109</v>
      </c>
      <c r="L128" s="117" t="s">
        <v>2110</v>
      </c>
      <c r="M128" s="121" t="s">
        <v>972</v>
      </c>
      <c r="N128" s="121" t="s">
        <v>972</v>
      </c>
      <c r="O128" s="121" t="s">
        <v>901</v>
      </c>
      <c r="P128" s="117" t="s">
        <v>1876</v>
      </c>
      <c r="Q128" s="125" t="s">
        <v>972</v>
      </c>
      <c r="R128" s="125" t="s">
        <v>972</v>
      </c>
      <c r="S128" s="125" t="s">
        <v>972</v>
      </c>
      <c r="T128" s="222"/>
      <c r="U128" s="222"/>
      <c r="V128" s="222"/>
      <c r="W128" s="230"/>
      <c r="X128" s="331">
        <f t="shared" si="5"/>
        <v>0</v>
      </c>
      <c r="Y128" s="222"/>
      <c r="Z128" s="272">
        <f t="shared" si="3"/>
        <v>0</v>
      </c>
      <c r="AA128" s="331"/>
      <c r="AB128" s="331"/>
      <c r="AC128" s="331"/>
      <c r="AD128" s="331"/>
      <c r="AE128" s="331"/>
      <c r="AF128" s="331"/>
      <c r="AG128" s="331"/>
      <c r="AH128" s="241">
        <f t="shared" ca="1" si="4"/>
        <v>46153</v>
      </c>
      <c r="AI128" s="272"/>
      <c r="AJ128" s="222"/>
      <c r="AK128" s="222"/>
    </row>
    <row r="129" spans="1:37" ht="23.25" hidden="1" customHeight="1">
      <c r="A129" s="111">
        <v>1165</v>
      </c>
      <c r="B129" s="112">
        <v>14</v>
      </c>
      <c r="C129" s="122" t="s">
        <v>5029</v>
      </c>
      <c r="D129" s="147" t="s">
        <v>5030</v>
      </c>
      <c r="E129" s="123" t="s">
        <v>5031</v>
      </c>
      <c r="F129" s="116" t="s">
        <v>5032</v>
      </c>
      <c r="G129" s="116" t="s">
        <v>990</v>
      </c>
      <c r="H129" s="116">
        <v>13.7543045</v>
      </c>
      <c r="I129" s="116">
        <v>100.5266941</v>
      </c>
      <c r="J129" s="115" t="s">
        <v>2108</v>
      </c>
      <c r="K129" s="117" t="s">
        <v>2109</v>
      </c>
      <c r="L129" s="117" t="s">
        <v>2110</v>
      </c>
      <c r="M129" s="121" t="s">
        <v>972</v>
      </c>
      <c r="N129" s="121" t="s">
        <v>972</v>
      </c>
      <c r="O129" s="121" t="s">
        <v>958</v>
      </c>
      <c r="P129" s="117" t="s">
        <v>1876</v>
      </c>
      <c r="Q129" s="125" t="s">
        <v>972</v>
      </c>
      <c r="R129" s="125" t="s">
        <v>972</v>
      </c>
      <c r="S129" s="125" t="s">
        <v>972</v>
      </c>
      <c r="T129" s="222"/>
      <c r="U129" s="222"/>
      <c r="V129" s="222"/>
      <c r="W129" s="230"/>
      <c r="X129" s="331">
        <f t="shared" si="5"/>
        <v>0</v>
      </c>
      <c r="Y129" s="222"/>
      <c r="Z129" s="272">
        <f t="shared" si="3"/>
        <v>0</v>
      </c>
      <c r="AA129" s="331"/>
      <c r="AB129" s="331"/>
      <c r="AC129" s="331"/>
      <c r="AD129" s="331"/>
      <c r="AE129" s="331"/>
      <c r="AF129" s="331"/>
      <c r="AG129" s="331"/>
      <c r="AH129" s="241">
        <f t="shared" ca="1" si="4"/>
        <v>46153</v>
      </c>
      <c r="AI129" s="272"/>
      <c r="AJ129" s="222"/>
      <c r="AK129" s="222"/>
    </row>
    <row r="130" spans="1:37" ht="23" hidden="1">
      <c r="A130" s="111">
        <v>501</v>
      </c>
      <c r="B130" s="112" t="s">
        <v>1114</v>
      </c>
      <c r="C130" s="113" t="s">
        <v>1455</v>
      </c>
      <c r="D130" s="147" t="s">
        <v>1456</v>
      </c>
      <c r="E130" s="114" t="s">
        <v>1457</v>
      </c>
      <c r="F130" s="115" t="s">
        <v>1458</v>
      </c>
      <c r="G130" s="115" t="s">
        <v>1435</v>
      </c>
      <c r="H130" s="116">
        <v>13.820823000000001</v>
      </c>
      <c r="I130" s="116">
        <v>100.536708</v>
      </c>
      <c r="J130" s="116" t="s">
        <v>890</v>
      </c>
      <c r="K130" s="117" t="s">
        <v>891</v>
      </c>
      <c r="L130" s="118" t="s">
        <v>891</v>
      </c>
      <c r="M130" s="117">
        <v>96887908</v>
      </c>
      <c r="N130" s="120" t="s">
        <v>892</v>
      </c>
      <c r="O130" s="121" t="s">
        <v>1436</v>
      </c>
      <c r="P130" s="118" t="s">
        <v>952</v>
      </c>
      <c r="Q130" s="118">
        <v>80057501</v>
      </c>
      <c r="R130" s="119" t="s">
        <v>895</v>
      </c>
      <c r="S130" s="119" t="s">
        <v>895</v>
      </c>
      <c r="T130" s="222"/>
      <c r="U130" s="222"/>
      <c r="V130" s="222"/>
      <c r="W130" s="230"/>
      <c r="X130" s="331">
        <f t="shared" si="5"/>
        <v>0</v>
      </c>
      <c r="Y130" s="222"/>
      <c r="Z130" s="272">
        <f t="shared" si="3"/>
        <v>0</v>
      </c>
      <c r="AA130" s="331"/>
      <c r="AB130" s="331"/>
      <c r="AC130" s="331"/>
      <c r="AD130" s="331"/>
      <c r="AE130" s="331"/>
      <c r="AF130" s="331"/>
      <c r="AG130" s="331"/>
      <c r="AH130" s="241">
        <f t="shared" ca="1" si="4"/>
        <v>46153</v>
      </c>
      <c r="AI130" s="272"/>
      <c r="AJ130" s="222"/>
      <c r="AK130" s="222"/>
    </row>
    <row r="131" spans="1:37" ht="23" hidden="1">
      <c r="A131" s="111">
        <v>502</v>
      </c>
      <c r="B131" s="112" t="s">
        <v>1459</v>
      </c>
      <c r="C131" s="113" t="s">
        <v>1460</v>
      </c>
      <c r="D131" s="147" t="s">
        <v>1461</v>
      </c>
      <c r="E131" s="114" t="s">
        <v>1462</v>
      </c>
      <c r="F131" s="115" t="s">
        <v>1458</v>
      </c>
      <c r="G131" s="115" t="s">
        <v>1435</v>
      </c>
      <c r="H131" s="116">
        <v>13.8229203</v>
      </c>
      <c r="I131" s="116">
        <v>100.537216</v>
      </c>
      <c r="J131" s="116" t="s">
        <v>890</v>
      </c>
      <c r="K131" s="117" t="s">
        <v>891</v>
      </c>
      <c r="L131" s="117" t="s">
        <v>891</v>
      </c>
      <c r="M131" s="117">
        <v>96887909</v>
      </c>
      <c r="N131" s="120" t="s">
        <v>892</v>
      </c>
      <c r="O131" s="120" t="s">
        <v>1436</v>
      </c>
      <c r="P131" s="117" t="s">
        <v>952</v>
      </c>
      <c r="Q131" s="118">
        <v>80057501</v>
      </c>
      <c r="R131" s="119" t="s">
        <v>895</v>
      </c>
      <c r="S131" s="119" t="s">
        <v>895</v>
      </c>
      <c r="T131" s="222"/>
      <c r="U131" s="222"/>
      <c r="V131" s="222"/>
      <c r="W131" s="230"/>
      <c r="X131" s="331">
        <f t="shared" si="5"/>
        <v>0</v>
      </c>
      <c r="Y131" s="222"/>
      <c r="Z131" s="272">
        <f t="shared" ref="Z131:Z194" si="6">DATEDIF(X131,Y131,"d")</f>
        <v>0</v>
      </c>
      <c r="AA131" s="331"/>
      <c r="AB131" s="331"/>
      <c r="AC131" s="331"/>
      <c r="AD131" s="331"/>
      <c r="AE131" s="331"/>
      <c r="AF131" s="331"/>
      <c r="AG131" s="331"/>
      <c r="AH131" s="241">
        <f t="shared" ref="AH131:AH194" ca="1" si="7">TODAY()</f>
        <v>46153</v>
      </c>
      <c r="AI131" s="272"/>
      <c r="AJ131" s="222"/>
      <c r="AK131" s="222"/>
    </row>
    <row r="132" spans="1:37" ht="14.5" hidden="1">
      <c r="A132" s="111">
        <v>631</v>
      </c>
      <c r="B132" s="112" t="s">
        <v>1553</v>
      </c>
      <c r="C132" s="122" t="s">
        <v>3032</v>
      </c>
      <c r="D132" s="160" t="s">
        <v>3033</v>
      </c>
      <c r="E132" s="162" t="s">
        <v>3034</v>
      </c>
      <c r="F132" s="115" t="s">
        <v>1458</v>
      </c>
      <c r="G132" s="163" t="s">
        <v>1435</v>
      </c>
      <c r="H132" s="115" t="s">
        <v>3035</v>
      </c>
      <c r="I132" s="117">
        <v>100.541791</v>
      </c>
      <c r="J132" s="117" t="s">
        <v>890</v>
      </c>
      <c r="K132" s="117" t="s">
        <v>891</v>
      </c>
      <c r="L132" s="117" t="s">
        <v>891</v>
      </c>
      <c r="M132" s="117">
        <v>97022626</v>
      </c>
      <c r="N132" s="117" t="s">
        <v>892</v>
      </c>
      <c r="O132" s="117" t="s">
        <v>1436</v>
      </c>
      <c r="P132" s="117"/>
      <c r="Q132" s="119"/>
      <c r="R132" s="119" t="s">
        <v>895</v>
      </c>
      <c r="S132" s="119" t="s">
        <v>895</v>
      </c>
      <c r="T132" s="222"/>
      <c r="U132" s="222"/>
      <c r="V132" s="222"/>
      <c r="W132" s="230"/>
      <c r="X132" s="331">
        <f t="shared" ref="X132:X195" si="8">V132+(W132)</f>
        <v>0</v>
      </c>
      <c r="Y132" s="222"/>
      <c r="Z132" s="272">
        <f t="shared" si="6"/>
        <v>0</v>
      </c>
      <c r="AA132" s="331"/>
      <c r="AB132" s="331"/>
      <c r="AC132" s="331"/>
      <c r="AD132" s="331"/>
      <c r="AE132" s="331"/>
      <c r="AF132" s="331"/>
      <c r="AG132" s="331"/>
      <c r="AH132" s="241">
        <f t="shared" ca="1" si="7"/>
        <v>46153</v>
      </c>
      <c r="AI132" s="272"/>
      <c r="AJ132" s="222"/>
      <c r="AK132" s="222"/>
    </row>
    <row r="133" spans="1:37" ht="14.5" hidden="1">
      <c r="A133" s="111">
        <v>632</v>
      </c>
      <c r="B133" s="112" t="s">
        <v>1082</v>
      </c>
      <c r="C133" s="122" t="s">
        <v>3077</v>
      </c>
      <c r="D133" s="160" t="s">
        <v>3078</v>
      </c>
      <c r="E133" s="162" t="s">
        <v>3079</v>
      </c>
      <c r="F133" s="115" t="s">
        <v>1458</v>
      </c>
      <c r="G133" s="163" t="s">
        <v>1435</v>
      </c>
      <c r="H133" s="115" t="s">
        <v>3080</v>
      </c>
      <c r="I133" s="117">
        <v>100.542007</v>
      </c>
      <c r="J133" s="117" t="s">
        <v>890</v>
      </c>
      <c r="K133" s="117" t="s">
        <v>891</v>
      </c>
      <c r="L133" s="117" t="s">
        <v>891</v>
      </c>
      <c r="M133" s="117">
        <v>97022628</v>
      </c>
      <c r="N133" s="117" t="s">
        <v>892</v>
      </c>
      <c r="O133" s="117" t="s">
        <v>1436</v>
      </c>
      <c r="P133" s="117"/>
      <c r="Q133" s="119"/>
      <c r="R133" s="119" t="s">
        <v>895</v>
      </c>
      <c r="S133" s="119" t="s">
        <v>895</v>
      </c>
      <c r="T133" s="222"/>
      <c r="U133" s="222"/>
      <c r="V133" s="222"/>
      <c r="W133" s="230"/>
      <c r="X133" s="331">
        <f t="shared" si="8"/>
        <v>0</v>
      </c>
      <c r="Y133" s="222"/>
      <c r="Z133" s="272">
        <f t="shared" si="6"/>
        <v>0</v>
      </c>
      <c r="AA133" s="331"/>
      <c r="AB133" s="331"/>
      <c r="AC133" s="331"/>
      <c r="AD133" s="331"/>
      <c r="AE133" s="331"/>
      <c r="AF133" s="331"/>
      <c r="AG133" s="331"/>
      <c r="AH133" s="241">
        <f t="shared" ca="1" si="7"/>
        <v>46153</v>
      </c>
      <c r="AI133" s="272"/>
      <c r="AJ133" s="222"/>
      <c r="AK133" s="222"/>
    </row>
    <row r="134" spans="1:37" ht="23" hidden="1">
      <c r="A134" s="111">
        <v>702</v>
      </c>
      <c r="B134" s="112" t="s">
        <v>985</v>
      </c>
      <c r="C134" s="122" t="s">
        <v>3275</v>
      </c>
      <c r="D134" s="147" t="s">
        <v>3276</v>
      </c>
      <c r="E134" s="162" t="s">
        <v>3277</v>
      </c>
      <c r="F134" s="115" t="s">
        <v>1458</v>
      </c>
      <c r="G134" s="163" t="s">
        <v>1435</v>
      </c>
      <c r="H134" s="115" t="s">
        <v>3278</v>
      </c>
      <c r="I134" s="117">
        <v>100.541573</v>
      </c>
      <c r="J134" s="117" t="s">
        <v>890</v>
      </c>
      <c r="K134" s="117" t="s">
        <v>891</v>
      </c>
      <c r="L134" s="117" t="s">
        <v>891</v>
      </c>
      <c r="M134" s="117">
        <v>97022632</v>
      </c>
      <c r="N134" s="117" t="s">
        <v>892</v>
      </c>
      <c r="O134" s="117" t="s">
        <v>1436</v>
      </c>
      <c r="P134" s="117"/>
      <c r="Q134" s="119"/>
      <c r="R134" s="119" t="s">
        <v>895</v>
      </c>
      <c r="S134" s="119" t="s">
        <v>895</v>
      </c>
      <c r="T134" s="222"/>
      <c r="U134" s="222"/>
      <c r="V134" s="222"/>
      <c r="W134" s="230"/>
      <c r="X134" s="331">
        <f t="shared" si="8"/>
        <v>0</v>
      </c>
      <c r="Y134" s="222"/>
      <c r="Z134" s="272">
        <f t="shared" si="6"/>
        <v>0</v>
      </c>
      <c r="AA134" s="331"/>
      <c r="AB134" s="331"/>
      <c r="AC134" s="331"/>
      <c r="AD134" s="331"/>
      <c r="AE134" s="331"/>
      <c r="AF134" s="331"/>
      <c r="AG134" s="331"/>
      <c r="AH134" s="241">
        <f t="shared" ca="1" si="7"/>
        <v>46153</v>
      </c>
      <c r="AI134" s="272"/>
      <c r="AJ134" s="222"/>
      <c r="AK134" s="222"/>
    </row>
    <row r="135" spans="1:37" ht="23.25" hidden="1" customHeight="1">
      <c r="A135" s="111">
        <v>475</v>
      </c>
      <c r="B135" s="112">
        <v>15</v>
      </c>
      <c r="C135" s="113" t="s">
        <v>3282</v>
      </c>
      <c r="D135" s="147" t="s">
        <v>3283</v>
      </c>
      <c r="E135" s="114" t="s">
        <v>3284</v>
      </c>
      <c r="F135" s="115" t="s">
        <v>1458</v>
      </c>
      <c r="G135" s="115" t="s">
        <v>1435</v>
      </c>
      <c r="H135" s="116">
        <v>13.846273</v>
      </c>
      <c r="I135" s="116">
        <v>100.54277999999999</v>
      </c>
      <c r="J135" s="115" t="s">
        <v>2108</v>
      </c>
      <c r="K135" s="115" t="s">
        <v>2136</v>
      </c>
      <c r="L135" s="117" t="s">
        <v>3285</v>
      </c>
      <c r="M135" s="121" t="s">
        <v>972</v>
      </c>
      <c r="N135" s="121" t="s">
        <v>972</v>
      </c>
      <c r="O135" s="121" t="s">
        <v>1436</v>
      </c>
      <c r="P135" s="117" t="s">
        <v>1876</v>
      </c>
      <c r="Q135" s="125" t="s">
        <v>972</v>
      </c>
      <c r="R135" s="125" t="s">
        <v>972</v>
      </c>
      <c r="S135" s="125" t="s">
        <v>972</v>
      </c>
      <c r="T135" s="222"/>
      <c r="U135" s="222"/>
      <c r="V135" s="222"/>
      <c r="W135" s="230"/>
      <c r="X135" s="331">
        <f t="shared" si="8"/>
        <v>0</v>
      </c>
      <c r="Y135" s="222"/>
      <c r="Z135" s="272">
        <f t="shared" si="6"/>
        <v>0</v>
      </c>
      <c r="AA135" s="331"/>
      <c r="AB135" s="331"/>
      <c r="AC135" s="331"/>
      <c r="AD135" s="331"/>
      <c r="AE135" s="331"/>
      <c r="AF135" s="331"/>
      <c r="AG135" s="331"/>
      <c r="AH135" s="241">
        <f t="shared" ca="1" si="7"/>
        <v>46153</v>
      </c>
      <c r="AI135" s="272"/>
      <c r="AJ135" s="222"/>
      <c r="AK135" s="222"/>
    </row>
    <row r="136" spans="1:37" ht="14.5" hidden="1">
      <c r="A136" s="111">
        <v>726</v>
      </c>
      <c r="B136" s="112" t="s">
        <v>1086</v>
      </c>
      <c r="C136" s="113" t="s">
        <v>3300</v>
      </c>
      <c r="D136" s="160" t="s">
        <v>3301</v>
      </c>
      <c r="E136" s="162" t="s">
        <v>3302</v>
      </c>
      <c r="F136" s="115" t="s">
        <v>1458</v>
      </c>
      <c r="G136" s="163" t="s">
        <v>1435</v>
      </c>
      <c r="H136" s="115" t="s">
        <v>3303</v>
      </c>
      <c r="I136" s="117">
        <v>100.54036000000001</v>
      </c>
      <c r="J136" s="117" t="s">
        <v>890</v>
      </c>
      <c r="K136" s="117" t="s">
        <v>891</v>
      </c>
      <c r="L136" s="117" t="s">
        <v>891</v>
      </c>
      <c r="M136" s="117">
        <v>97022633</v>
      </c>
      <c r="N136" s="117" t="s">
        <v>892</v>
      </c>
      <c r="O136" s="117" t="s">
        <v>1436</v>
      </c>
      <c r="P136" s="117"/>
      <c r="Q136" s="119"/>
      <c r="R136" s="119" t="s">
        <v>895</v>
      </c>
      <c r="S136" s="119" t="s">
        <v>895</v>
      </c>
      <c r="T136" s="222"/>
      <c r="U136" s="222"/>
      <c r="V136" s="222"/>
      <c r="W136" s="230"/>
      <c r="X136" s="331">
        <f t="shared" si="8"/>
        <v>0</v>
      </c>
      <c r="Y136" s="222"/>
      <c r="Z136" s="272">
        <f t="shared" si="6"/>
        <v>0</v>
      </c>
      <c r="AA136" s="331"/>
      <c r="AB136" s="331"/>
      <c r="AC136" s="331"/>
      <c r="AD136" s="331"/>
      <c r="AE136" s="331"/>
      <c r="AF136" s="331"/>
      <c r="AG136" s="331"/>
      <c r="AH136" s="241">
        <f t="shared" ca="1" si="7"/>
        <v>46153</v>
      </c>
      <c r="AI136" s="272"/>
      <c r="AJ136" s="222"/>
      <c r="AK136" s="222"/>
    </row>
    <row r="137" spans="1:37" ht="23.25" hidden="1" customHeight="1">
      <c r="A137" s="111">
        <v>481</v>
      </c>
      <c r="B137" s="112">
        <v>14</v>
      </c>
      <c r="C137" s="122" t="s">
        <v>3304</v>
      </c>
      <c r="D137" s="147" t="s">
        <v>3305</v>
      </c>
      <c r="E137" s="114" t="s">
        <v>3306</v>
      </c>
      <c r="F137" s="115" t="s">
        <v>1458</v>
      </c>
      <c r="G137" s="115" t="s">
        <v>1435</v>
      </c>
      <c r="H137" s="115">
        <v>13.8330562</v>
      </c>
      <c r="I137" s="115">
        <v>100.5396772</v>
      </c>
      <c r="J137" s="116" t="s">
        <v>2108</v>
      </c>
      <c r="K137" s="115" t="s">
        <v>2081</v>
      </c>
      <c r="L137" s="117" t="s">
        <v>3307</v>
      </c>
      <c r="M137" s="121" t="s">
        <v>972</v>
      </c>
      <c r="N137" s="121" t="s">
        <v>972</v>
      </c>
      <c r="O137" s="121" t="s">
        <v>1436</v>
      </c>
      <c r="P137" s="117" t="s">
        <v>1876</v>
      </c>
      <c r="Q137" s="125" t="s">
        <v>972</v>
      </c>
      <c r="R137" s="125" t="s">
        <v>972</v>
      </c>
      <c r="S137" s="125" t="s">
        <v>972</v>
      </c>
      <c r="T137" s="222"/>
      <c r="U137" s="222"/>
      <c r="V137" s="222"/>
      <c r="W137" s="230"/>
      <c r="X137" s="331">
        <f t="shared" si="8"/>
        <v>0</v>
      </c>
      <c r="Y137" s="222"/>
      <c r="Z137" s="272">
        <f t="shared" si="6"/>
        <v>0</v>
      </c>
      <c r="AA137" s="331"/>
      <c r="AB137" s="331"/>
      <c r="AC137" s="331"/>
      <c r="AD137" s="331"/>
      <c r="AE137" s="331"/>
      <c r="AF137" s="331"/>
      <c r="AG137" s="331"/>
      <c r="AH137" s="241">
        <f t="shared" ca="1" si="7"/>
        <v>46153</v>
      </c>
      <c r="AI137" s="272"/>
      <c r="AJ137" s="222"/>
      <c r="AK137" s="222"/>
    </row>
    <row r="138" spans="1:37" ht="23.25" hidden="1" customHeight="1">
      <c r="A138" s="111">
        <v>482</v>
      </c>
      <c r="B138" s="112">
        <v>6</v>
      </c>
      <c r="C138" s="113" t="s">
        <v>3308</v>
      </c>
      <c r="D138" s="147" t="s">
        <v>3309</v>
      </c>
      <c r="E138" s="114" t="s">
        <v>3310</v>
      </c>
      <c r="F138" s="115" t="s">
        <v>1458</v>
      </c>
      <c r="G138" s="115" t="s">
        <v>1435</v>
      </c>
      <c r="H138" s="116">
        <v>13.832862</v>
      </c>
      <c r="I138" s="116">
        <v>100.539631</v>
      </c>
      <c r="J138" s="116" t="s">
        <v>2108</v>
      </c>
      <c r="K138" s="115" t="s">
        <v>2081</v>
      </c>
      <c r="L138" s="117" t="s">
        <v>3307</v>
      </c>
      <c r="M138" s="121" t="s">
        <v>972</v>
      </c>
      <c r="N138" s="121" t="s">
        <v>972</v>
      </c>
      <c r="O138" s="135" t="s">
        <v>1436</v>
      </c>
      <c r="P138" s="136" t="s">
        <v>952</v>
      </c>
      <c r="Q138" s="125" t="s">
        <v>972</v>
      </c>
      <c r="R138" s="125" t="s">
        <v>972</v>
      </c>
      <c r="S138" s="125" t="s">
        <v>972</v>
      </c>
      <c r="T138" s="222"/>
      <c r="U138" s="222"/>
      <c r="V138" s="222"/>
      <c r="W138" s="230"/>
      <c r="X138" s="331">
        <f t="shared" si="8"/>
        <v>0</v>
      </c>
      <c r="Y138" s="222"/>
      <c r="Z138" s="272">
        <f t="shared" si="6"/>
        <v>0</v>
      </c>
      <c r="AA138" s="331"/>
      <c r="AB138" s="331"/>
      <c r="AC138" s="331"/>
      <c r="AD138" s="331"/>
      <c r="AE138" s="331"/>
      <c r="AF138" s="331"/>
      <c r="AG138" s="331"/>
      <c r="AH138" s="241">
        <f t="shared" ca="1" si="7"/>
        <v>46153</v>
      </c>
      <c r="AI138" s="272"/>
      <c r="AJ138" s="222"/>
      <c r="AK138" s="222"/>
    </row>
    <row r="139" spans="1:37" ht="23.25" hidden="1" customHeight="1">
      <c r="A139" s="111">
        <v>483</v>
      </c>
      <c r="B139" s="112" t="s">
        <v>979</v>
      </c>
      <c r="C139" s="122" t="s">
        <v>3311</v>
      </c>
      <c r="D139" s="147" t="s">
        <v>3312</v>
      </c>
      <c r="E139" s="114" t="s">
        <v>3313</v>
      </c>
      <c r="F139" s="115" t="s">
        <v>1458</v>
      </c>
      <c r="G139" s="115" t="s">
        <v>1435</v>
      </c>
      <c r="H139" s="115">
        <v>13.8274025</v>
      </c>
      <c r="I139" s="115">
        <v>100.5383482</v>
      </c>
      <c r="J139" s="115" t="s">
        <v>2108</v>
      </c>
      <c r="K139" s="115" t="s">
        <v>2136</v>
      </c>
      <c r="L139" s="117" t="s">
        <v>3314</v>
      </c>
      <c r="M139" s="121" t="s">
        <v>972</v>
      </c>
      <c r="N139" s="121" t="s">
        <v>972</v>
      </c>
      <c r="O139" s="121" t="s">
        <v>1436</v>
      </c>
      <c r="P139" s="117" t="s">
        <v>1876</v>
      </c>
      <c r="Q139" s="125" t="s">
        <v>972</v>
      </c>
      <c r="R139" s="125" t="s">
        <v>972</v>
      </c>
      <c r="S139" s="125" t="s">
        <v>972</v>
      </c>
      <c r="T139" s="222"/>
      <c r="U139" s="222"/>
      <c r="V139" s="222"/>
      <c r="W139" s="230"/>
      <c r="X139" s="331">
        <f t="shared" si="8"/>
        <v>0</v>
      </c>
      <c r="Y139" s="222"/>
      <c r="Z139" s="272">
        <f t="shared" si="6"/>
        <v>0</v>
      </c>
      <c r="AA139" s="331"/>
      <c r="AB139" s="331"/>
      <c r="AC139" s="331"/>
      <c r="AD139" s="331"/>
      <c r="AE139" s="331"/>
      <c r="AF139" s="331"/>
      <c r="AG139" s="331"/>
      <c r="AH139" s="241">
        <f t="shared" ca="1" si="7"/>
        <v>46153</v>
      </c>
      <c r="AI139" s="272"/>
      <c r="AJ139" s="222"/>
      <c r="AK139" s="222"/>
    </row>
    <row r="140" spans="1:37" ht="23.25" hidden="1" customHeight="1">
      <c r="A140" s="111">
        <v>486</v>
      </c>
      <c r="B140" s="112">
        <v>2</v>
      </c>
      <c r="C140" s="113" t="s">
        <v>3318</v>
      </c>
      <c r="D140" s="147" t="s">
        <v>3319</v>
      </c>
      <c r="E140" s="114" t="s">
        <v>3320</v>
      </c>
      <c r="F140" s="115" t="s">
        <v>1458</v>
      </c>
      <c r="G140" s="115" t="s">
        <v>1435</v>
      </c>
      <c r="H140" s="116">
        <v>13.824375</v>
      </c>
      <c r="I140" s="116">
        <v>100.53764200000001</v>
      </c>
      <c r="J140" s="115" t="s">
        <v>2108</v>
      </c>
      <c r="K140" s="115" t="s">
        <v>2136</v>
      </c>
      <c r="L140" s="117" t="s">
        <v>3321</v>
      </c>
      <c r="M140" s="121" t="s">
        <v>972</v>
      </c>
      <c r="N140" s="121" t="s">
        <v>972</v>
      </c>
      <c r="O140" s="135" t="s">
        <v>1436</v>
      </c>
      <c r="P140" s="136" t="s">
        <v>952</v>
      </c>
      <c r="Q140" s="125" t="s">
        <v>972</v>
      </c>
      <c r="R140" s="125" t="s">
        <v>972</v>
      </c>
      <c r="S140" s="125" t="s">
        <v>972</v>
      </c>
      <c r="T140" s="222"/>
      <c r="U140" s="222"/>
      <c r="V140" s="222"/>
      <c r="W140" s="230"/>
      <c r="X140" s="331">
        <f t="shared" si="8"/>
        <v>0</v>
      </c>
      <c r="Y140" s="222"/>
      <c r="Z140" s="272">
        <f t="shared" si="6"/>
        <v>0</v>
      </c>
      <c r="AA140" s="331"/>
      <c r="AB140" s="331"/>
      <c r="AC140" s="331"/>
      <c r="AD140" s="331"/>
      <c r="AE140" s="331"/>
      <c r="AF140" s="331"/>
      <c r="AG140" s="331"/>
      <c r="AH140" s="241">
        <f t="shared" ca="1" si="7"/>
        <v>46153</v>
      </c>
      <c r="AI140" s="272"/>
      <c r="AJ140" s="222"/>
      <c r="AK140" s="222"/>
    </row>
    <row r="141" spans="1:37" ht="23.25" hidden="1" customHeight="1">
      <c r="A141" s="111">
        <v>487</v>
      </c>
      <c r="B141" s="112">
        <v>1</v>
      </c>
      <c r="C141" s="113" t="s">
        <v>3322</v>
      </c>
      <c r="D141" s="147" t="s">
        <v>3323</v>
      </c>
      <c r="E141" s="114" t="s">
        <v>3324</v>
      </c>
      <c r="F141" s="115" t="s">
        <v>1458</v>
      </c>
      <c r="G141" s="115" t="s">
        <v>1435</v>
      </c>
      <c r="H141" s="116">
        <v>13.811354700000001</v>
      </c>
      <c r="I141" s="116">
        <v>100.5345939</v>
      </c>
      <c r="J141" s="115" t="s">
        <v>2108</v>
      </c>
      <c r="K141" s="115" t="s">
        <v>2136</v>
      </c>
      <c r="L141" s="117" t="s">
        <v>3325</v>
      </c>
      <c r="M141" s="121" t="s">
        <v>972</v>
      </c>
      <c r="N141" s="121" t="s">
        <v>972</v>
      </c>
      <c r="O141" s="121" t="s">
        <v>958</v>
      </c>
      <c r="P141" s="117" t="s">
        <v>952</v>
      </c>
      <c r="Q141" s="125" t="s">
        <v>972</v>
      </c>
      <c r="R141" s="125" t="s">
        <v>972</v>
      </c>
      <c r="S141" s="125" t="s">
        <v>972</v>
      </c>
      <c r="T141" s="222"/>
      <c r="U141" s="222"/>
      <c r="V141" s="222"/>
      <c r="W141" s="230"/>
      <c r="X141" s="331">
        <f t="shared" si="8"/>
        <v>0</v>
      </c>
      <c r="Y141" s="222"/>
      <c r="Z141" s="272">
        <f t="shared" si="6"/>
        <v>0</v>
      </c>
      <c r="AA141" s="331"/>
      <c r="AB141" s="331"/>
      <c r="AC141" s="331"/>
      <c r="AD141" s="331"/>
      <c r="AE141" s="331"/>
      <c r="AF141" s="331"/>
      <c r="AG141" s="331"/>
      <c r="AH141" s="241">
        <f t="shared" ca="1" si="7"/>
        <v>46153</v>
      </c>
      <c r="AI141" s="272"/>
      <c r="AJ141" s="222"/>
      <c r="AK141" s="222"/>
    </row>
    <row r="142" spans="1:37" ht="23.25" hidden="1" customHeight="1">
      <c r="A142" s="111">
        <v>488</v>
      </c>
      <c r="B142" s="112">
        <v>2</v>
      </c>
      <c r="C142" s="113" t="s">
        <v>3326</v>
      </c>
      <c r="D142" s="147" t="s">
        <v>3327</v>
      </c>
      <c r="E142" s="114" t="s">
        <v>3328</v>
      </c>
      <c r="F142" s="115" t="s">
        <v>1458</v>
      </c>
      <c r="G142" s="115" t="s">
        <v>1435</v>
      </c>
      <c r="H142" s="116">
        <v>13.8072236</v>
      </c>
      <c r="I142" s="116">
        <v>100.5335475</v>
      </c>
      <c r="J142" s="116" t="s">
        <v>2108</v>
      </c>
      <c r="K142" s="115" t="s">
        <v>2081</v>
      </c>
      <c r="L142" s="117" t="s">
        <v>3329</v>
      </c>
      <c r="M142" s="121" t="s">
        <v>972</v>
      </c>
      <c r="N142" s="121" t="s">
        <v>972</v>
      </c>
      <c r="O142" s="121" t="s">
        <v>958</v>
      </c>
      <c r="P142" s="117" t="s">
        <v>952</v>
      </c>
      <c r="Q142" s="125" t="s">
        <v>972</v>
      </c>
      <c r="R142" s="125" t="s">
        <v>972</v>
      </c>
      <c r="S142" s="125" t="s">
        <v>972</v>
      </c>
      <c r="T142" s="222"/>
      <c r="U142" s="222"/>
      <c r="V142" s="222"/>
      <c r="W142" s="230"/>
      <c r="X142" s="331">
        <f t="shared" si="8"/>
        <v>0</v>
      </c>
      <c r="Y142" s="222"/>
      <c r="Z142" s="272">
        <f t="shared" si="6"/>
        <v>0</v>
      </c>
      <c r="AA142" s="331"/>
      <c r="AB142" s="331"/>
      <c r="AC142" s="331"/>
      <c r="AD142" s="331"/>
      <c r="AE142" s="331"/>
      <c r="AF142" s="331"/>
      <c r="AG142" s="331"/>
      <c r="AH142" s="241">
        <f t="shared" ca="1" si="7"/>
        <v>46153</v>
      </c>
      <c r="AI142" s="272"/>
      <c r="AJ142" s="222"/>
      <c r="AK142" s="222"/>
    </row>
    <row r="143" spans="1:37" ht="23.25" hidden="1" customHeight="1">
      <c r="A143" s="111">
        <v>491</v>
      </c>
      <c r="B143" s="112">
        <v>3</v>
      </c>
      <c r="C143" s="122" t="s">
        <v>3337</v>
      </c>
      <c r="D143" s="147" t="s">
        <v>3338</v>
      </c>
      <c r="E143" s="123" t="s">
        <v>3339</v>
      </c>
      <c r="F143" s="115" t="s">
        <v>1458</v>
      </c>
      <c r="G143" s="115" t="s">
        <v>1435</v>
      </c>
      <c r="H143" s="116">
        <v>13.817408</v>
      </c>
      <c r="I143" s="116">
        <v>100.536005</v>
      </c>
      <c r="J143" s="115" t="s">
        <v>2108</v>
      </c>
      <c r="K143" s="115" t="s">
        <v>2136</v>
      </c>
      <c r="L143" s="117" t="s">
        <v>3340</v>
      </c>
      <c r="M143" s="199" t="s">
        <v>972</v>
      </c>
      <c r="N143" s="199" t="s">
        <v>972</v>
      </c>
      <c r="O143" s="199" t="s">
        <v>1436</v>
      </c>
      <c r="P143" s="339" t="s">
        <v>1876</v>
      </c>
      <c r="Q143" s="340" t="s">
        <v>972</v>
      </c>
      <c r="R143" s="340" t="s">
        <v>972</v>
      </c>
      <c r="S143" s="340" t="s">
        <v>972</v>
      </c>
      <c r="T143" s="342"/>
      <c r="U143" s="342"/>
      <c r="V143" s="342"/>
      <c r="W143" s="553"/>
      <c r="X143" s="331">
        <f t="shared" si="8"/>
        <v>0</v>
      </c>
      <c r="Y143" s="342"/>
      <c r="Z143" s="344">
        <f t="shared" si="6"/>
        <v>0</v>
      </c>
      <c r="AA143" s="331"/>
      <c r="AB143" s="331"/>
      <c r="AC143" s="331"/>
      <c r="AD143" s="331"/>
      <c r="AE143" s="331"/>
      <c r="AF143" s="331"/>
      <c r="AG143" s="331"/>
      <c r="AH143" s="343">
        <f t="shared" ca="1" si="7"/>
        <v>46153</v>
      </c>
      <c r="AI143" s="344"/>
      <c r="AJ143" s="342"/>
      <c r="AK143" s="342"/>
    </row>
    <row r="144" spans="1:37" ht="23" hidden="1">
      <c r="A144" s="111">
        <v>494</v>
      </c>
      <c r="B144" s="112">
        <v>5</v>
      </c>
      <c r="C144" s="113" t="s">
        <v>3347</v>
      </c>
      <c r="D144" s="147" t="s">
        <v>3348</v>
      </c>
      <c r="E144" s="114" t="s">
        <v>3349</v>
      </c>
      <c r="F144" s="115" t="s">
        <v>1458</v>
      </c>
      <c r="G144" s="115" t="s">
        <v>1435</v>
      </c>
      <c r="H144" s="116">
        <v>13.812936300000001</v>
      </c>
      <c r="I144" s="116">
        <v>100.5349609</v>
      </c>
      <c r="J144" s="115" t="s">
        <v>890</v>
      </c>
      <c r="K144" s="115" t="s">
        <v>891</v>
      </c>
      <c r="L144" s="117" t="s">
        <v>891</v>
      </c>
      <c r="M144" s="121">
        <v>97225882</v>
      </c>
      <c r="N144" s="121" t="s">
        <v>892</v>
      </c>
      <c r="O144" s="121" t="s">
        <v>1436</v>
      </c>
      <c r="P144" s="117" t="s">
        <v>1876</v>
      </c>
      <c r="Q144" s="125" t="s">
        <v>972</v>
      </c>
      <c r="R144" s="125" t="s">
        <v>972</v>
      </c>
      <c r="S144" s="125" t="s">
        <v>972</v>
      </c>
      <c r="T144" s="274" t="s">
        <v>5212</v>
      </c>
      <c r="U144" s="312" t="s">
        <v>5184</v>
      </c>
      <c r="V144" s="329">
        <v>45005</v>
      </c>
      <c r="W144" s="326">
        <v>4</v>
      </c>
      <c r="X144" s="331">
        <f t="shared" si="8"/>
        <v>45009</v>
      </c>
      <c r="Y144" s="312"/>
      <c r="Z144" s="332" t="e">
        <f t="shared" si="6"/>
        <v>#NUM!</v>
      </c>
      <c r="AA144" s="331"/>
      <c r="AB144" s="331"/>
      <c r="AC144" s="331"/>
      <c r="AD144" s="331"/>
      <c r="AE144" s="331"/>
      <c r="AF144" s="331"/>
      <c r="AG144" s="331"/>
      <c r="AH144" s="329">
        <f t="shared" ca="1" si="7"/>
        <v>46153</v>
      </c>
      <c r="AI144" s="330"/>
      <c r="AJ144" s="312" t="s">
        <v>5143</v>
      </c>
      <c r="AK144" s="312"/>
    </row>
    <row r="145" spans="1:37" ht="23.25" hidden="1" customHeight="1">
      <c r="A145" s="111">
        <v>496</v>
      </c>
      <c r="B145" s="112">
        <v>6</v>
      </c>
      <c r="C145" s="113" t="s">
        <v>3355</v>
      </c>
      <c r="D145" s="147" t="s">
        <v>3356</v>
      </c>
      <c r="E145" s="114" t="s">
        <v>3357</v>
      </c>
      <c r="F145" s="115" t="s">
        <v>1458</v>
      </c>
      <c r="G145" s="115" t="s">
        <v>1435</v>
      </c>
      <c r="H145" s="116">
        <v>13.810893</v>
      </c>
      <c r="I145" s="116">
        <v>100.534485</v>
      </c>
      <c r="J145" s="115" t="s">
        <v>2108</v>
      </c>
      <c r="K145" s="115" t="s">
        <v>2136</v>
      </c>
      <c r="L145" s="117" t="s">
        <v>3358</v>
      </c>
      <c r="M145" s="121" t="s">
        <v>972</v>
      </c>
      <c r="N145" s="121" t="s">
        <v>972</v>
      </c>
      <c r="O145" s="121" t="s">
        <v>958</v>
      </c>
      <c r="P145" s="117" t="s">
        <v>1876</v>
      </c>
      <c r="Q145" s="125" t="s">
        <v>972</v>
      </c>
      <c r="R145" s="125" t="s">
        <v>972</v>
      </c>
      <c r="S145" s="125" t="s">
        <v>972</v>
      </c>
      <c r="T145" s="222"/>
      <c r="U145" s="222"/>
      <c r="V145" s="222"/>
      <c r="W145" s="230"/>
      <c r="X145" s="331">
        <f t="shared" si="8"/>
        <v>0</v>
      </c>
      <c r="Y145" s="222"/>
      <c r="Z145" s="272">
        <f t="shared" si="6"/>
        <v>0</v>
      </c>
      <c r="AA145" s="331"/>
      <c r="AB145" s="331"/>
      <c r="AC145" s="331"/>
      <c r="AD145" s="331"/>
      <c r="AE145" s="331"/>
      <c r="AF145" s="331"/>
      <c r="AG145" s="331"/>
      <c r="AH145" s="241">
        <f t="shared" ca="1" si="7"/>
        <v>46153</v>
      </c>
      <c r="AI145" s="272"/>
      <c r="AJ145" s="222"/>
      <c r="AK145" s="222"/>
    </row>
    <row r="146" spans="1:37" ht="23.25" hidden="1" customHeight="1">
      <c r="A146" s="111">
        <v>497</v>
      </c>
      <c r="B146" s="112">
        <v>9</v>
      </c>
      <c r="C146" s="122" t="s">
        <v>3359</v>
      </c>
      <c r="D146" s="147" t="s">
        <v>3360</v>
      </c>
      <c r="E146" s="114" t="s">
        <v>3361</v>
      </c>
      <c r="F146" s="115" t="s">
        <v>1458</v>
      </c>
      <c r="G146" s="115" t="s">
        <v>1435</v>
      </c>
      <c r="H146" s="117">
        <v>13.8076837</v>
      </c>
      <c r="I146" s="117">
        <v>100.5337471</v>
      </c>
      <c r="J146" s="116" t="s">
        <v>2108</v>
      </c>
      <c r="K146" s="116" t="s">
        <v>970</v>
      </c>
      <c r="L146" s="117" t="s">
        <v>3362</v>
      </c>
      <c r="M146" s="121" t="s">
        <v>972</v>
      </c>
      <c r="N146" s="121" t="s">
        <v>972</v>
      </c>
      <c r="O146" s="121" t="s">
        <v>958</v>
      </c>
      <c r="P146" s="117" t="s">
        <v>952</v>
      </c>
      <c r="Q146" s="125" t="s">
        <v>972</v>
      </c>
      <c r="R146" s="125" t="s">
        <v>972</v>
      </c>
      <c r="S146" s="125" t="s">
        <v>972</v>
      </c>
      <c r="T146" s="222"/>
      <c r="U146" s="222"/>
      <c r="V146" s="222"/>
      <c r="W146" s="230"/>
      <c r="X146" s="331">
        <f t="shared" si="8"/>
        <v>0</v>
      </c>
      <c r="Y146" s="222"/>
      <c r="Z146" s="272">
        <f t="shared" si="6"/>
        <v>0</v>
      </c>
      <c r="AA146" s="331"/>
      <c r="AB146" s="331"/>
      <c r="AC146" s="331"/>
      <c r="AD146" s="331"/>
      <c r="AE146" s="331"/>
      <c r="AF146" s="331"/>
      <c r="AG146" s="331"/>
      <c r="AH146" s="241">
        <f t="shared" ca="1" si="7"/>
        <v>46153</v>
      </c>
      <c r="AI146" s="272"/>
      <c r="AJ146" s="222"/>
      <c r="AK146" s="222"/>
    </row>
    <row r="147" spans="1:37" ht="23.25" hidden="1" customHeight="1">
      <c r="A147" s="111">
        <v>498</v>
      </c>
      <c r="B147" s="112">
        <v>7</v>
      </c>
      <c r="C147" s="113" t="s">
        <v>3363</v>
      </c>
      <c r="D147" s="147" t="s">
        <v>3364</v>
      </c>
      <c r="E147" s="114" t="s">
        <v>3365</v>
      </c>
      <c r="F147" s="115" t="s">
        <v>1458</v>
      </c>
      <c r="G147" s="115" t="s">
        <v>1435</v>
      </c>
      <c r="H147" s="116">
        <v>13.816443</v>
      </c>
      <c r="I147" s="116">
        <v>100.535684</v>
      </c>
      <c r="J147" s="115" t="s">
        <v>2108</v>
      </c>
      <c r="K147" s="117" t="s">
        <v>2109</v>
      </c>
      <c r="L147" s="117" t="s">
        <v>2110</v>
      </c>
      <c r="M147" s="121" t="s">
        <v>972</v>
      </c>
      <c r="N147" s="121" t="s">
        <v>972</v>
      </c>
      <c r="O147" s="121" t="s">
        <v>958</v>
      </c>
      <c r="P147" s="117" t="s">
        <v>1876</v>
      </c>
      <c r="Q147" s="125" t="s">
        <v>972</v>
      </c>
      <c r="R147" s="125" t="s">
        <v>972</v>
      </c>
      <c r="S147" s="125" t="s">
        <v>972</v>
      </c>
      <c r="T147" s="222"/>
      <c r="U147" s="222"/>
      <c r="V147" s="222"/>
      <c r="W147" s="230"/>
      <c r="X147" s="331">
        <f t="shared" si="8"/>
        <v>0</v>
      </c>
      <c r="Y147" s="222"/>
      <c r="Z147" s="272">
        <f t="shared" si="6"/>
        <v>0</v>
      </c>
      <c r="AA147" s="331"/>
      <c r="AB147" s="331"/>
      <c r="AC147" s="331"/>
      <c r="AD147" s="331"/>
      <c r="AE147" s="331"/>
      <c r="AF147" s="331"/>
      <c r="AG147" s="331"/>
      <c r="AH147" s="241">
        <f t="shared" ca="1" si="7"/>
        <v>46153</v>
      </c>
      <c r="AI147" s="272"/>
      <c r="AJ147" s="222"/>
      <c r="AK147" s="222"/>
    </row>
    <row r="148" spans="1:37" ht="23.25" hidden="1" customHeight="1">
      <c r="A148" s="111">
        <v>500</v>
      </c>
      <c r="B148" s="112">
        <v>10</v>
      </c>
      <c r="C148" s="113" t="s">
        <v>3366</v>
      </c>
      <c r="D148" s="147" t="s">
        <v>3367</v>
      </c>
      <c r="E148" s="114" t="s">
        <v>3368</v>
      </c>
      <c r="F148" s="115" t="s">
        <v>1458</v>
      </c>
      <c r="G148" s="115" t="s">
        <v>1435</v>
      </c>
      <c r="H148" s="116">
        <v>13.818607999999999</v>
      </c>
      <c r="I148" s="116">
        <v>100.5362009</v>
      </c>
      <c r="J148" s="115" t="s">
        <v>2108</v>
      </c>
      <c r="K148" s="115" t="s">
        <v>2136</v>
      </c>
      <c r="L148" s="117" t="s">
        <v>3369</v>
      </c>
      <c r="M148" s="121" t="s">
        <v>972</v>
      </c>
      <c r="N148" s="121" t="s">
        <v>972</v>
      </c>
      <c r="O148" s="121" t="s">
        <v>1436</v>
      </c>
      <c r="P148" s="117" t="s">
        <v>1876</v>
      </c>
      <c r="Q148" s="125" t="s">
        <v>972</v>
      </c>
      <c r="R148" s="125" t="s">
        <v>972</v>
      </c>
      <c r="S148" s="125" t="s">
        <v>972</v>
      </c>
      <c r="T148" s="222"/>
      <c r="U148" s="222"/>
      <c r="V148" s="222"/>
      <c r="W148" s="230"/>
      <c r="X148" s="331">
        <f t="shared" si="8"/>
        <v>0</v>
      </c>
      <c r="Y148" s="222"/>
      <c r="Z148" s="272">
        <f t="shared" si="6"/>
        <v>0</v>
      </c>
      <c r="AA148" s="331"/>
      <c r="AB148" s="331"/>
      <c r="AC148" s="331"/>
      <c r="AD148" s="331"/>
      <c r="AE148" s="331"/>
      <c r="AF148" s="331"/>
      <c r="AG148" s="331"/>
      <c r="AH148" s="241">
        <f t="shared" ca="1" si="7"/>
        <v>46153</v>
      </c>
      <c r="AI148" s="272"/>
      <c r="AJ148" s="222"/>
      <c r="AK148" s="222"/>
    </row>
    <row r="149" spans="1:37" ht="23.25" hidden="1" customHeight="1">
      <c r="A149" s="111">
        <v>505</v>
      </c>
      <c r="B149" s="112">
        <v>12</v>
      </c>
      <c r="C149" s="122" t="s">
        <v>3376</v>
      </c>
      <c r="D149" s="147" t="s">
        <v>3377</v>
      </c>
      <c r="E149" s="123" t="s">
        <v>3378</v>
      </c>
      <c r="F149" s="116" t="s">
        <v>1458</v>
      </c>
      <c r="G149" s="116" t="s">
        <v>1435</v>
      </c>
      <c r="H149" s="116">
        <v>13.832654700000001</v>
      </c>
      <c r="I149" s="116" t="s">
        <v>3379</v>
      </c>
      <c r="J149" s="116" t="s">
        <v>2108</v>
      </c>
      <c r="K149" s="115" t="s">
        <v>2081</v>
      </c>
      <c r="L149" s="117" t="s">
        <v>3380</v>
      </c>
      <c r="M149" s="121" t="s">
        <v>972</v>
      </c>
      <c r="N149" s="121" t="s">
        <v>972</v>
      </c>
      <c r="O149" s="121" t="s">
        <v>1436</v>
      </c>
      <c r="P149" s="118" t="s">
        <v>952</v>
      </c>
      <c r="Q149" s="125" t="s">
        <v>972</v>
      </c>
      <c r="R149" s="125" t="s">
        <v>972</v>
      </c>
      <c r="S149" s="125" t="s">
        <v>972</v>
      </c>
      <c r="T149" s="222"/>
      <c r="U149" s="222"/>
      <c r="V149" s="222"/>
      <c r="W149" s="230"/>
      <c r="X149" s="331">
        <f t="shared" si="8"/>
        <v>0</v>
      </c>
      <c r="Y149" s="222"/>
      <c r="Z149" s="272">
        <f t="shared" si="6"/>
        <v>0</v>
      </c>
      <c r="AA149" s="331"/>
      <c r="AB149" s="331"/>
      <c r="AC149" s="331"/>
      <c r="AD149" s="331"/>
      <c r="AE149" s="331"/>
      <c r="AF149" s="331"/>
      <c r="AG149" s="331"/>
      <c r="AH149" s="241">
        <f t="shared" ca="1" si="7"/>
        <v>46153</v>
      </c>
      <c r="AI149" s="272"/>
      <c r="AJ149" s="222"/>
      <c r="AK149" s="222"/>
    </row>
    <row r="150" spans="1:37" ht="23.25" hidden="1" customHeight="1">
      <c r="A150" s="111">
        <v>506</v>
      </c>
      <c r="B150" s="112">
        <v>13</v>
      </c>
      <c r="C150" s="113" t="s">
        <v>3381</v>
      </c>
      <c r="D150" s="147" t="s">
        <v>3382</v>
      </c>
      <c r="E150" s="114" t="s">
        <v>3383</v>
      </c>
      <c r="F150" s="115" t="s">
        <v>1458</v>
      </c>
      <c r="G150" s="115" t="s">
        <v>1435</v>
      </c>
      <c r="H150" s="116">
        <v>13.832787</v>
      </c>
      <c r="I150" s="116">
        <v>100.53950500000001</v>
      </c>
      <c r="J150" s="116" t="s">
        <v>2108</v>
      </c>
      <c r="K150" s="115" t="s">
        <v>2081</v>
      </c>
      <c r="L150" s="117" t="s">
        <v>3380</v>
      </c>
      <c r="M150" s="121" t="s">
        <v>972</v>
      </c>
      <c r="N150" s="121" t="s">
        <v>972</v>
      </c>
      <c r="O150" s="121" t="s">
        <v>1436</v>
      </c>
      <c r="P150" s="117" t="s">
        <v>952</v>
      </c>
      <c r="Q150" s="125" t="s">
        <v>972</v>
      </c>
      <c r="R150" s="125" t="s">
        <v>972</v>
      </c>
      <c r="S150" s="125" t="s">
        <v>972</v>
      </c>
      <c r="T150" s="222"/>
      <c r="U150" s="222"/>
      <c r="V150" s="222"/>
      <c r="W150" s="230"/>
      <c r="X150" s="331">
        <f t="shared" si="8"/>
        <v>0</v>
      </c>
      <c r="Y150" s="222"/>
      <c r="Z150" s="272">
        <f t="shared" si="6"/>
        <v>0</v>
      </c>
      <c r="AA150" s="331"/>
      <c r="AB150" s="331"/>
      <c r="AC150" s="331"/>
      <c r="AD150" s="331"/>
      <c r="AE150" s="331"/>
      <c r="AF150" s="331"/>
      <c r="AG150" s="331"/>
      <c r="AH150" s="241">
        <f t="shared" ca="1" si="7"/>
        <v>46153</v>
      </c>
      <c r="AI150" s="272"/>
      <c r="AJ150" s="222"/>
      <c r="AK150" s="222"/>
    </row>
    <row r="151" spans="1:37" ht="23.25" hidden="1" customHeight="1">
      <c r="A151" s="111">
        <v>508</v>
      </c>
      <c r="B151" s="112">
        <v>1</v>
      </c>
      <c r="C151" s="113" t="s">
        <v>3389</v>
      </c>
      <c r="D151" s="147" t="s">
        <v>3390</v>
      </c>
      <c r="E151" s="114" t="s">
        <v>3391</v>
      </c>
      <c r="F151" s="115" t="s">
        <v>1458</v>
      </c>
      <c r="G151" s="115" t="s">
        <v>1435</v>
      </c>
      <c r="H151" s="116">
        <v>13.834875</v>
      </c>
      <c r="I151" s="116">
        <v>100.5400006</v>
      </c>
      <c r="J151" s="115" t="s">
        <v>2108</v>
      </c>
      <c r="K151" s="115" t="s">
        <v>2136</v>
      </c>
      <c r="L151" s="117" t="s">
        <v>3392</v>
      </c>
      <c r="M151" s="121" t="s">
        <v>972</v>
      </c>
      <c r="N151" s="121" t="s">
        <v>972</v>
      </c>
      <c r="O151" s="121" t="s">
        <v>1436</v>
      </c>
      <c r="P151" s="117" t="s">
        <v>1876</v>
      </c>
      <c r="Q151" s="125" t="s">
        <v>972</v>
      </c>
      <c r="R151" s="125" t="s">
        <v>972</v>
      </c>
      <c r="S151" s="125" t="s">
        <v>972</v>
      </c>
      <c r="T151" s="222"/>
      <c r="U151" s="222"/>
      <c r="V151" s="222"/>
      <c r="W151" s="230"/>
      <c r="X151" s="331">
        <f t="shared" si="8"/>
        <v>0</v>
      </c>
      <c r="Y151" s="222"/>
      <c r="Z151" s="272">
        <f t="shared" si="6"/>
        <v>0</v>
      </c>
      <c r="AA151" s="331"/>
      <c r="AB151" s="331"/>
      <c r="AC151" s="331"/>
      <c r="AD151" s="331"/>
      <c r="AE151" s="331"/>
      <c r="AF151" s="331"/>
      <c r="AG151" s="331"/>
      <c r="AH151" s="241">
        <f t="shared" ca="1" si="7"/>
        <v>46153</v>
      </c>
      <c r="AI151" s="272"/>
      <c r="AJ151" s="222"/>
      <c r="AK151" s="222"/>
    </row>
    <row r="152" spans="1:37" ht="23.25" hidden="1" customHeight="1">
      <c r="A152" s="111">
        <v>513</v>
      </c>
      <c r="B152" s="112">
        <v>11</v>
      </c>
      <c r="C152" s="113" t="s">
        <v>3403</v>
      </c>
      <c r="D152" s="147" t="s">
        <v>3404</v>
      </c>
      <c r="E152" s="114" t="s">
        <v>3405</v>
      </c>
      <c r="F152" s="115" t="s">
        <v>1458</v>
      </c>
      <c r="G152" s="115" t="s">
        <v>1435</v>
      </c>
      <c r="H152" s="116">
        <v>13.844189</v>
      </c>
      <c r="I152" s="116">
        <v>100.542233</v>
      </c>
      <c r="J152" s="116" t="s">
        <v>969</v>
      </c>
      <c r="K152" s="115" t="s">
        <v>2168</v>
      </c>
      <c r="L152" s="117" t="s">
        <v>3406</v>
      </c>
      <c r="M152" s="121" t="s">
        <v>972</v>
      </c>
      <c r="N152" s="121" t="s">
        <v>972</v>
      </c>
      <c r="O152" s="121" t="s">
        <v>1436</v>
      </c>
      <c r="P152" s="117" t="s">
        <v>1876</v>
      </c>
      <c r="Q152" s="125" t="s">
        <v>972</v>
      </c>
      <c r="R152" s="125" t="s">
        <v>972</v>
      </c>
      <c r="S152" s="125" t="s">
        <v>972</v>
      </c>
      <c r="T152" s="222"/>
      <c r="U152" s="222"/>
      <c r="V152" s="222"/>
      <c r="W152" s="230"/>
      <c r="X152" s="331">
        <f t="shared" si="8"/>
        <v>0</v>
      </c>
      <c r="Y152" s="222"/>
      <c r="Z152" s="272">
        <f t="shared" si="6"/>
        <v>0</v>
      </c>
      <c r="AA152" s="331"/>
      <c r="AB152" s="331"/>
      <c r="AC152" s="331"/>
      <c r="AD152" s="331"/>
      <c r="AE152" s="331"/>
      <c r="AF152" s="331"/>
      <c r="AG152" s="331"/>
      <c r="AH152" s="241">
        <f t="shared" ca="1" si="7"/>
        <v>46153</v>
      </c>
      <c r="AI152" s="272"/>
      <c r="AJ152" s="222"/>
      <c r="AK152" s="222"/>
    </row>
    <row r="153" spans="1:37" ht="23.25" hidden="1" customHeight="1">
      <c r="A153" s="111">
        <v>515</v>
      </c>
      <c r="B153" s="112">
        <v>16</v>
      </c>
      <c r="C153" s="122" t="s">
        <v>3411</v>
      </c>
      <c r="D153" s="147" t="s">
        <v>3412</v>
      </c>
      <c r="E153" s="114" t="s">
        <v>3413</v>
      </c>
      <c r="F153" s="115" t="s">
        <v>1458</v>
      </c>
      <c r="G153" s="115" t="s">
        <v>1435</v>
      </c>
      <c r="H153" s="115">
        <v>13.8415286</v>
      </c>
      <c r="I153" s="115">
        <v>100.54157429999999</v>
      </c>
      <c r="J153" s="115" t="s">
        <v>2108</v>
      </c>
      <c r="K153" s="115" t="s">
        <v>2136</v>
      </c>
      <c r="L153" s="117" t="s">
        <v>3414</v>
      </c>
      <c r="M153" s="121" t="s">
        <v>972</v>
      </c>
      <c r="N153" s="121" t="s">
        <v>972</v>
      </c>
      <c r="O153" s="121" t="s">
        <v>1436</v>
      </c>
      <c r="P153" s="117" t="s">
        <v>1876</v>
      </c>
      <c r="Q153" s="125" t="s">
        <v>972</v>
      </c>
      <c r="R153" s="125" t="s">
        <v>972</v>
      </c>
      <c r="S153" s="125" t="s">
        <v>972</v>
      </c>
      <c r="T153" s="222"/>
      <c r="U153" s="222"/>
      <c r="V153" s="222"/>
      <c r="W153" s="230"/>
      <c r="X153" s="331">
        <f t="shared" si="8"/>
        <v>0</v>
      </c>
      <c r="Y153" s="222"/>
      <c r="Z153" s="272">
        <f t="shared" si="6"/>
        <v>0</v>
      </c>
      <c r="AA153" s="331"/>
      <c r="AB153" s="331"/>
      <c r="AC153" s="331"/>
      <c r="AD153" s="331"/>
      <c r="AE153" s="331"/>
      <c r="AF153" s="331"/>
      <c r="AG153" s="331"/>
      <c r="AH153" s="241">
        <f t="shared" ca="1" si="7"/>
        <v>46153</v>
      </c>
      <c r="AI153" s="272"/>
      <c r="AJ153" s="222"/>
      <c r="AK153" s="222"/>
    </row>
    <row r="154" spans="1:37" ht="23" hidden="1">
      <c r="A154" s="111">
        <v>863</v>
      </c>
      <c r="B154" s="112" t="s">
        <v>1155</v>
      </c>
      <c r="C154" s="122" t="s">
        <v>4172</v>
      </c>
      <c r="D154" s="147" t="s">
        <v>4173</v>
      </c>
      <c r="E154" s="162" t="s">
        <v>3277</v>
      </c>
      <c r="F154" s="115" t="s">
        <v>1458</v>
      </c>
      <c r="G154" s="163" t="s">
        <v>1435</v>
      </c>
      <c r="H154" s="115" t="s">
        <v>4174</v>
      </c>
      <c r="I154" s="117">
        <v>0.54170799999999997</v>
      </c>
      <c r="J154" s="117" t="s">
        <v>890</v>
      </c>
      <c r="K154" s="117" t="s">
        <v>891</v>
      </c>
      <c r="L154" s="117" t="s">
        <v>891</v>
      </c>
      <c r="M154" s="117">
        <v>97022629</v>
      </c>
      <c r="N154" s="117" t="s">
        <v>892</v>
      </c>
      <c r="O154" s="117" t="s">
        <v>1436</v>
      </c>
      <c r="P154" s="117"/>
      <c r="Q154" s="119"/>
      <c r="R154" s="119"/>
      <c r="S154" s="119" t="s">
        <v>2830</v>
      </c>
      <c r="T154" s="222"/>
      <c r="U154" s="222"/>
      <c r="V154" s="222"/>
      <c r="W154" s="230"/>
      <c r="X154" s="331">
        <f t="shared" si="8"/>
        <v>0</v>
      </c>
      <c r="Y154" s="222"/>
      <c r="Z154" s="272">
        <f t="shared" si="6"/>
        <v>0</v>
      </c>
      <c r="AA154" s="331"/>
      <c r="AB154" s="331"/>
      <c r="AC154" s="331"/>
      <c r="AD154" s="331"/>
      <c r="AE154" s="331"/>
      <c r="AF154" s="331"/>
      <c r="AG154" s="331"/>
      <c r="AH154" s="241">
        <f t="shared" ca="1" si="7"/>
        <v>46153</v>
      </c>
      <c r="AI154" s="272"/>
      <c r="AJ154" s="222"/>
      <c r="AK154" s="222"/>
    </row>
    <row r="155" spans="1:37" ht="23.25" hidden="1" customHeight="1">
      <c r="A155" s="111">
        <v>36</v>
      </c>
      <c r="B155" s="112">
        <v>2</v>
      </c>
      <c r="C155" s="113" t="s">
        <v>2181</v>
      </c>
      <c r="D155" s="147" t="s">
        <v>2182</v>
      </c>
      <c r="E155" s="114" t="s">
        <v>2183</v>
      </c>
      <c r="F155" s="115" t="s">
        <v>2184</v>
      </c>
      <c r="G155" s="115" t="s">
        <v>1435</v>
      </c>
      <c r="H155" s="115">
        <v>13.8080382</v>
      </c>
      <c r="I155" s="115">
        <v>100.5216159</v>
      </c>
      <c r="J155" s="115" t="s">
        <v>2108</v>
      </c>
      <c r="K155" s="115" t="s">
        <v>2136</v>
      </c>
      <c r="L155" s="117" t="s">
        <v>2185</v>
      </c>
      <c r="M155" s="117" t="s">
        <v>1347</v>
      </c>
      <c r="N155" s="121" t="s">
        <v>972</v>
      </c>
      <c r="O155" s="121" t="s">
        <v>958</v>
      </c>
      <c r="P155" s="117" t="s">
        <v>1876</v>
      </c>
      <c r="Q155" s="125" t="s">
        <v>972</v>
      </c>
      <c r="R155" s="125" t="s">
        <v>972</v>
      </c>
      <c r="S155" s="125" t="s">
        <v>972</v>
      </c>
      <c r="T155" s="222"/>
      <c r="U155" s="222"/>
      <c r="V155" s="222"/>
      <c r="W155" s="230"/>
      <c r="X155" s="331">
        <f t="shared" si="8"/>
        <v>0</v>
      </c>
      <c r="Y155" s="222"/>
      <c r="Z155" s="272">
        <f t="shared" si="6"/>
        <v>0</v>
      </c>
      <c r="AA155" s="331"/>
      <c r="AB155" s="331"/>
      <c r="AC155" s="331"/>
      <c r="AD155" s="331"/>
      <c r="AE155" s="331"/>
      <c r="AF155" s="331"/>
      <c r="AG155" s="331"/>
      <c r="AH155" s="241">
        <f t="shared" ca="1" si="7"/>
        <v>46153</v>
      </c>
      <c r="AI155" s="272"/>
      <c r="AJ155" s="222"/>
      <c r="AK155" s="222"/>
    </row>
    <row r="156" spans="1:37" ht="23.25" hidden="1" customHeight="1">
      <c r="A156" s="111">
        <v>272</v>
      </c>
      <c r="B156" s="112">
        <v>1</v>
      </c>
      <c r="C156" s="113" t="s">
        <v>2822</v>
      </c>
      <c r="D156" s="147" t="s">
        <v>2823</v>
      </c>
      <c r="E156" s="114" t="s">
        <v>2824</v>
      </c>
      <c r="F156" s="115" t="s">
        <v>2184</v>
      </c>
      <c r="G156" s="115" t="s">
        <v>1435</v>
      </c>
      <c r="H156" s="116">
        <v>13.803299000000001</v>
      </c>
      <c r="I156" s="116">
        <v>100.521474</v>
      </c>
      <c r="J156" s="115" t="s">
        <v>2108</v>
      </c>
      <c r="K156" s="117" t="s">
        <v>2109</v>
      </c>
      <c r="L156" s="117" t="s">
        <v>2110</v>
      </c>
      <c r="M156" s="121" t="s">
        <v>972</v>
      </c>
      <c r="N156" s="121" t="s">
        <v>972</v>
      </c>
      <c r="O156" s="121" t="s">
        <v>958</v>
      </c>
      <c r="P156" s="117" t="s">
        <v>1876</v>
      </c>
      <c r="Q156" s="125" t="s">
        <v>972</v>
      </c>
      <c r="R156" s="125" t="s">
        <v>972</v>
      </c>
      <c r="S156" s="125" t="s">
        <v>972</v>
      </c>
      <c r="T156" s="222"/>
      <c r="U156" s="222"/>
      <c r="V156" s="222"/>
      <c r="W156" s="230"/>
      <c r="X156" s="331">
        <f t="shared" si="8"/>
        <v>0</v>
      </c>
      <c r="Y156" s="222"/>
      <c r="Z156" s="272">
        <f t="shared" si="6"/>
        <v>0</v>
      </c>
      <c r="AA156" s="331"/>
      <c r="AB156" s="331"/>
      <c r="AC156" s="331"/>
      <c r="AD156" s="331"/>
      <c r="AE156" s="331"/>
      <c r="AF156" s="331"/>
      <c r="AG156" s="331"/>
      <c r="AH156" s="241">
        <f t="shared" ca="1" si="7"/>
        <v>46153</v>
      </c>
      <c r="AI156" s="272"/>
      <c r="AJ156" s="222"/>
      <c r="AK156" s="222"/>
    </row>
    <row r="157" spans="1:37" ht="23.25" hidden="1" customHeight="1">
      <c r="A157" s="111">
        <v>50</v>
      </c>
      <c r="B157" s="112" t="s">
        <v>985</v>
      </c>
      <c r="C157" s="113" t="s">
        <v>2217</v>
      </c>
      <c r="D157" s="147" t="s">
        <v>2218</v>
      </c>
      <c r="E157" s="114" t="s">
        <v>2219</v>
      </c>
      <c r="F157" s="115" t="s">
        <v>2220</v>
      </c>
      <c r="G157" s="115" t="s">
        <v>968</v>
      </c>
      <c r="H157" s="116">
        <v>13.762740000000001</v>
      </c>
      <c r="I157" s="116">
        <v>100.55583300000001</v>
      </c>
      <c r="J157" s="115" t="s">
        <v>2108</v>
      </c>
      <c r="K157" s="115" t="s">
        <v>2136</v>
      </c>
      <c r="L157" s="117" t="s">
        <v>2221</v>
      </c>
      <c r="M157" s="121" t="s">
        <v>972</v>
      </c>
      <c r="N157" s="121" t="s">
        <v>972</v>
      </c>
      <c r="O157" s="121" t="s">
        <v>901</v>
      </c>
      <c r="P157" s="117" t="s">
        <v>1876</v>
      </c>
      <c r="Q157" s="125" t="s">
        <v>972</v>
      </c>
      <c r="R157" s="125" t="s">
        <v>972</v>
      </c>
      <c r="S157" s="125" t="s">
        <v>972</v>
      </c>
      <c r="T157" s="222"/>
      <c r="U157" s="222"/>
      <c r="V157" s="222"/>
      <c r="W157" s="230"/>
      <c r="X157" s="331">
        <f t="shared" si="8"/>
        <v>0</v>
      </c>
      <c r="Y157" s="222"/>
      <c r="Z157" s="272">
        <f t="shared" si="6"/>
        <v>0</v>
      </c>
      <c r="AA157" s="331"/>
      <c r="AB157" s="331"/>
      <c r="AC157" s="331"/>
      <c r="AD157" s="331"/>
      <c r="AE157" s="331"/>
      <c r="AF157" s="331"/>
      <c r="AG157" s="331"/>
      <c r="AH157" s="241">
        <f t="shared" ca="1" si="7"/>
        <v>46153</v>
      </c>
      <c r="AI157" s="272"/>
      <c r="AJ157" s="222"/>
      <c r="AK157" s="222"/>
    </row>
    <row r="158" spans="1:37" ht="23.25" hidden="1" customHeight="1">
      <c r="A158" s="111">
        <v>53</v>
      </c>
      <c r="B158" s="112" t="s">
        <v>1082</v>
      </c>
      <c r="C158" s="113" t="s">
        <v>2225</v>
      </c>
      <c r="D158" s="147" t="s">
        <v>2226</v>
      </c>
      <c r="E158" s="114" t="s">
        <v>2227</v>
      </c>
      <c r="F158" s="115" t="s">
        <v>2220</v>
      </c>
      <c r="G158" s="115" t="s">
        <v>968</v>
      </c>
      <c r="H158" s="116">
        <v>13.761225</v>
      </c>
      <c r="I158" s="116">
        <v>100.55521400000001</v>
      </c>
      <c r="J158" s="116" t="s">
        <v>969</v>
      </c>
      <c r="K158" s="115" t="s">
        <v>1048</v>
      </c>
      <c r="L158" s="117" t="s">
        <v>2228</v>
      </c>
      <c r="M158" s="117">
        <v>96930574</v>
      </c>
      <c r="N158" s="121" t="s">
        <v>892</v>
      </c>
      <c r="O158" s="121" t="s">
        <v>901</v>
      </c>
      <c r="P158" s="117" t="s">
        <v>1876</v>
      </c>
      <c r="Q158" s="125" t="s">
        <v>972</v>
      </c>
      <c r="R158" s="125" t="s">
        <v>972</v>
      </c>
      <c r="S158" s="125" t="s">
        <v>972</v>
      </c>
      <c r="T158" s="222"/>
      <c r="U158" s="222"/>
      <c r="V158" s="222"/>
      <c r="W158" s="230"/>
      <c r="X158" s="331">
        <f t="shared" si="8"/>
        <v>0</v>
      </c>
      <c r="Y158" s="222"/>
      <c r="Z158" s="272">
        <f t="shared" si="6"/>
        <v>0</v>
      </c>
      <c r="AA158" s="331"/>
      <c r="AB158" s="331"/>
      <c r="AC158" s="331"/>
      <c r="AD158" s="331"/>
      <c r="AE158" s="331"/>
      <c r="AF158" s="331"/>
      <c r="AG158" s="331"/>
      <c r="AH158" s="241">
        <f t="shared" ca="1" si="7"/>
        <v>46153</v>
      </c>
      <c r="AI158" s="272"/>
      <c r="AJ158" s="222"/>
      <c r="AK158" s="222"/>
    </row>
    <row r="159" spans="1:37" ht="23.25" hidden="1" customHeight="1">
      <c r="A159" s="111">
        <v>54</v>
      </c>
      <c r="B159" s="112">
        <v>1</v>
      </c>
      <c r="C159" s="113" t="s">
        <v>2229</v>
      </c>
      <c r="D159" s="147" t="s">
        <v>2230</v>
      </c>
      <c r="E159" s="114" t="s">
        <v>2231</v>
      </c>
      <c r="F159" s="115" t="s">
        <v>2220</v>
      </c>
      <c r="G159" s="115" t="s">
        <v>968</v>
      </c>
      <c r="H159" s="116">
        <v>13.761404000000001</v>
      </c>
      <c r="I159" s="116">
        <v>100.555289</v>
      </c>
      <c r="J159" s="116" t="s">
        <v>969</v>
      </c>
      <c r="K159" s="115" t="s">
        <v>1048</v>
      </c>
      <c r="L159" s="117" t="s">
        <v>2228</v>
      </c>
      <c r="M159" s="121">
        <v>96930574</v>
      </c>
      <c r="N159" s="121" t="s">
        <v>892</v>
      </c>
      <c r="O159" s="121" t="s">
        <v>901</v>
      </c>
      <c r="P159" s="117" t="s">
        <v>1876</v>
      </c>
      <c r="Q159" s="125" t="s">
        <v>972</v>
      </c>
      <c r="R159" s="125" t="s">
        <v>972</v>
      </c>
      <c r="S159" s="125" t="s">
        <v>972</v>
      </c>
      <c r="T159" s="222"/>
      <c r="U159" s="222"/>
      <c r="V159" s="222"/>
      <c r="W159" s="230"/>
      <c r="X159" s="331">
        <f t="shared" si="8"/>
        <v>0</v>
      </c>
      <c r="Y159" s="222"/>
      <c r="Z159" s="272">
        <f t="shared" si="6"/>
        <v>0</v>
      </c>
      <c r="AA159" s="331"/>
      <c r="AB159" s="331"/>
      <c r="AC159" s="331"/>
      <c r="AD159" s="331"/>
      <c r="AE159" s="331"/>
      <c r="AF159" s="331"/>
      <c r="AG159" s="331"/>
      <c r="AH159" s="241">
        <f t="shared" ca="1" si="7"/>
        <v>46153</v>
      </c>
      <c r="AI159" s="272"/>
      <c r="AJ159" s="222"/>
      <c r="AK159" s="222"/>
    </row>
    <row r="160" spans="1:37" ht="23.25" hidden="1" customHeight="1">
      <c r="A160" s="111">
        <v>55</v>
      </c>
      <c r="B160" s="112" t="s">
        <v>1022</v>
      </c>
      <c r="C160" s="113" t="s">
        <v>2232</v>
      </c>
      <c r="D160" s="147" t="s">
        <v>2233</v>
      </c>
      <c r="E160" s="114" t="s">
        <v>2234</v>
      </c>
      <c r="F160" s="115" t="s">
        <v>2220</v>
      </c>
      <c r="G160" s="115" t="s">
        <v>968</v>
      </c>
      <c r="H160" s="115">
        <v>13.765701399999999</v>
      </c>
      <c r="I160" s="115">
        <v>100.5570158</v>
      </c>
      <c r="J160" s="115" t="s">
        <v>890</v>
      </c>
      <c r="K160" s="115" t="s">
        <v>891</v>
      </c>
      <c r="L160" s="117" t="s">
        <v>891</v>
      </c>
      <c r="M160" s="121">
        <v>97200410</v>
      </c>
      <c r="N160" s="121" t="s">
        <v>892</v>
      </c>
      <c r="O160" s="121" t="s">
        <v>901</v>
      </c>
      <c r="P160" s="117" t="s">
        <v>952</v>
      </c>
      <c r="Q160" s="125" t="s">
        <v>972</v>
      </c>
      <c r="R160" s="125" t="s">
        <v>972</v>
      </c>
      <c r="S160" s="125" t="s">
        <v>972</v>
      </c>
      <c r="T160" s="312" t="s">
        <v>5212</v>
      </c>
      <c r="U160" s="312" t="s">
        <v>5213</v>
      </c>
      <c r="V160" s="329">
        <v>44979</v>
      </c>
      <c r="W160" s="326">
        <v>30</v>
      </c>
      <c r="X160" s="331">
        <f t="shared" si="8"/>
        <v>45009</v>
      </c>
      <c r="Y160" s="329">
        <v>45066</v>
      </c>
      <c r="Z160" s="332">
        <f t="shared" si="6"/>
        <v>57</v>
      </c>
      <c r="AA160" s="331"/>
      <c r="AB160" s="331"/>
      <c r="AC160" s="331"/>
      <c r="AD160" s="331"/>
      <c r="AE160" s="331"/>
      <c r="AF160" s="331"/>
      <c r="AG160" s="331"/>
      <c r="AH160" s="329">
        <f t="shared" ca="1" si="7"/>
        <v>46153</v>
      </c>
      <c r="AI160" s="330"/>
      <c r="AJ160" s="312" t="s">
        <v>5143</v>
      </c>
      <c r="AK160" s="312" t="s">
        <v>5149</v>
      </c>
    </row>
    <row r="161" spans="1:37" ht="23.25" hidden="1" customHeight="1">
      <c r="A161" s="111">
        <v>58</v>
      </c>
      <c r="B161" s="112" t="s">
        <v>1569</v>
      </c>
      <c r="C161" s="113" t="s">
        <v>2240</v>
      </c>
      <c r="D161" s="147" t="s">
        <v>2241</v>
      </c>
      <c r="E161" s="114" t="s">
        <v>2242</v>
      </c>
      <c r="F161" s="115" t="s">
        <v>2220</v>
      </c>
      <c r="G161" s="115" t="s">
        <v>968</v>
      </c>
      <c r="H161" s="116">
        <v>13.776496</v>
      </c>
      <c r="I161" s="116">
        <v>100.567971</v>
      </c>
      <c r="J161" s="115" t="s">
        <v>2108</v>
      </c>
      <c r="K161" s="115" t="s">
        <v>2136</v>
      </c>
      <c r="L161" s="117" t="s">
        <v>2243</v>
      </c>
      <c r="M161" s="121" t="s">
        <v>972</v>
      </c>
      <c r="N161" s="121" t="s">
        <v>972</v>
      </c>
      <c r="O161" s="121" t="s">
        <v>901</v>
      </c>
      <c r="P161" s="117" t="s">
        <v>1876</v>
      </c>
      <c r="Q161" s="125" t="s">
        <v>972</v>
      </c>
      <c r="R161" s="125" t="s">
        <v>972</v>
      </c>
      <c r="S161" s="125" t="s">
        <v>972</v>
      </c>
      <c r="T161" s="222"/>
      <c r="U161" s="222"/>
      <c r="V161" s="222"/>
      <c r="W161" s="230"/>
      <c r="X161" s="331">
        <f t="shared" si="8"/>
        <v>0</v>
      </c>
      <c r="Y161" s="222"/>
      <c r="Z161" s="272">
        <f t="shared" si="6"/>
        <v>0</v>
      </c>
      <c r="AA161" s="331"/>
      <c r="AB161" s="331"/>
      <c r="AC161" s="331"/>
      <c r="AD161" s="331"/>
      <c r="AE161" s="331"/>
      <c r="AF161" s="331"/>
      <c r="AG161" s="331"/>
      <c r="AH161" s="241">
        <f t="shared" ca="1" si="7"/>
        <v>46153</v>
      </c>
      <c r="AI161" s="272"/>
      <c r="AJ161" s="222"/>
      <c r="AK161" s="222"/>
    </row>
    <row r="162" spans="1:37" ht="23.25" hidden="1" customHeight="1">
      <c r="A162" s="111">
        <v>59</v>
      </c>
      <c r="B162" s="112" t="s">
        <v>1114</v>
      </c>
      <c r="C162" s="113" t="s">
        <v>2244</v>
      </c>
      <c r="D162" s="147" t="s">
        <v>2245</v>
      </c>
      <c r="E162" s="114" t="s">
        <v>2246</v>
      </c>
      <c r="F162" s="115" t="s">
        <v>2220</v>
      </c>
      <c r="G162" s="115" t="s">
        <v>968</v>
      </c>
      <c r="H162" s="115">
        <v>13.7769143</v>
      </c>
      <c r="I162" s="115">
        <v>100.56800149999999</v>
      </c>
      <c r="J162" s="115" t="s">
        <v>2108</v>
      </c>
      <c r="K162" s="115" t="s">
        <v>2136</v>
      </c>
      <c r="L162" s="117" t="s">
        <v>2243</v>
      </c>
      <c r="M162" s="121" t="s">
        <v>972</v>
      </c>
      <c r="N162" s="121" t="s">
        <v>972</v>
      </c>
      <c r="O162" s="121" t="s">
        <v>901</v>
      </c>
      <c r="P162" s="117" t="s">
        <v>1876</v>
      </c>
      <c r="Q162" s="125" t="s">
        <v>972</v>
      </c>
      <c r="R162" s="125" t="s">
        <v>972</v>
      </c>
      <c r="S162" s="125" t="s">
        <v>972</v>
      </c>
      <c r="T162" s="222"/>
      <c r="U162" s="222"/>
      <c r="V162" s="222"/>
      <c r="W162" s="230"/>
      <c r="X162" s="331">
        <f t="shared" si="8"/>
        <v>0</v>
      </c>
      <c r="Y162" s="222"/>
      <c r="Z162" s="272">
        <f t="shared" si="6"/>
        <v>0</v>
      </c>
      <c r="AA162" s="331"/>
      <c r="AB162" s="331"/>
      <c r="AC162" s="331"/>
      <c r="AD162" s="331"/>
      <c r="AE162" s="331"/>
      <c r="AF162" s="331"/>
      <c r="AG162" s="331"/>
      <c r="AH162" s="241">
        <f t="shared" ca="1" si="7"/>
        <v>46153</v>
      </c>
      <c r="AI162" s="272"/>
      <c r="AJ162" s="222"/>
      <c r="AK162" s="222"/>
    </row>
    <row r="163" spans="1:37" ht="23" hidden="1">
      <c r="A163" s="111">
        <v>802</v>
      </c>
      <c r="B163" s="112">
        <v>15</v>
      </c>
      <c r="C163" s="122" t="s">
        <v>4104</v>
      </c>
      <c r="D163" s="147" t="s">
        <v>4105</v>
      </c>
      <c r="E163" s="123" t="s">
        <v>4106</v>
      </c>
      <c r="F163" s="116" t="s">
        <v>2220</v>
      </c>
      <c r="G163" s="116" t="s">
        <v>968</v>
      </c>
      <c r="H163" s="116">
        <v>13.761680999999999</v>
      </c>
      <c r="I163" s="116">
        <v>100.555403</v>
      </c>
      <c r="J163" s="116" t="s">
        <v>969</v>
      </c>
      <c r="K163" s="116" t="s">
        <v>970</v>
      </c>
      <c r="L163" s="117" t="s">
        <v>4107</v>
      </c>
      <c r="M163" s="121">
        <v>96930574</v>
      </c>
      <c r="N163" s="121" t="s">
        <v>892</v>
      </c>
      <c r="O163" s="121" t="s">
        <v>901</v>
      </c>
      <c r="P163" s="117" t="s">
        <v>1876</v>
      </c>
      <c r="Q163" s="125" t="s">
        <v>972</v>
      </c>
      <c r="R163" s="125" t="s">
        <v>972</v>
      </c>
      <c r="S163" s="125" t="s">
        <v>972</v>
      </c>
      <c r="T163" s="222"/>
      <c r="U163" s="222"/>
      <c r="V163" s="222"/>
      <c r="W163" s="230"/>
      <c r="X163" s="331">
        <f t="shared" si="8"/>
        <v>0</v>
      </c>
      <c r="Y163" s="222"/>
      <c r="Z163" s="272">
        <f t="shared" si="6"/>
        <v>0</v>
      </c>
      <c r="AA163" s="331"/>
      <c r="AB163" s="331"/>
      <c r="AC163" s="331"/>
      <c r="AD163" s="331"/>
      <c r="AE163" s="331"/>
      <c r="AF163" s="331"/>
      <c r="AG163" s="331"/>
      <c r="AH163" s="241">
        <f t="shared" ca="1" si="7"/>
        <v>46153</v>
      </c>
      <c r="AI163" s="272"/>
      <c r="AJ163" s="222"/>
      <c r="AK163" s="222"/>
    </row>
    <row r="164" spans="1:37" ht="23" hidden="1">
      <c r="A164" s="111">
        <v>435</v>
      </c>
      <c r="B164" s="112">
        <v>9</v>
      </c>
      <c r="C164" s="113" t="s">
        <v>1391</v>
      </c>
      <c r="D164" s="147" t="s">
        <v>1392</v>
      </c>
      <c r="E164" s="114" t="s">
        <v>1393</v>
      </c>
      <c r="F164" s="115" t="s">
        <v>1394</v>
      </c>
      <c r="G164" s="115" t="s">
        <v>936</v>
      </c>
      <c r="H164" s="116">
        <v>13.769104</v>
      </c>
      <c r="I164" s="116">
        <v>100.592106</v>
      </c>
      <c r="J164" s="116" t="s">
        <v>890</v>
      </c>
      <c r="K164" s="117" t="s">
        <v>891</v>
      </c>
      <c r="L164" s="117" t="s">
        <v>891</v>
      </c>
      <c r="M164" s="117">
        <v>96895432</v>
      </c>
      <c r="N164" s="120" t="s">
        <v>892</v>
      </c>
      <c r="O164" s="121" t="s">
        <v>901</v>
      </c>
      <c r="P164" s="117" t="s">
        <v>902</v>
      </c>
      <c r="Q164" s="118">
        <v>80057501</v>
      </c>
      <c r="R164" s="119" t="s">
        <v>895</v>
      </c>
      <c r="S164" s="119" t="s">
        <v>895</v>
      </c>
      <c r="T164" s="305" t="s">
        <v>5212</v>
      </c>
      <c r="U164" s="305" t="s">
        <v>5263</v>
      </c>
      <c r="V164" s="331">
        <v>45101</v>
      </c>
      <c r="W164" s="326">
        <v>4</v>
      </c>
      <c r="X164" s="331">
        <f t="shared" si="8"/>
        <v>45105</v>
      </c>
      <c r="Y164" s="331">
        <v>45116</v>
      </c>
      <c r="Z164" s="332">
        <f t="shared" si="6"/>
        <v>11</v>
      </c>
      <c r="AA164" s="331"/>
      <c r="AB164" s="331"/>
      <c r="AC164" s="331"/>
      <c r="AD164" s="331"/>
      <c r="AE164" s="331"/>
      <c r="AF164" s="331"/>
      <c r="AG164" s="331"/>
      <c r="AH164" s="331">
        <f t="shared" ca="1" si="7"/>
        <v>46153</v>
      </c>
      <c r="AI164" s="332"/>
      <c r="AJ164" s="312" t="s">
        <v>5143</v>
      </c>
      <c r="AK164" s="312" t="s">
        <v>5149</v>
      </c>
    </row>
    <row r="165" spans="1:37" ht="23.25" hidden="1" customHeight="1">
      <c r="A165" s="111">
        <v>861</v>
      </c>
      <c r="B165" s="112">
        <v>14</v>
      </c>
      <c r="C165" s="113" t="s">
        <v>1836</v>
      </c>
      <c r="D165" s="147" t="s">
        <v>1837</v>
      </c>
      <c r="E165" s="114" t="s">
        <v>1838</v>
      </c>
      <c r="F165" s="115" t="s">
        <v>1394</v>
      </c>
      <c r="G165" s="115" t="s">
        <v>936</v>
      </c>
      <c r="H165" s="116">
        <v>13.767310999999999</v>
      </c>
      <c r="I165" s="116">
        <v>100.60071000000001</v>
      </c>
      <c r="J165" s="116" t="s">
        <v>890</v>
      </c>
      <c r="K165" s="117" t="s">
        <v>891</v>
      </c>
      <c r="L165" s="117" t="s">
        <v>891</v>
      </c>
      <c r="M165" s="117">
        <v>96895746</v>
      </c>
      <c r="N165" s="120" t="s">
        <v>892</v>
      </c>
      <c r="O165" s="121" t="s">
        <v>901</v>
      </c>
      <c r="P165" s="117" t="s">
        <v>902</v>
      </c>
      <c r="Q165" s="118">
        <v>80057501</v>
      </c>
      <c r="R165" s="119" t="s">
        <v>895</v>
      </c>
      <c r="S165" s="119" t="s">
        <v>895</v>
      </c>
      <c r="T165" s="222"/>
      <c r="U165" s="222"/>
      <c r="V165" s="222"/>
      <c r="W165" s="230"/>
      <c r="X165" s="331">
        <f t="shared" si="8"/>
        <v>0</v>
      </c>
      <c r="Y165" s="222"/>
      <c r="Z165" s="272">
        <f t="shared" si="6"/>
        <v>0</v>
      </c>
      <c r="AA165" s="331"/>
      <c r="AB165" s="331"/>
      <c r="AC165" s="331"/>
      <c r="AD165" s="331"/>
      <c r="AE165" s="331"/>
      <c r="AF165" s="331"/>
      <c r="AG165" s="331"/>
      <c r="AH165" s="241">
        <f t="shared" ca="1" si="7"/>
        <v>46153</v>
      </c>
      <c r="AI165" s="272"/>
      <c r="AJ165" s="222"/>
      <c r="AK165" s="222"/>
    </row>
    <row r="166" spans="1:37" ht="23.25" hidden="1" customHeight="1">
      <c r="A166" s="111">
        <v>8</v>
      </c>
      <c r="B166" s="112">
        <v>3</v>
      </c>
      <c r="C166" s="122" t="s">
        <v>2105</v>
      </c>
      <c r="D166" s="147" t="s">
        <v>2106</v>
      </c>
      <c r="E166" s="123" t="s">
        <v>2107</v>
      </c>
      <c r="F166" s="115" t="s">
        <v>1394</v>
      </c>
      <c r="G166" s="115" t="s">
        <v>936</v>
      </c>
      <c r="H166" s="116">
        <v>13.769371</v>
      </c>
      <c r="I166" s="116">
        <v>100.58856299999999</v>
      </c>
      <c r="J166" s="115" t="s">
        <v>2108</v>
      </c>
      <c r="K166" s="117" t="s">
        <v>2109</v>
      </c>
      <c r="L166" s="117" t="s">
        <v>2110</v>
      </c>
      <c r="M166" s="121" t="s">
        <v>972</v>
      </c>
      <c r="N166" s="121" t="s">
        <v>972</v>
      </c>
      <c r="O166" s="121" t="s">
        <v>901</v>
      </c>
      <c r="P166" s="117" t="s">
        <v>902</v>
      </c>
      <c r="Q166" s="125" t="s">
        <v>972</v>
      </c>
      <c r="R166" s="125" t="s">
        <v>972</v>
      </c>
      <c r="S166" s="125" t="s">
        <v>972</v>
      </c>
      <c r="T166" s="222"/>
      <c r="U166" s="222"/>
      <c r="V166" s="222"/>
      <c r="W166" s="230"/>
      <c r="X166" s="331">
        <f t="shared" si="8"/>
        <v>0</v>
      </c>
      <c r="Y166" s="222"/>
      <c r="Z166" s="272">
        <f t="shared" si="6"/>
        <v>0</v>
      </c>
      <c r="AA166" s="331"/>
      <c r="AB166" s="331"/>
      <c r="AC166" s="331"/>
      <c r="AD166" s="331"/>
      <c r="AE166" s="331"/>
      <c r="AF166" s="331"/>
      <c r="AG166" s="331"/>
      <c r="AH166" s="241">
        <f t="shared" ca="1" si="7"/>
        <v>46153</v>
      </c>
      <c r="AI166" s="272"/>
      <c r="AJ166" s="222"/>
      <c r="AK166" s="222"/>
    </row>
    <row r="167" spans="1:37" ht="23.25" hidden="1" customHeight="1">
      <c r="A167" s="111">
        <v>436</v>
      </c>
      <c r="B167" s="112">
        <v>10</v>
      </c>
      <c r="C167" s="113" t="s">
        <v>3197</v>
      </c>
      <c r="D167" s="147" t="s">
        <v>3198</v>
      </c>
      <c r="E167" s="114" t="s">
        <v>3199</v>
      </c>
      <c r="F167" s="115" t="s">
        <v>1394</v>
      </c>
      <c r="G167" s="115" t="s">
        <v>936</v>
      </c>
      <c r="H167" s="116">
        <v>13.769216</v>
      </c>
      <c r="I167" s="116">
        <v>100.588764</v>
      </c>
      <c r="J167" s="115" t="s">
        <v>2108</v>
      </c>
      <c r="K167" s="117" t="s">
        <v>2109</v>
      </c>
      <c r="L167" s="117" t="s">
        <v>2110</v>
      </c>
      <c r="M167" s="121" t="s">
        <v>972</v>
      </c>
      <c r="N167" s="121" t="s">
        <v>972</v>
      </c>
      <c r="O167" s="121" t="s">
        <v>901</v>
      </c>
      <c r="P167" s="117" t="s">
        <v>902</v>
      </c>
      <c r="Q167" s="125" t="s">
        <v>972</v>
      </c>
      <c r="R167" s="125" t="s">
        <v>972</v>
      </c>
      <c r="S167" s="125" t="s">
        <v>972</v>
      </c>
      <c r="T167" s="222"/>
      <c r="U167" s="222"/>
      <c r="V167" s="222"/>
      <c r="W167" s="230"/>
      <c r="X167" s="331">
        <f t="shared" si="8"/>
        <v>0</v>
      </c>
      <c r="Y167" s="222"/>
      <c r="Z167" s="272">
        <f t="shared" si="6"/>
        <v>0</v>
      </c>
      <c r="AA167" s="331"/>
      <c r="AB167" s="331"/>
      <c r="AC167" s="331"/>
      <c r="AD167" s="331"/>
      <c r="AE167" s="331"/>
      <c r="AF167" s="331"/>
      <c r="AG167" s="331"/>
      <c r="AH167" s="241">
        <f t="shared" ca="1" si="7"/>
        <v>46153</v>
      </c>
      <c r="AI167" s="272"/>
      <c r="AJ167" s="222"/>
      <c r="AK167" s="222"/>
    </row>
    <row r="168" spans="1:37" ht="23" hidden="1">
      <c r="A168" s="111">
        <v>654</v>
      </c>
      <c r="B168" s="112">
        <v>5</v>
      </c>
      <c r="C168" s="122" t="s">
        <v>3255</v>
      </c>
      <c r="D168" s="147" t="s">
        <v>3256</v>
      </c>
      <c r="E168" s="157" t="s">
        <v>3257</v>
      </c>
      <c r="F168" s="117" t="s">
        <v>1394</v>
      </c>
      <c r="G168" s="148" t="s">
        <v>929</v>
      </c>
      <c r="H168" s="117" t="s">
        <v>3258</v>
      </c>
      <c r="I168" s="117">
        <v>100.5956291</v>
      </c>
      <c r="J168" s="117" t="s">
        <v>890</v>
      </c>
      <c r="K168" s="121" t="s">
        <v>891</v>
      </c>
      <c r="L168" s="121" t="s">
        <v>891</v>
      </c>
      <c r="M168" s="117">
        <v>97022653</v>
      </c>
      <c r="N168" s="117" t="s">
        <v>892</v>
      </c>
      <c r="O168" s="117" t="s">
        <v>901</v>
      </c>
      <c r="P168" s="117" t="s">
        <v>894</v>
      </c>
      <c r="Q168" s="119"/>
      <c r="R168" s="119" t="s">
        <v>895</v>
      </c>
      <c r="S168" s="119" t="s">
        <v>895</v>
      </c>
      <c r="T168" s="222"/>
      <c r="U168" s="222"/>
      <c r="V168" s="222"/>
      <c r="W168" s="230"/>
      <c r="X168" s="331">
        <f t="shared" si="8"/>
        <v>0</v>
      </c>
      <c r="Y168" s="222"/>
      <c r="Z168" s="272">
        <f t="shared" si="6"/>
        <v>0</v>
      </c>
      <c r="AA168" s="331"/>
      <c r="AB168" s="331"/>
      <c r="AC168" s="331"/>
      <c r="AD168" s="331"/>
      <c r="AE168" s="331"/>
      <c r="AF168" s="331"/>
      <c r="AG168" s="331"/>
      <c r="AH168" s="241">
        <f t="shared" ca="1" si="7"/>
        <v>46153</v>
      </c>
      <c r="AI168" s="272"/>
      <c r="AJ168" s="222"/>
      <c r="AK168" s="222"/>
    </row>
    <row r="169" spans="1:37" ht="23.25" hidden="1" customHeight="1">
      <c r="A169" s="111">
        <v>665</v>
      </c>
      <c r="B169" s="112">
        <v>11</v>
      </c>
      <c r="C169" s="113" t="s">
        <v>3785</v>
      </c>
      <c r="D169" s="147" t="s">
        <v>3786</v>
      </c>
      <c r="E169" s="114" t="s">
        <v>3787</v>
      </c>
      <c r="F169" s="115" t="s">
        <v>1394</v>
      </c>
      <c r="G169" s="115" t="s">
        <v>936</v>
      </c>
      <c r="H169" s="116">
        <v>13.767633999999999</v>
      </c>
      <c r="I169" s="116">
        <v>100.597196</v>
      </c>
      <c r="J169" s="115" t="s">
        <v>2108</v>
      </c>
      <c r="K169" s="117" t="s">
        <v>2109</v>
      </c>
      <c r="L169" s="117" t="s">
        <v>2110</v>
      </c>
      <c r="M169" s="121" t="s">
        <v>972</v>
      </c>
      <c r="N169" s="121" t="s">
        <v>972</v>
      </c>
      <c r="O169" s="121" t="s">
        <v>901</v>
      </c>
      <c r="P169" s="117" t="s">
        <v>1876</v>
      </c>
      <c r="Q169" s="125" t="s">
        <v>972</v>
      </c>
      <c r="R169" s="125" t="s">
        <v>972</v>
      </c>
      <c r="S169" s="125" t="s">
        <v>972</v>
      </c>
      <c r="T169" s="222"/>
      <c r="U169" s="222"/>
      <c r="V169" s="222"/>
      <c r="W169" s="230"/>
      <c r="X169" s="331">
        <f t="shared" si="8"/>
        <v>0</v>
      </c>
      <c r="Y169" s="222"/>
      <c r="Z169" s="272">
        <f t="shared" si="6"/>
        <v>0</v>
      </c>
      <c r="AA169" s="331"/>
      <c r="AB169" s="331"/>
      <c r="AC169" s="331"/>
      <c r="AD169" s="331"/>
      <c r="AE169" s="331"/>
      <c r="AF169" s="331"/>
      <c r="AG169" s="331"/>
      <c r="AH169" s="241">
        <f t="shared" ca="1" si="7"/>
        <v>46153</v>
      </c>
      <c r="AI169" s="272"/>
      <c r="AJ169" s="222"/>
      <c r="AK169" s="222"/>
    </row>
    <row r="170" spans="1:37" ht="23.25" hidden="1" customHeight="1">
      <c r="A170" s="111">
        <v>787</v>
      </c>
      <c r="B170" s="112">
        <v>6</v>
      </c>
      <c r="C170" s="113" t="s">
        <v>4067</v>
      </c>
      <c r="D170" s="147" t="s">
        <v>4068</v>
      </c>
      <c r="E170" s="114" t="s">
        <v>4069</v>
      </c>
      <c r="F170" s="115" t="s">
        <v>1394</v>
      </c>
      <c r="G170" s="115" t="s">
        <v>4070</v>
      </c>
      <c r="H170" s="116">
        <v>13.669396600000001</v>
      </c>
      <c r="I170" s="116">
        <v>100.50508840000001</v>
      </c>
      <c r="J170" s="116" t="s">
        <v>2108</v>
      </c>
      <c r="K170" s="115" t="s">
        <v>2081</v>
      </c>
      <c r="L170" s="117" t="s">
        <v>4071</v>
      </c>
      <c r="M170" s="121" t="s">
        <v>972</v>
      </c>
      <c r="N170" s="121" t="s">
        <v>972</v>
      </c>
      <c r="O170" s="121" t="s">
        <v>4072</v>
      </c>
      <c r="P170" s="117" t="s">
        <v>894</v>
      </c>
      <c r="Q170" s="125" t="s">
        <v>972</v>
      </c>
      <c r="R170" s="125" t="s">
        <v>972</v>
      </c>
      <c r="S170" s="125" t="s">
        <v>972</v>
      </c>
      <c r="T170" s="222"/>
      <c r="U170" s="222"/>
      <c r="V170" s="222"/>
      <c r="W170" s="230"/>
      <c r="X170" s="331">
        <f t="shared" si="8"/>
        <v>0</v>
      </c>
      <c r="Y170" s="222"/>
      <c r="Z170" s="272">
        <f t="shared" si="6"/>
        <v>0</v>
      </c>
      <c r="AA170" s="331"/>
      <c r="AB170" s="331"/>
      <c r="AC170" s="331"/>
      <c r="AD170" s="331"/>
      <c r="AE170" s="331"/>
      <c r="AF170" s="331"/>
      <c r="AG170" s="331"/>
      <c r="AH170" s="241">
        <f t="shared" ca="1" si="7"/>
        <v>46153</v>
      </c>
      <c r="AI170" s="272"/>
      <c r="AJ170" s="222"/>
      <c r="AK170" s="222"/>
    </row>
    <row r="171" spans="1:37" ht="23" hidden="1">
      <c r="A171" s="111">
        <v>800</v>
      </c>
      <c r="B171" s="112">
        <v>11</v>
      </c>
      <c r="C171" s="113" t="s">
        <v>4096</v>
      </c>
      <c r="D171" s="147" t="s">
        <v>4097</v>
      </c>
      <c r="E171" s="114" t="s">
        <v>4098</v>
      </c>
      <c r="F171" s="115" t="s">
        <v>1394</v>
      </c>
      <c r="G171" s="115" t="s">
        <v>4070</v>
      </c>
      <c r="H171" s="116">
        <v>13.6549633</v>
      </c>
      <c r="I171" s="116">
        <v>100.4982667</v>
      </c>
      <c r="J171" s="116" t="s">
        <v>2108</v>
      </c>
      <c r="K171" s="115" t="s">
        <v>2081</v>
      </c>
      <c r="L171" s="117" t="s">
        <v>4099</v>
      </c>
      <c r="M171" s="121" t="s">
        <v>972</v>
      </c>
      <c r="N171" s="121" t="s">
        <v>972</v>
      </c>
      <c r="O171" s="121" t="s">
        <v>4072</v>
      </c>
      <c r="P171" s="117" t="s">
        <v>894</v>
      </c>
      <c r="Q171" s="125" t="s">
        <v>972</v>
      </c>
      <c r="R171" s="125" t="s">
        <v>972</v>
      </c>
      <c r="S171" s="125" t="s">
        <v>972</v>
      </c>
      <c r="T171" s="222"/>
      <c r="U171" s="222"/>
      <c r="V171" s="222"/>
      <c r="W171" s="230"/>
      <c r="X171" s="331">
        <f t="shared" si="8"/>
        <v>0</v>
      </c>
      <c r="Y171" s="222"/>
      <c r="Z171" s="272">
        <f t="shared" si="6"/>
        <v>0</v>
      </c>
      <c r="AA171" s="331"/>
      <c r="AB171" s="331"/>
      <c r="AC171" s="331"/>
      <c r="AD171" s="331"/>
      <c r="AE171" s="331"/>
      <c r="AF171" s="331"/>
      <c r="AG171" s="331"/>
      <c r="AH171" s="241">
        <f t="shared" ca="1" si="7"/>
        <v>46153</v>
      </c>
      <c r="AI171" s="272"/>
      <c r="AJ171" s="222"/>
      <c r="AK171" s="222"/>
    </row>
    <row r="172" spans="1:37" ht="23" hidden="1">
      <c r="A172" s="111">
        <v>830</v>
      </c>
      <c r="B172" s="112">
        <v>16</v>
      </c>
      <c r="C172" s="122" t="s">
        <v>4209</v>
      </c>
      <c r="D172" s="147" t="s">
        <v>4210</v>
      </c>
      <c r="E172" s="133" t="s">
        <v>4211</v>
      </c>
      <c r="F172" s="117" t="s">
        <v>1394</v>
      </c>
      <c r="G172" s="148" t="s">
        <v>936</v>
      </c>
      <c r="H172" s="117" t="s">
        <v>4212</v>
      </c>
      <c r="I172" s="117">
        <v>100.5873758</v>
      </c>
      <c r="J172" s="117" t="s">
        <v>890</v>
      </c>
      <c r="K172" s="121" t="s">
        <v>891</v>
      </c>
      <c r="L172" s="121" t="s">
        <v>891</v>
      </c>
      <c r="M172" s="117">
        <v>97022648</v>
      </c>
      <c r="N172" s="117" t="s">
        <v>892</v>
      </c>
      <c r="O172" s="117" t="s">
        <v>958</v>
      </c>
      <c r="P172" s="117" t="s">
        <v>894</v>
      </c>
      <c r="Q172" s="119"/>
      <c r="R172" s="119"/>
      <c r="S172" s="119" t="s">
        <v>895</v>
      </c>
      <c r="T172" s="222"/>
      <c r="U172" s="222"/>
      <c r="V172" s="222"/>
      <c r="W172" s="230"/>
      <c r="X172" s="331">
        <f t="shared" si="8"/>
        <v>0</v>
      </c>
      <c r="Y172" s="222"/>
      <c r="Z172" s="272">
        <f t="shared" si="6"/>
        <v>0</v>
      </c>
      <c r="AA172" s="331"/>
      <c r="AB172" s="331"/>
      <c r="AC172" s="331"/>
      <c r="AD172" s="331"/>
      <c r="AE172" s="331"/>
      <c r="AF172" s="331"/>
      <c r="AG172" s="331"/>
      <c r="AH172" s="241">
        <f t="shared" ca="1" si="7"/>
        <v>46153</v>
      </c>
      <c r="AI172" s="272"/>
      <c r="AJ172" s="222"/>
      <c r="AK172" s="222"/>
    </row>
    <row r="173" spans="1:37" ht="23" hidden="1">
      <c r="A173" s="111">
        <v>136</v>
      </c>
      <c r="B173" s="112">
        <v>6</v>
      </c>
      <c r="C173" s="113" t="s">
        <v>2456</v>
      </c>
      <c r="D173" s="147" t="s">
        <v>2457</v>
      </c>
      <c r="E173" s="114" t="s">
        <v>2458</v>
      </c>
      <c r="F173" s="115" t="s">
        <v>2459</v>
      </c>
      <c r="G173" s="115" t="s">
        <v>1000</v>
      </c>
      <c r="H173" s="116">
        <v>13.7933729</v>
      </c>
      <c r="I173" s="116">
        <v>100.53052769999999</v>
      </c>
      <c r="J173" s="115" t="s">
        <v>2108</v>
      </c>
      <c r="K173" s="117" t="s">
        <v>2136</v>
      </c>
      <c r="L173" s="117" t="s">
        <v>2460</v>
      </c>
      <c r="M173" s="121" t="s">
        <v>972</v>
      </c>
      <c r="N173" s="121" t="s">
        <v>972</v>
      </c>
      <c r="O173" s="121" t="s">
        <v>958</v>
      </c>
      <c r="P173" s="117" t="s">
        <v>1876</v>
      </c>
      <c r="Q173" s="125" t="s">
        <v>972</v>
      </c>
      <c r="R173" s="125" t="s">
        <v>972</v>
      </c>
      <c r="S173" s="125" t="s">
        <v>972</v>
      </c>
      <c r="T173" s="222"/>
      <c r="U173" s="222"/>
      <c r="V173" s="222"/>
      <c r="W173" s="230"/>
      <c r="X173" s="331">
        <f t="shared" si="8"/>
        <v>0</v>
      </c>
      <c r="Y173" s="222"/>
      <c r="Z173" s="272">
        <f t="shared" si="6"/>
        <v>0</v>
      </c>
      <c r="AA173" s="331"/>
      <c r="AB173" s="331"/>
      <c r="AC173" s="331"/>
      <c r="AD173" s="331"/>
      <c r="AE173" s="331"/>
      <c r="AF173" s="331"/>
      <c r="AG173" s="331"/>
      <c r="AH173" s="241">
        <f t="shared" ca="1" si="7"/>
        <v>46153</v>
      </c>
      <c r="AI173" s="272"/>
      <c r="AJ173" s="222"/>
      <c r="AK173" s="222"/>
    </row>
    <row r="174" spans="1:37" ht="23" hidden="1">
      <c r="A174" s="111">
        <v>628</v>
      </c>
      <c r="B174" s="112">
        <v>5</v>
      </c>
      <c r="C174" s="122" t="s">
        <v>4217</v>
      </c>
      <c r="D174" s="147" t="s">
        <v>4218</v>
      </c>
      <c r="E174" s="123" t="s">
        <v>4219</v>
      </c>
      <c r="F174" s="116" t="s">
        <v>2459</v>
      </c>
      <c r="G174" s="116" t="s">
        <v>983</v>
      </c>
      <c r="H174" s="116">
        <v>13.7910925</v>
      </c>
      <c r="I174" s="116">
        <v>100.5419603</v>
      </c>
      <c r="J174" s="116" t="s">
        <v>890</v>
      </c>
      <c r="K174" s="117" t="s">
        <v>891</v>
      </c>
      <c r="L174" s="117" t="s">
        <v>891</v>
      </c>
      <c r="M174" s="117">
        <v>96916206</v>
      </c>
      <c r="N174" s="120" t="s">
        <v>892</v>
      </c>
      <c r="O174" s="120" t="s">
        <v>958</v>
      </c>
      <c r="P174" s="117" t="s">
        <v>952</v>
      </c>
      <c r="Q174" s="125" t="s">
        <v>972</v>
      </c>
      <c r="R174" s="119"/>
      <c r="S174" s="119" t="s">
        <v>2830</v>
      </c>
      <c r="T174" s="222"/>
      <c r="U174" s="222"/>
      <c r="V174" s="222"/>
      <c r="W174" s="230"/>
      <c r="X174" s="331">
        <f t="shared" si="8"/>
        <v>0</v>
      </c>
      <c r="Y174" s="222"/>
      <c r="Z174" s="272">
        <f t="shared" si="6"/>
        <v>0</v>
      </c>
      <c r="AA174" s="331"/>
      <c r="AB174" s="331"/>
      <c r="AC174" s="331"/>
      <c r="AD174" s="331"/>
      <c r="AE174" s="331"/>
      <c r="AF174" s="331"/>
      <c r="AG174" s="331"/>
      <c r="AH174" s="241">
        <f t="shared" ca="1" si="7"/>
        <v>46153</v>
      </c>
      <c r="AI174" s="272"/>
      <c r="AJ174" s="222"/>
      <c r="AK174" s="222"/>
    </row>
    <row r="175" spans="1:37" ht="23" hidden="1">
      <c r="A175" s="111">
        <v>3</v>
      </c>
      <c r="B175" s="112">
        <v>13</v>
      </c>
      <c r="C175" s="113" t="s">
        <v>896</v>
      </c>
      <c r="D175" s="147" t="s">
        <v>897</v>
      </c>
      <c r="E175" s="114" t="s">
        <v>898</v>
      </c>
      <c r="F175" s="115" t="s">
        <v>899</v>
      </c>
      <c r="G175" s="115" t="s">
        <v>900</v>
      </c>
      <c r="H175" s="116">
        <v>13.804054000000001</v>
      </c>
      <c r="I175" s="116">
        <v>100.616456</v>
      </c>
      <c r="J175" s="116" t="s">
        <v>890</v>
      </c>
      <c r="K175" s="117" t="s">
        <v>891</v>
      </c>
      <c r="L175" s="117" t="s">
        <v>891</v>
      </c>
      <c r="M175" s="117">
        <v>96896182</v>
      </c>
      <c r="N175" s="120" t="s">
        <v>892</v>
      </c>
      <c r="O175" s="120" t="s">
        <v>901</v>
      </c>
      <c r="P175" s="117" t="s">
        <v>902</v>
      </c>
      <c r="Q175" s="118">
        <v>80057501</v>
      </c>
      <c r="R175" s="119" t="s">
        <v>895</v>
      </c>
      <c r="S175" s="119" t="s">
        <v>895</v>
      </c>
      <c r="T175" s="222"/>
      <c r="U175" s="222"/>
      <c r="V175" s="222"/>
      <c r="W175" s="230"/>
      <c r="X175" s="331">
        <f t="shared" si="8"/>
        <v>0</v>
      </c>
      <c r="Y175" s="222"/>
      <c r="Z175" s="272">
        <f t="shared" si="6"/>
        <v>0</v>
      </c>
      <c r="AA175" s="331"/>
      <c r="AB175" s="331"/>
      <c r="AC175" s="331"/>
      <c r="AD175" s="331"/>
      <c r="AE175" s="331"/>
      <c r="AF175" s="331"/>
      <c r="AG175" s="331"/>
      <c r="AH175" s="241">
        <f t="shared" ca="1" si="7"/>
        <v>46153</v>
      </c>
      <c r="AI175" s="272"/>
      <c r="AJ175" s="222"/>
      <c r="AK175" s="222"/>
    </row>
    <row r="176" spans="1:37" ht="23" hidden="1">
      <c r="A176" s="111">
        <v>4</v>
      </c>
      <c r="B176" s="112">
        <v>6</v>
      </c>
      <c r="C176" s="113" t="s">
        <v>903</v>
      </c>
      <c r="D176" s="147" t="s">
        <v>904</v>
      </c>
      <c r="E176" s="114" t="s">
        <v>905</v>
      </c>
      <c r="F176" s="115" t="s">
        <v>899</v>
      </c>
      <c r="G176" s="115" t="s">
        <v>900</v>
      </c>
      <c r="H176" s="116">
        <v>13.810855999999999</v>
      </c>
      <c r="I176" s="116">
        <v>100.619676</v>
      </c>
      <c r="J176" s="116" t="s">
        <v>890</v>
      </c>
      <c r="K176" s="117" t="s">
        <v>891</v>
      </c>
      <c r="L176" s="117" t="s">
        <v>891</v>
      </c>
      <c r="M176" s="117">
        <v>96896188</v>
      </c>
      <c r="N176" s="120" t="s">
        <v>892</v>
      </c>
      <c r="O176" s="120" t="s">
        <v>906</v>
      </c>
      <c r="P176" s="117" t="s">
        <v>902</v>
      </c>
      <c r="Q176" s="118">
        <v>80057501</v>
      </c>
      <c r="R176" s="119" t="s">
        <v>895</v>
      </c>
      <c r="S176" s="119" t="s">
        <v>895</v>
      </c>
      <c r="T176" s="222"/>
      <c r="U176" s="222"/>
      <c r="V176" s="222"/>
      <c r="W176" s="230"/>
      <c r="X176" s="331">
        <f t="shared" si="8"/>
        <v>0</v>
      </c>
      <c r="Y176" s="222"/>
      <c r="Z176" s="272">
        <f t="shared" si="6"/>
        <v>0</v>
      </c>
      <c r="AA176" s="331"/>
      <c r="AB176" s="331"/>
      <c r="AC176" s="331"/>
      <c r="AD176" s="331"/>
      <c r="AE176" s="331"/>
      <c r="AF176" s="331"/>
      <c r="AG176" s="331"/>
      <c r="AH176" s="241">
        <f t="shared" ca="1" si="7"/>
        <v>46153</v>
      </c>
      <c r="AI176" s="272"/>
      <c r="AJ176" s="222"/>
      <c r="AK176" s="222"/>
    </row>
    <row r="177" spans="1:37" ht="23" hidden="1">
      <c r="A177" s="111">
        <v>10</v>
      </c>
      <c r="B177" s="112">
        <v>16</v>
      </c>
      <c r="C177" s="113" t="s">
        <v>907</v>
      </c>
      <c r="D177" s="147" t="s">
        <v>908</v>
      </c>
      <c r="E177" s="114" t="s">
        <v>909</v>
      </c>
      <c r="F177" s="115" t="s">
        <v>899</v>
      </c>
      <c r="G177" s="115" t="s">
        <v>900</v>
      </c>
      <c r="H177" s="116">
        <v>13.835537199999999</v>
      </c>
      <c r="I177" s="116">
        <v>100.6317167</v>
      </c>
      <c r="J177" s="116" t="s">
        <v>890</v>
      </c>
      <c r="K177" s="117" t="s">
        <v>891</v>
      </c>
      <c r="L177" s="117" t="s">
        <v>891</v>
      </c>
      <c r="M177" s="117">
        <v>96896212</v>
      </c>
      <c r="N177" s="120" t="s">
        <v>892</v>
      </c>
      <c r="O177" s="120" t="s">
        <v>906</v>
      </c>
      <c r="P177" s="117" t="s">
        <v>902</v>
      </c>
      <c r="Q177" s="118">
        <v>80057501</v>
      </c>
      <c r="R177" s="119" t="s">
        <v>895</v>
      </c>
      <c r="S177" s="119" t="s">
        <v>895</v>
      </c>
      <c r="T177" s="222"/>
      <c r="U177" s="222"/>
      <c r="V177" s="222"/>
      <c r="W177" s="230"/>
      <c r="X177" s="331">
        <f t="shared" si="8"/>
        <v>0</v>
      </c>
      <c r="Y177" s="222"/>
      <c r="Z177" s="272">
        <f t="shared" si="6"/>
        <v>0</v>
      </c>
      <c r="AA177" s="331"/>
      <c r="AB177" s="331"/>
      <c r="AC177" s="331"/>
      <c r="AD177" s="331"/>
      <c r="AE177" s="331"/>
      <c r="AF177" s="331"/>
      <c r="AG177" s="331"/>
      <c r="AH177" s="241">
        <f t="shared" ca="1" si="7"/>
        <v>46153</v>
      </c>
      <c r="AI177" s="272"/>
      <c r="AJ177" s="222"/>
      <c r="AK177" s="222"/>
    </row>
    <row r="178" spans="1:37" ht="23" hidden="1">
      <c r="A178" s="111">
        <v>17</v>
      </c>
      <c r="B178" s="112">
        <v>4</v>
      </c>
      <c r="C178" s="113" t="s">
        <v>923</v>
      </c>
      <c r="D178" s="147" t="s">
        <v>924</v>
      </c>
      <c r="E178" s="114" t="s">
        <v>925</v>
      </c>
      <c r="F178" s="115" t="s">
        <v>899</v>
      </c>
      <c r="G178" s="115" t="s">
        <v>900</v>
      </c>
      <c r="H178" s="115">
        <v>13.819578</v>
      </c>
      <c r="I178" s="115">
        <v>100.624863</v>
      </c>
      <c r="J178" s="116" t="s">
        <v>890</v>
      </c>
      <c r="K178" s="117" t="s">
        <v>891</v>
      </c>
      <c r="L178" s="117" t="s">
        <v>891</v>
      </c>
      <c r="M178" s="117">
        <v>96894803</v>
      </c>
      <c r="N178" s="120" t="s">
        <v>892</v>
      </c>
      <c r="O178" s="120" t="s">
        <v>906</v>
      </c>
      <c r="P178" s="117" t="s">
        <v>902</v>
      </c>
      <c r="Q178" s="118">
        <v>80057501</v>
      </c>
      <c r="R178" s="119" t="s">
        <v>895</v>
      </c>
      <c r="S178" s="119" t="s">
        <v>895</v>
      </c>
      <c r="T178" s="222"/>
      <c r="U178" s="222"/>
      <c r="V178" s="222"/>
      <c r="W178" s="230"/>
      <c r="X178" s="331">
        <f t="shared" si="8"/>
        <v>0</v>
      </c>
      <c r="Y178" s="222"/>
      <c r="Z178" s="272">
        <f t="shared" si="6"/>
        <v>0</v>
      </c>
      <c r="AA178" s="331"/>
      <c r="AB178" s="331"/>
      <c r="AC178" s="331"/>
      <c r="AD178" s="331"/>
      <c r="AE178" s="331"/>
      <c r="AF178" s="331"/>
      <c r="AG178" s="331"/>
      <c r="AH178" s="241">
        <f t="shared" ca="1" si="7"/>
        <v>46153</v>
      </c>
      <c r="AI178" s="272"/>
      <c r="AJ178" s="222"/>
      <c r="AK178" s="222"/>
    </row>
    <row r="179" spans="1:37" ht="23" hidden="1">
      <c r="A179" s="111">
        <v>18</v>
      </c>
      <c r="B179" s="112">
        <v>15</v>
      </c>
      <c r="C179" s="113" t="s">
        <v>926</v>
      </c>
      <c r="D179" s="147" t="s">
        <v>927</v>
      </c>
      <c r="E179" s="114" t="s">
        <v>928</v>
      </c>
      <c r="F179" s="115" t="s">
        <v>899</v>
      </c>
      <c r="G179" s="115" t="s">
        <v>929</v>
      </c>
      <c r="H179" s="116">
        <v>13.768941999999999</v>
      </c>
      <c r="I179" s="116">
        <v>100.603971</v>
      </c>
      <c r="J179" s="116" t="s">
        <v>890</v>
      </c>
      <c r="K179" s="117" t="s">
        <v>891</v>
      </c>
      <c r="L179" s="117" t="s">
        <v>891</v>
      </c>
      <c r="M179" s="117">
        <v>96896254</v>
      </c>
      <c r="N179" s="120" t="s">
        <v>892</v>
      </c>
      <c r="O179" s="120" t="s">
        <v>901</v>
      </c>
      <c r="P179" s="117" t="s">
        <v>902</v>
      </c>
      <c r="Q179" s="118">
        <v>80057501</v>
      </c>
      <c r="R179" s="119" t="s">
        <v>895</v>
      </c>
      <c r="S179" s="119" t="s">
        <v>895</v>
      </c>
      <c r="T179" s="222"/>
      <c r="U179" s="222"/>
      <c r="V179" s="222"/>
      <c r="W179" s="230"/>
      <c r="X179" s="331">
        <f t="shared" si="8"/>
        <v>0</v>
      </c>
      <c r="Y179" s="222"/>
      <c r="Z179" s="272">
        <f t="shared" si="6"/>
        <v>0</v>
      </c>
      <c r="AA179" s="331"/>
      <c r="AB179" s="331"/>
      <c r="AC179" s="331"/>
      <c r="AD179" s="331"/>
      <c r="AE179" s="331"/>
      <c r="AF179" s="331"/>
      <c r="AG179" s="331"/>
      <c r="AH179" s="241">
        <f t="shared" ca="1" si="7"/>
        <v>46153</v>
      </c>
      <c r="AI179" s="272"/>
      <c r="AJ179" s="222"/>
      <c r="AK179" s="222"/>
    </row>
    <row r="180" spans="1:37" ht="23" hidden="1">
      <c r="A180" s="111">
        <v>22</v>
      </c>
      <c r="B180" s="112">
        <v>9</v>
      </c>
      <c r="C180" s="122" t="s">
        <v>930</v>
      </c>
      <c r="D180" s="147" t="s">
        <v>931</v>
      </c>
      <c r="E180" s="123" t="s">
        <v>932</v>
      </c>
      <c r="F180" s="115" t="s">
        <v>899</v>
      </c>
      <c r="G180" s="115" t="s">
        <v>900</v>
      </c>
      <c r="H180" s="116">
        <v>13.801444</v>
      </c>
      <c r="I180" s="116">
        <v>100.6152745</v>
      </c>
      <c r="J180" s="116" t="s">
        <v>890</v>
      </c>
      <c r="K180" s="117" t="s">
        <v>891</v>
      </c>
      <c r="L180" s="117" t="s">
        <v>891</v>
      </c>
      <c r="M180" s="117">
        <v>96896258</v>
      </c>
      <c r="N180" s="120" t="s">
        <v>892</v>
      </c>
      <c r="O180" s="120" t="s">
        <v>901</v>
      </c>
      <c r="P180" s="117" t="s">
        <v>902</v>
      </c>
      <c r="Q180" s="118">
        <v>80057501</v>
      </c>
      <c r="R180" s="119" t="s">
        <v>895</v>
      </c>
      <c r="S180" s="119" t="s">
        <v>895</v>
      </c>
      <c r="T180" s="222"/>
      <c r="U180" s="222"/>
      <c r="V180" s="222"/>
      <c r="W180" s="230"/>
      <c r="X180" s="331">
        <f t="shared" si="8"/>
        <v>0</v>
      </c>
      <c r="Y180" s="222"/>
      <c r="Z180" s="272">
        <f t="shared" si="6"/>
        <v>0</v>
      </c>
      <c r="AA180" s="331"/>
      <c r="AB180" s="331"/>
      <c r="AC180" s="331"/>
      <c r="AD180" s="331"/>
      <c r="AE180" s="331"/>
      <c r="AF180" s="331"/>
      <c r="AG180" s="331"/>
      <c r="AH180" s="241">
        <f t="shared" ca="1" si="7"/>
        <v>46153</v>
      </c>
      <c r="AI180" s="272"/>
      <c r="AJ180" s="222"/>
      <c r="AK180" s="222"/>
    </row>
    <row r="181" spans="1:37" ht="23" hidden="1">
      <c r="A181" s="111">
        <v>23</v>
      </c>
      <c r="B181" s="112">
        <v>6</v>
      </c>
      <c r="C181" s="113" t="s">
        <v>933</v>
      </c>
      <c r="D181" s="147" t="s">
        <v>934</v>
      </c>
      <c r="E181" s="114" t="s">
        <v>935</v>
      </c>
      <c r="F181" s="115" t="s">
        <v>899</v>
      </c>
      <c r="G181" s="115" t="s">
        <v>936</v>
      </c>
      <c r="H181" s="116">
        <v>13.7558855</v>
      </c>
      <c r="I181" s="116">
        <v>100.59551810000001</v>
      </c>
      <c r="J181" s="116" t="s">
        <v>890</v>
      </c>
      <c r="K181" s="117" t="s">
        <v>891</v>
      </c>
      <c r="L181" s="117" t="s">
        <v>891</v>
      </c>
      <c r="M181" s="117">
        <v>96890913</v>
      </c>
      <c r="N181" s="120" t="s">
        <v>892</v>
      </c>
      <c r="O181" s="121" t="s">
        <v>901</v>
      </c>
      <c r="P181" s="117" t="s">
        <v>902</v>
      </c>
      <c r="Q181" s="118">
        <v>80057501</v>
      </c>
      <c r="R181" s="119" t="s">
        <v>895</v>
      </c>
      <c r="S181" s="119" t="s">
        <v>895</v>
      </c>
      <c r="T181" s="222"/>
      <c r="U181" s="222"/>
      <c r="V181" s="222"/>
      <c r="W181" s="230"/>
      <c r="X181" s="331">
        <f t="shared" si="8"/>
        <v>0</v>
      </c>
      <c r="Y181" s="222"/>
      <c r="Z181" s="272">
        <f t="shared" si="6"/>
        <v>0</v>
      </c>
      <c r="AA181" s="331"/>
      <c r="AB181" s="331"/>
      <c r="AC181" s="331"/>
      <c r="AD181" s="331"/>
      <c r="AE181" s="331"/>
      <c r="AF181" s="331"/>
      <c r="AG181" s="331"/>
      <c r="AH181" s="241">
        <f t="shared" ca="1" si="7"/>
        <v>46153</v>
      </c>
      <c r="AI181" s="272"/>
      <c r="AJ181" s="222"/>
      <c r="AK181" s="222"/>
    </row>
    <row r="182" spans="1:37" ht="23" hidden="1">
      <c r="A182" s="111">
        <v>146</v>
      </c>
      <c r="B182" s="112" t="s">
        <v>979</v>
      </c>
      <c r="C182" s="113" t="s">
        <v>1065</v>
      </c>
      <c r="D182" s="147" t="s">
        <v>1066</v>
      </c>
      <c r="E182" s="114" t="s">
        <v>1067</v>
      </c>
      <c r="F182" s="115" t="s">
        <v>899</v>
      </c>
      <c r="G182" s="115" t="s">
        <v>929</v>
      </c>
      <c r="H182" s="115">
        <v>13.764236500000001</v>
      </c>
      <c r="I182" s="115">
        <v>100.5995404</v>
      </c>
      <c r="J182" s="116" t="s">
        <v>890</v>
      </c>
      <c r="K182" s="117" t="s">
        <v>891</v>
      </c>
      <c r="L182" s="117" t="s">
        <v>891</v>
      </c>
      <c r="M182" s="117">
        <v>96895452</v>
      </c>
      <c r="N182" s="120" t="s">
        <v>892</v>
      </c>
      <c r="O182" s="120" t="s">
        <v>901</v>
      </c>
      <c r="P182" s="117" t="s">
        <v>902</v>
      </c>
      <c r="Q182" s="118">
        <v>80057501</v>
      </c>
      <c r="R182" s="119" t="s">
        <v>895</v>
      </c>
      <c r="S182" s="119" t="s">
        <v>895</v>
      </c>
      <c r="T182" s="222"/>
      <c r="U182" s="222"/>
      <c r="V182" s="222"/>
      <c r="W182" s="230"/>
      <c r="X182" s="331">
        <f t="shared" si="8"/>
        <v>0</v>
      </c>
      <c r="Y182" s="222"/>
      <c r="Z182" s="272">
        <f t="shared" si="6"/>
        <v>0</v>
      </c>
      <c r="AA182" s="331"/>
      <c r="AB182" s="331"/>
      <c r="AC182" s="331"/>
      <c r="AD182" s="331"/>
      <c r="AE182" s="331"/>
      <c r="AF182" s="331"/>
      <c r="AG182" s="331"/>
      <c r="AH182" s="241">
        <f t="shared" ca="1" si="7"/>
        <v>46153</v>
      </c>
      <c r="AI182" s="272"/>
      <c r="AJ182" s="222"/>
      <c r="AK182" s="222"/>
    </row>
    <row r="183" spans="1:37" ht="23" hidden="1">
      <c r="A183" s="111">
        <v>167</v>
      </c>
      <c r="B183" s="112" t="s">
        <v>1098</v>
      </c>
      <c r="C183" s="113" t="s">
        <v>1099</v>
      </c>
      <c r="D183" s="147" t="s">
        <v>1100</v>
      </c>
      <c r="E183" s="114" t="s">
        <v>1101</v>
      </c>
      <c r="F183" s="115" t="s">
        <v>899</v>
      </c>
      <c r="G183" s="115" t="s">
        <v>901</v>
      </c>
      <c r="H183" s="116">
        <v>13.807612000000001</v>
      </c>
      <c r="I183" s="116">
        <v>100.618516</v>
      </c>
      <c r="J183" s="116" t="s">
        <v>890</v>
      </c>
      <c r="K183" s="117" t="s">
        <v>891</v>
      </c>
      <c r="L183" s="117" t="s">
        <v>891</v>
      </c>
      <c r="M183" s="117">
        <v>96895453</v>
      </c>
      <c r="N183" s="120" t="s">
        <v>892</v>
      </c>
      <c r="O183" s="120" t="s">
        <v>906</v>
      </c>
      <c r="P183" s="117" t="s">
        <v>902</v>
      </c>
      <c r="Q183" s="118">
        <v>80057501</v>
      </c>
      <c r="R183" s="119" t="s">
        <v>895</v>
      </c>
      <c r="S183" s="119" t="s">
        <v>895</v>
      </c>
      <c r="T183" s="222"/>
      <c r="U183" s="222"/>
      <c r="V183" s="222"/>
      <c r="W183" s="230"/>
      <c r="X183" s="331">
        <f t="shared" si="8"/>
        <v>0</v>
      </c>
      <c r="Y183" s="222"/>
      <c r="Z183" s="272">
        <f t="shared" si="6"/>
        <v>0</v>
      </c>
      <c r="AA183" s="331"/>
      <c r="AB183" s="331"/>
      <c r="AC183" s="331"/>
      <c r="AD183" s="331"/>
      <c r="AE183" s="331"/>
      <c r="AF183" s="331"/>
      <c r="AG183" s="331"/>
      <c r="AH183" s="241">
        <f t="shared" ca="1" si="7"/>
        <v>46153</v>
      </c>
      <c r="AI183" s="272"/>
      <c r="AJ183" s="222"/>
      <c r="AK183" s="222"/>
    </row>
    <row r="184" spans="1:37" ht="23" hidden="1">
      <c r="A184" s="111">
        <v>293</v>
      </c>
      <c r="B184" s="112">
        <v>15</v>
      </c>
      <c r="C184" s="113" t="s">
        <v>1214</v>
      </c>
      <c r="D184" s="147" t="s">
        <v>1215</v>
      </c>
      <c r="E184" s="114" t="s">
        <v>1216</v>
      </c>
      <c r="F184" s="115" t="s">
        <v>899</v>
      </c>
      <c r="G184" s="115" t="s">
        <v>1217</v>
      </c>
      <c r="H184" s="116">
        <v>13.839506999999999</v>
      </c>
      <c r="I184" s="116">
        <v>100.634655</v>
      </c>
      <c r="J184" s="116" t="s">
        <v>890</v>
      </c>
      <c r="K184" s="117" t="s">
        <v>891</v>
      </c>
      <c r="L184" s="117" t="s">
        <v>891</v>
      </c>
      <c r="M184" s="117">
        <v>96895730</v>
      </c>
      <c r="N184" s="120" t="s">
        <v>892</v>
      </c>
      <c r="O184" s="120" t="s">
        <v>906</v>
      </c>
      <c r="P184" s="117" t="s">
        <v>902</v>
      </c>
      <c r="Q184" s="118">
        <v>80057501</v>
      </c>
      <c r="R184" s="119" t="s">
        <v>895</v>
      </c>
      <c r="S184" s="119" t="s">
        <v>895</v>
      </c>
      <c r="T184" s="222"/>
      <c r="U184" s="222"/>
      <c r="V184" s="222"/>
      <c r="W184" s="230"/>
      <c r="X184" s="331">
        <f t="shared" si="8"/>
        <v>0</v>
      </c>
      <c r="Y184" s="222"/>
      <c r="Z184" s="272">
        <f t="shared" si="6"/>
        <v>0</v>
      </c>
      <c r="AA184" s="331"/>
      <c r="AB184" s="331"/>
      <c r="AC184" s="331"/>
      <c r="AD184" s="331"/>
      <c r="AE184" s="331"/>
      <c r="AF184" s="331"/>
      <c r="AG184" s="331"/>
      <c r="AH184" s="241">
        <f t="shared" ca="1" si="7"/>
        <v>46153</v>
      </c>
      <c r="AI184" s="272"/>
      <c r="AJ184" s="222"/>
      <c r="AK184" s="222"/>
    </row>
    <row r="185" spans="1:37" ht="23" hidden="1">
      <c r="A185" s="111">
        <v>395</v>
      </c>
      <c r="B185" s="112" t="s">
        <v>1098</v>
      </c>
      <c r="C185" s="113" t="s">
        <v>1342</v>
      </c>
      <c r="D185" s="147" t="s">
        <v>1343</v>
      </c>
      <c r="E185" s="133" t="s">
        <v>1344</v>
      </c>
      <c r="F185" s="115" t="s">
        <v>899</v>
      </c>
      <c r="G185" s="134" t="s">
        <v>901</v>
      </c>
      <c r="H185" s="117" t="s">
        <v>1345</v>
      </c>
      <c r="I185" s="117">
        <v>100.617977</v>
      </c>
      <c r="J185" s="116" t="s">
        <v>969</v>
      </c>
      <c r="K185" s="121" t="s">
        <v>970</v>
      </c>
      <c r="L185" s="121" t="s">
        <v>1346</v>
      </c>
      <c r="M185" s="117">
        <v>96895453</v>
      </c>
      <c r="N185" s="117" t="s">
        <v>1347</v>
      </c>
      <c r="O185" s="117" t="s">
        <v>906</v>
      </c>
      <c r="P185" s="117"/>
      <c r="Q185" s="119"/>
      <c r="R185" s="119"/>
      <c r="S185" s="119"/>
      <c r="T185" s="222"/>
      <c r="U185" s="222"/>
      <c r="V185" s="222"/>
      <c r="W185" s="230"/>
      <c r="X185" s="331">
        <f t="shared" si="8"/>
        <v>0</v>
      </c>
      <c r="Y185" s="222"/>
      <c r="Z185" s="272">
        <f t="shared" si="6"/>
        <v>0</v>
      </c>
      <c r="AA185" s="331"/>
      <c r="AB185" s="331"/>
      <c r="AC185" s="331"/>
      <c r="AD185" s="331"/>
      <c r="AE185" s="331"/>
      <c r="AF185" s="331"/>
      <c r="AG185" s="331"/>
      <c r="AH185" s="241">
        <f t="shared" ca="1" si="7"/>
        <v>46153</v>
      </c>
      <c r="AI185" s="272"/>
      <c r="AJ185" s="222"/>
      <c r="AK185" s="222"/>
    </row>
    <row r="186" spans="1:37" ht="23" hidden="1">
      <c r="A186" s="111">
        <v>605</v>
      </c>
      <c r="B186" s="112">
        <v>14</v>
      </c>
      <c r="C186" s="113" t="s">
        <v>1563</v>
      </c>
      <c r="D186" s="147" t="s">
        <v>1564</v>
      </c>
      <c r="E186" s="114" t="s">
        <v>1565</v>
      </c>
      <c r="F186" s="115" t="s">
        <v>899</v>
      </c>
      <c r="G186" s="115" t="s">
        <v>929</v>
      </c>
      <c r="H186" s="116">
        <v>13.765345</v>
      </c>
      <c r="I186" s="116">
        <v>100.60044000000001</v>
      </c>
      <c r="J186" s="116" t="s">
        <v>890</v>
      </c>
      <c r="K186" s="117" t="s">
        <v>891</v>
      </c>
      <c r="L186" s="117" t="s">
        <v>891</v>
      </c>
      <c r="M186" s="117">
        <v>96896746</v>
      </c>
      <c r="N186" s="120" t="s">
        <v>892</v>
      </c>
      <c r="O186" s="121" t="s">
        <v>901</v>
      </c>
      <c r="P186" s="117" t="s">
        <v>902</v>
      </c>
      <c r="Q186" s="118">
        <v>80057501</v>
      </c>
      <c r="R186" s="119" t="s">
        <v>895</v>
      </c>
      <c r="S186" s="119" t="s">
        <v>895</v>
      </c>
      <c r="T186" s="312" t="s">
        <v>5212</v>
      </c>
      <c r="U186" s="312" t="s">
        <v>5205</v>
      </c>
      <c r="V186" s="329">
        <v>45007</v>
      </c>
      <c r="W186" s="326">
        <v>4</v>
      </c>
      <c r="X186" s="331">
        <f t="shared" si="8"/>
        <v>45011</v>
      </c>
      <c r="Y186" s="329">
        <v>45009</v>
      </c>
      <c r="Z186" s="332" t="e">
        <f t="shared" si="6"/>
        <v>#NUM!</v>
      </c>
      <c r="AA186" s="331"/>
      <c r="AB186" s="331"/>
      <c r="AC186" s="331"/>
      <c r="AD186" s="331"/>
      <c r="AE186" s="331"/>
      <c r="AF186" s="331"/>
      <c r="AG186" s="331"/>
      <c r="AH186" s="329">
        <f t="shared" ca="1" si="7"/>
        <v>46153</v>
      </c>
      <c r="AI186" s="330"/>
      <c r="AJ186" s="312" t="s">
        <v>5143</v>
      </c>
      <c r="AK186" s="312" t="s">
        <v>5149</v>
      </c>
    </row>
    <row r="187" spans="1:37" ht="23" hidden="1">
      <c r="A187" s="111">
        <v>732</v>
      </c>
      <c r="B187" s="112">
        <v>7</v>
      </c>
      <c r="C187" s="113" t="s">
        <v>1685</v>
      </c>
      <c r="D187" s="147" t="s">
        <v>1686</v>
      </c>
      <c r="E187" s="114" t="s">
        <v>1687</v>
      </c>
      <c r="F187" s="115" t="s">
        <v>899</v>
      </c>
      <c r="G187" s="115" t="s">
        <v>936</v>
      </c>
      <c r="H187" s="116">
        <v>13.756931</v>
      </c>
      <c r="I187" s="116">
        <v>100.596029</v>
      </c>
      <c r="J187" s="116" t="s">
        <v>890</v>
      </c>
      <c r="K187" s="117" t="s">
        <v>891</v>
      </c>
      <c r="L187" s="117" t="s">
        <v>891</v>
      </c>
      <c r="M187" s="117">
        <v>96890830</v>
      </c>
      <c r="N187" s="120" t="s">
        <v>892</v>
      </c>
      <c r="O187" s="120" t="s">
        <v>901</v>
      </c>
      <c r="P187" s="117" t="s">
        <v>902</v>
      </c>
      <c r="Q187" s="118">
        <v>80057501</v>
      </c>
      <c r="R187" s="119" t="s">
        <v>895</v>
      </c>
      <c r="S187" s="119" t="s">
        <v>895</v>
      </c>
      <c r="T187" s="222"/>
      <c r="U187" s="222"/>
      <c r="V187" s="222"/>
      <c r="W187" s="230"/>
      <c r="X187" s="331">
        <f t="shared" si="8"/>
        <v>0</v>
      </c>
      <c r="Y187" s="222"/>
      <c r="Z187" s="272">
        <f t="shared" si="6"/>
        <v>0</v>
      </c>
      <c r="AA187" s="331"/>
      <c r="AB187" s="331"/>
      <c r="AC187" s="331"/>
      <c r="AD187" s="331"/>
      <c r="AE187" s="331"/>
      <c r="AF187" s="331"/>
      <c r="AG187" s="331"/>
      <c r="AH187" s="241">
        <f t="shared" ca="1" si="7"/>
        <v>46153</v>
      </c>
      <c r="AI187" s="272"/>
      <c r="AJ187" s="222"/>
      <c r="AK187" s="222"/>
    </row>
    <row r="188" spans="1:37" ht="27" hidden="1">
      <c r="A188" s="111">
        <v>735</v>
      </c>
      <c r="B188" s="112" t="s">
        <v>1098</v>
      </c>
      <c r="C188" s="113" t="s">
        <v>1688</v>
      </c>
      <c r="D188" s="147" t="s">
        <v>1689</v>
      </c>
      <c r="E188" s="133" t="s">
        <v>1690</v>
      </c>
      <c r="F188" s="115" t="s">
        <v>899</v>
      </c>
      <c r="G188" s="134" t="s">
        <v>901</v>
      </c>
      <c r="H188" s="137" t="s">
        <v>1691</v>
      </c>
      <c r="I188" s="117">
        <v>100.61724599999999</v>
      </c>
      <c r="J188" s="116" t="s">
        <v>969</v>
      </c>
      <c r="K188" s="121" t="s">
        <v>970</v>
      </c>
      <c r="L188" s="121" t="s">
        <v>1692</v>
      </c>
      <c r="M188" s="117">
        <v>96895453</v>
      </c>
      <c r="N188" s="117" t="s">
        <v>1347</v>
      </c>
      <c r="O188" s="117" t="s">
        <v>906</v>
      </c>
      <c r="P188" s="117"/>
      <c r="Q188" s="119"/>
      <c r="R188" s="119"/>
      <c r="S188" s="119"/>
      <c r="T188" s="222"/>
      <c r="U188" s="222"/>
      <c r="V188" s="222"/>
      <c r="W188" s="230"/>
      <c r="X188" s="331">
        <f t="shared" si="8"/>
        <v>0</v>
      </c>
      <c r="Y188" s="222"/>
      <c r="Z188" s="272">
        <f t="shared" si="6"/>
        <v>0</v>
      </c>
      <c r="AA188" s="331"/>
      <c r="AB188" s="331"/>
      <c r="AC188" s="331"/>
      <c r="AD188" s="331"/>
      <c r="AE188" s="331"/>
      <c r="AF188" s="331"/>
      <c r="AG188" s="331"/>
      <c r="AH188" s="241">
        <f t="shared" ca="1" si="7"/>
        <v>46153</v>
      </c>
      <c r="AI188" s="272"/>
      <c r="AJ188" s="222"/>
      <c r="AK188" s="222"/>
    </row>
    <row r="189" spans="1:37" ht="23" hidden="1">
      <c r="A189" s="111">
        <v>791</v>
      </c>
      <c r="B189" s="112" t="s">
        <v>1086</v>
      </c>
      <c r="C189" s="113" t="s">
        <v>1755</v>
      </c>
      <c r="D189" s="147" t="s">
        <v>1756</v>
      </c>
      <c r="E189" s="114" t="s">
        <v>1757</v>
      </c>
      <c r="F189" s="115" t="s">
        <v>899</v>
      </c>
      <c r="G189" s="115" t="s">
        <v>936</v>
      </c>
      <c r="H189" s="116">
        <v>13.750198299999999</v>
      </c>
      <c r="I189" s="116">
        <v>100.5930255</v>
      </c>
      <c r="J189" s="116" t="s">
        <v>890</v>
      </c>
      <c r="K189" s="117" t="s">
        <v>891</v>
      </c>
      <c r="L189" s="117" t="s">
        <v>891</v>
      </c>
      <c r="M189" s="117">
        <v>96894783</v>
      </c>
      <c r="N189" s="120" t="s">
        <v>892</v>
      </c>
      <c r="O189" s="120" t="s">
        <v>901</v>
      </c>
      <c r="P189" s="117" t="s">
        <v>902</v>
      </c>
      <c r="Q189" s="118">
        <v>80057501</v>
      </c>
      <c r="R189" s="119" t="s">
        <v>895</v>
      </c>
      <c r="S189" s="119" t="s">
        <v>895</v>
      </c>
      <c r="T189" s="222"/>
      <c r="U189" s="222"/>
      <c r="V189" s="222"/>
      <c r="W189" s="230"/>
      <c r="X189" s="331">
        <f t="shared" si="8"/>
        <v>0</v>
      </c>
      <c r="Y189" s="222"/>
      <c r="Z189" s="272">
        <f t="shared" si="6"/>
        <v>0</v>
      </c>
      <c r="AA189" s="331"/>
      <c r="AB189" s="331"/>
      <c r="AC189" s="331"/>
      <c r="AD189" s="331"/>
      <c r="AE189" s="331"/>
      <c r="AF189" s="331"/>
      <c r="AG189" s="331"/>
      <c r="AH189" s="241">
        <f t="shared" ca="1" si="7"/>
        <v>46153</v>
      </c>
      <c r="AI189" s="272"/>
      <c r="AJ189" s="222"/>
      <c r="AK189" s="222"/>
    </row>
    <row r="190" spans="1:37" ht="27" hidden="1">
      <c r="A190" s="111">
        <v>795</v>
      </c>
      <c r="B190" s="112" t="s">
        <v>1098</v>
      </c>
      <c r="C190" s="113" t="s">
        <v>1761</v>
      </c>
      <c r="D190" s="147" t="s">
        <v>1762</v>
      </c>
      <c r="E190" s="133" t="s">
        <v>1763</v>
      </c>
      <c r="F190" s="115" t="s">
        <v>899</v>
      </c>
      <c r="G190" s="134" t="s">
        <v>901</v>
      </c>
      <c r="H190" s="137" t="s">
        <v>1764</v>
      </c>
      <c r="I190" s="117">
        <v>100.61761</v>
      </c>
      <c r="J190" s="116" t="s">
        <v>969</v>
      </c>
      <c r="K190" s="121" t="s">
        <v>970</v>
      </c>
      <c r="L190" s="121" t="s">
        <v>1765</v>
      </c>
      <c r="M190" s="117">
        <v>96895453</v>
      </c>
      <c r="N190" s="117" t="s">
        <v>1347</v>
      </c>
      <c r="O190" s="117" t="s">
        <v>906</v>
      </c>
      <c r="P190" s="117"/>
      <c r="Q190" s="119"/>
      <c r="R190" s="119"/>
      <c r="S190" s="119"/>
      <c r="T190" s="222"/>
      <c r="U190" s="222"/>
      <c r="V190" s="222"/>
      <c r="W190" s="230"/>
      <c r="X190" s="331">
        <f t="shared" si="8"/>
        <v>0</v>
      </c>
      <c r="Y190" s="222"/>
      <c r="Z190" s="272">
        <f t="shared" si="6"/>
        <v>0</v>
      </c>
      <c r="AA190" s="331"/>
      <c r="AB190" s="331"/>
      <c r="AC190" s="331"/>
      <c r="AD190" s="331"/>
      <c r="AE190" s="331"/>
      <c r="AF190" s="331"/>
      <c r="AG190" s="331"/>
      <c r="AH190" s="241">
        <f t="shared" ca="1" si="7"/>
        <v>46153</v>
      </c>
      <c r="AI190" s="272"/>
      <c r="AJ190" s="222"/>
      <c r="AK190" s="222"/>
    </row>
    <row r="191" spans="1:37" ht="23" hidden="1">
      <c r="A191" s="111">
        <v>1017</v>
      </c>
      <c r="B191" s="112">
        <v>2</v>
      </c>
      <c r="C191" s="113" t="s">
        <v>1964</v>
      </c>
      <c r="D191" s="147" t="s">
        <v>1965</v>
      </c>
      <c r="E191" s="114" t="s">
        <v>1966</v>
      </c>
      <c r="F191" s="115" t="s">
        <v>899</v>
      </c>
      <c r="G191" s="115" t="s">
        <v>929</v>
      </c>
      <c r="H191" s="116">
        <v>13.784972</v>
      </c>
      <c r="I191" s="116">
        <v>100.60859600000001</v>
      </c>
      <c r="J191" s="116" t="s">
        <v>890</v>
      </c>
      <c r="K191" s="117" t="s">
        <v>891</v>
      </c>
      <c r="L191" s="117" t="s">
        <v>891</v>
      </c>
      <c r="M191" s="117">
        <v>96895754</v>
      </c>
      <c r="N191" s="120" t="s">
        <v>892</v>
      </c>
      <c r="O191" s="121" t="s">
        <v>901</v>
      </c>
      <c r="P191" s="117" t="s">
        <v>902</v>
      </c>
      <c r="Q191" s="118">
        <v>80057501</v>
      </c>
      <c r="R191" s="119" t="s">
        <v>895</v>
      </c>
      <c r="S191" s="119" t="s">
        <v>895</v>
      </c>
      <c r="T191" s="222"/>
      <c r="U191" s="222"/>
      <c r="V191" s="222"/>
      <c r="W191" s="230"/>
      <c r="X191" s="331">
        <f t="shared" si="8"/>
        <v>0</v>
      </c>
      <c r="Y191" s="222"/>
      <c r="Z191" s="272">
        <f t="shared" si="6"/>
        <v>0</v>
      </c>
      <c r="AA191" s="331"/>
      <c r="AB191" s="331"/>
      <c r="AC191" s="331"/>
      <c r="AD191" s="331"/>
      <c r="AE191" s="331"/>
      <c r="AF191" s="331"/>
      <c r="AG191" s="331"/>
      <c r="AH191" s="241">
        <f t="shared" ca="1" si="7"/>
        <v>46153</v>
      </c>
      <c r="AI191" s="272"/>
      <c r="AJ191" s="222"/>
      <c r="AK191" s="222"/>
    </row>
    <row r="192" spans="1:37" ht="23.25" hidden="1" customHeight="1">
      <c r="A192" s="111">
        <v>30</v>
      </c>
      <c r="B192" s="112">
        <v>11</v>
      </c>
      <c r="C192" s="113" t="s">
        <v>2157</v>
      </c>
      <c r="D192" s="147" t="s">
        <v>2158</v>
      </c>
      <c r="E192" s="114" t="s">
        <v>2159</v>
      </c>
      <c r="F192" s="115" t="s">
        <v>899</v>
      </c>
      <c r="G192" s="115" t="s">
        <v>900</v>
      </c>
      <c r="H192" s="116">
        <v>13.829798</v>
      </c>
      <c r="I192" s="116">
        <v>100.629324</v>
      </c>
      <c r="J192" s="115" t="s">
        <v>2108</v>
      </c>
      <c r="K192" s="117" t="s">
        <v>2109</v>
      </c>
      <c r="L192" s="117" t="s">
        <v>2110</v>
      </c>
      <c r="M192" s="117" t="s">
        <v>1347</v>
      </c>
      <c r="N192" s="121" t="s">
        <v>972</v>
      </c>
      <c r="O192" s="121" t="s">
        <v>906</v>
      </c>
      <c r="P192" s="117" t="s">
        <v>1876</v>
      </c>
      <c r="Q192" s="125" t="s">
        <v>972</v>
      </c>
      <c r="R192" s="125" t="s">
        <v>972</v>
      </c>
      <c r="S192" s="125" t="s">
        <v>972</v>
      </c>
      <c r="T192" s="222"/>
      <c r="U192" s="222"/>
      <c r="V192" s="222"/>
      <c r="W192" s="230"/>
      <c r="X192" s="331">
        <f t="shared" si="8"/>
        <v>0</v>
      </c>
      <c r="Y192" s="222"/>
      <c r="Z192" s="272">
        <f t="shared" si="6"/>
        <v>0</v>
      </c>
      <c r="AA192" s="331"/>
      <c r="AB192" s="331"/>
      <c r="AC192" s="331"/>
      <c r="AD192" s="331"/>
      <c r="AE192" s="331"/>
      <c r="AF192" s="331"/>
      <c r="AG192" s="331"/>
      <c r="AH192" s="241">
        <f t="shared" ca="1" si="7"/>
        <v>46153</v>
      </c>
      <c r="AI192" s="272"/>
      <c r="AJ192" s="222"/>
      <c r="AK192" s="222"/>
    </row>
    <row r="193" spans="1:37" ht="23.25" hidden="1" customHeight="1">
      <c r="A193" s="111">
        <v>39</v>
      </c>
      <c r="B193" s="112">
        <v>7</v>
      </c>
      <c r="C193" s="113" t="s">
        <v>2189</v>
      </c>
      <c r="D193" s="147" t="s">
        <v>2190</v>
      </c>
      <c r="E193" s="114" t="s">
        <v>2191</v>
      </c>
      <c r="F193" s="115" t="s">
        <v>899</v>
      </c>
      <c r="G193" s="115" t="s">
        <v>900</v>
      </c>
      <c r="H193" s="116">
        <v>13.834803000000001</v>
      </c>
      <c r="I193" s="116">
        <v>100.631252</v>
      </c>
      <c r="J193" s="115" t="s">
        <v>2108</v>
      </c>
      <c r="K193" s="117" t="s">
        <v>2109</v>
      </c>
      <c r="L193" s="117" t="s">
        <v>2110</v>
      </c>
      <c r="M193" s="121" t="s">
        <v>972</v>
      </c>
      <c r="N193" s="121" t="s">
        <v>972</v>
      </c>
      <c r="O193" s="121" t="s">
        <v>906</v>
      </c>
      <c r="P193" s="117" t="s">
        <v>902</v>
      </c>
      <c r="Q193" s="125" t="s">
        <v>972</v>
      </c>
      <c r="R193" s="125" t="s">
        <v>972</v>
      </c>
      <c r="S193" s="125" t="s">
        <v>972</v>
      </c>
      <c r="T193" s="316" t="s">
        <v>5212</v>
      </c>
      <c r="U193" s="305" t="s">
        <v>5231</v>
      </c>
      <c r="V193" s="287">
        <v>45103</v>
      </c>
      <c r="W193" s="552">
        <v>4</v>
      </c>
      <c r="X193" s="331">
        <f t="shared" si="8"/>
        <v>45107</v>
      </c>
      <c r="Y193" s="317">
        <v>45157</v>
      </c>
      <c r="Z193" s="318">
        <f t="shared" si="6"/>
        <v>50</v>
      </c>
      <c r="AA193" s="331"/>
      <c r="AB193" s="331"/>
      <c r="AC193" s="331"/>
      <c r="AD193" s="331"/>
      <c r="AE193" s="331"/>
      <c r="AF193" s="331"/>
      <c r="AG193" s="331"/>
      <c r="AH193" s="317">
        <f t="shared" ca="1" si="7"/>
        <v>46153</v>
      </c>
      <c r="AI193" s="318"/>
      <c r="AJ193" s="316" t="s">
        <v>5143</v>
      </c>
      <c r="AK193" s="316"/>
    </row>
    <row r="194" spans="1:37" ht="23.25" hidden="1" customHeight="1">
      <c r="A194" s="111">
        <v>41</v>
      </c>
      <c r="B194" s="112">
        <v>6</v>
      </c>
      <c r="C194" s="113" t="s">
        <v>2196</v>
      </c>
      <c r="D194" s="147" t="s">
        <v>2197</v>
      </c>
      <c r="E194" s="114" t="s">
        <v>2198</v>
      </c>
      <c r="F194" s="115" t="s">
        <v>899</v>
      </c>
      <c r="G194" s="115" t="s">
        <v>900</v>
      </c>
      <c r="H194" s="116">
        <v>13.8339298</v>
      </c>
      <c r="I194" s="116">
        <v>100.6308658</v>
      </c>
      <c r="J194" s="115" t="s">
        <v>2108</v>
      </c>
      <c r="K194" s="117" t="s">
        <v>2109</v>
      </c>
      <c r="L194" s="117" t="s">
        <v>2110</v>
      </c>
      <c r="M194" s="121" t="s">
        <v>972</v>
      </c>
      <c r="N194" s="121" t="s">
        <v>972</v>
      </c>
      <c r="O194" s="121" t="s">
        <v>995</v>
      </c>
      <c r="P194" s="117" t="s">
        <v>902</v>
      </c>
      <c r="Q194" s="125" t="s">
        <v>972</v>
      </c>
      <c r="R194" s="125" t="s">
        <v>972</v>
      </c>
      <c r="S194" s="125" t="s">
        <v>972</v>
      </c>
      <c r="T194" s="222"/>
      <c r="U194" s="222"/>
      <c r="V194" s="222"/>
      <c r="W194" s="230"/>
      <c r="X194" s="331">
        <f t="shared" si="8"/>
        <v>0</v>
      </c>
      <c r="Y194" s="222"/>
      <c r="Z194" s="272">
        <f t="shared" si="6"/>
        <v>0</v>
      </c>
      <c r="AA194" s="331"/>
      <c r="AB194" s="331"/>
      <c r="AC194" s="331"/>
      <c r="AD194" s="331"/>
      <c r="AE194" s="331"/>
      <c r="AF194" s="331"/>
      <c r="AG194" s="331"/>
      <c r="AH194" s="241">
        <f t="shared" ca="1" si="7"/>
        <v>46153</v>
      </c>
      <c r="AI194" s="272"/>
      <c r="AJ194" s="222"/>
      <c r="AK194" s="222"/>
    </row>
    <row r="195" spans="1:37" ht="23.25" hidden="1" customHeight="1">
      <c r="A195" s="111">
        <v>42</v>
      </c>
      <c r="B195" s="112" t="s">
        <v>1098</v>
      </c>
      <c r="C195" s="122" t="s">
        <v>2199</v>
      </c>
      <c r="D195" s="147" t="s">
        <v>2200</v>
      </c>
      <c r="E195" s="114" t="s">
        <v>2201</v>
      </c>
      <c r="F195" s="115" t="s">
        <v>899</v>
      </c>
      <c r="G195" s="115" t="s">
        <v>901</v>
      </c>
      <c r="H195" s="115">
        <v>13.8094102</v>
      </c>
      <c r="I195" s="115">
        <v>100.6193876</v>
      </c>
      <c r="J195" s="115" t="s">
        <v>2108</v>
      </c>
      <c r="K195" s="117" t="s">
        <v>2109</v>
      </c>
      <c r="L195" s="121" t="s">
        <v>2110</v>
      </c>
      <c r="M195" s="121" t="s">
        <v>972</v>
      </c>
      <c r="N195" s="121" t="s">
        <v>972</v>
      </c>
      <c r="O195" s="121" t="s">
        <v>906</v>
      </c>
      <c r="P195" s="121" t="s">
        <v>1876</v>
      </c>
      <c r="Q195" s="125" t="s">
        <v>972</v>
      </c>
      <c r="R195" s="125" t="s">
        <v>972</v>
      </c>
      <c r="S195" s="125" t="s">
        <v>972</v>
      </c>
      <c r="T195" s="222"/>
      <c r="U195" s="222"/>
      <c r="V195" s="222"/>
      <c r="W195" s="230"/>
      <c r="X195" s="331">
        <f t="shared" si="8"/>
        <v>0</v>
      </c>
      <c r="Y195" s="222"/>
      <c r="Z195" s="272">
        <f t="shared" ref="Z195:Z258" si="9">DATEDIF(X195,Y195,"d")</f>
        <v>0</v>
      </c>
      <c r="AA195" s="331"/>
      <c r="AB195" s="331"/>
      <c r="AC195" s="331"/>
      <c r="AD195" s="331"/>
      <c r="AE195" s="331"/>
      <c r="AF195" s="331"/>
      <c r="AG195" s="331"/>
      <c r="AH195" s="241">
        <f t="shared" ref="AH195:AH258" ca="1" si="10">TODAY()</f>
        <v>46153</v>
      </c>
      <c r="AI195" s="272"/>
      <c r="AJ195" s="222"/>
      <c r="AK195" s="222"/>
    </row>
    <row r="196" spans="1:37" ht="23.25" hidden="1" customHeight="1">
      <c r="A196" s="111">
        <v>74</v>
      </c>
      <c r="B196" s="112" t="s">
        <v>1098</v>
      </c>
      <c r="C196" s="113" t="s">
        <v>2287</v>
      </c>
      <c r="D196" s="147" t="s">
        <v>2288</v>
      </c>
      <c r="E196" s="114" t="s">
        <v>2289</v>
      </c>
      <c r="F196" s="115" t="s">
        <v>899</v>
      </c>
      <c r="G196" s="115" t="s">
        <v>901</v>
      </c>
      <c r="H196" s="116">
        <v>13.803025446271899</v>
      </c>
      <c r="I196" s="116">
        <v>100.61654096996099</v>
      </c>
      <c r="J196" s="116" t="s">
        <v>969</v>
      </c>
      <c r="K196" s="116" t="s">
        <v>970</v>
      </c>
      <c r="L196" s="117" t="s">
        <v>2290</v>
      </c>
      <c r="M196" s="117">
        <v>96937604</v>
      </c>
      <c r="N196" s="121" t="s">
        <v>892</v>
      </c>
      <c r="O196" s="121" t="s">
        <v>906</v>
      </c>
      <c r="P196" s="117" t="s">
        <v>902</v>
      </c>
      <c r="Q196" s="125" t="s">
        <v>972</v>
      </c>
      <c r="R196" s="125" t="s">
        <v>972</v>
      </c>
      <c r="S196" s="125" t="s">
        <v>972</v>
      </c>
      <c r="T196" s="222"/>
      <c r="U196" s="222"/>
      <c r="V196" s="222"/>
      <c r="W196" s="230"/>
      <c r="X196" s="331">
        <f t="shared" ref="X196:X259" si="11">V196+(W196)</f>
        <v>0</v>
      </c>
      <c r="Y196" s="222"/>
      <c r="Z196" s="272">
        <f t="shared" si="9"/>
        <v>0</v>
      </c>
      <c r="AA196" s="331"/>
      <c r="AB196" s="331"/>
      <c r="AC196" s="331"/>
      <c r="AD196" s="331"/>
      <c r="AE196" s="331"/>
      <c r="AF196" s="331"/>
      <c r="AG196" s="331"/>
      <c r="AH196" s="241">
        <f t="shared" ca="1" si="10"/>
        <v>46153</v>
      </c>
      <c r="AI196" s="272"/>
      <c r="AJ196" s="222"/>
      <c r="AK196" s="222"/>
    </row>
    <row r="197" spans="1:37" ht="23" hidden="1">
      <c r="A197" s="111">
        <v>147</v>
      </c>
      <c r="B197" s="112">
        <v>8</v>
      </c>
      <c r="C197" s="122" t="s">
        <v>2299</v>
      </c>
      <c r="D197" s="147" t="s">
        <v>2300</v>
      </c>
      <c r="E197" s="123" t="s">
        <v>2301</v>
      </c>
      <c r="F197" s="115" t="s">
        <v>899</v>
      </c>
      <c r="G197" s="116" t="s">
        <v>995</v>
      </c>
      <c r="H197" s="116">
        <v>13.8449917</v>
      </c>
      <c r="I197" s="116">
        <v>100.63682350000001</v>
      </c>
      <c r="J197" s="116" t="s">
        <v>890</v>
      </c>
      <c r="K197" s="117" t="s">
        <v>2180</v>
      </c>
      <c r="L197" s="117" t="s">
        <v>2180</v>
      </c>
      <c r="M197" s="117">
        <v>96326144</v>
      </c>
      <c r="N197" s="117" t="s">
        <v>892</v>
      </c>
      <c r="O197" s="117" t="s">
        <v>906</v>
      </c>
      <c r="P197" s="117" t="s">
        <v>1876</v>
      </c>
      <c r="Q197" s="125" t="s">
        <v>972</v>
      </c>
      <c r="R197" s="119" t="s">
        <v>895</v>
      </c>
      <c r="S197" s="119" t="s">
        <v>895</v>
      </c>
      <c r="T197" s="222"/>
      <c r="U197" s="222"/>
      <c r="V197" s="222"/>
      <c r="W197" s="230"/>
      <c r="X197" s="331">
        <f t="shared" si="11"/>
        <v>0</v>
      </c>
      <c r="Y197" s="222"/>
      <c r="Z197" s="272">
        <f t="shared" si="9"/>
        <v>0</v>
      </c>
      <c r="AA197" s="331"/>
      <c r="AB197" s="331"/>
      <c r="AC197" s="331"/>
      <c r="AD197" s="331"/>
      <c r="AE197" s="331"/>
      <c r="AF197" s="331"/>
      <c r="AG197" s="331"/>
      <c r="AH197" s="241">
        <f t="shared" ca="1" si="10"/>
        <v>46153</v>
      </c>
      <c r="AI197" s="272"/>
      <c r="AJ197" s="222"/>
      <c r="AK197" s="222"/>
    </row>
    <row r="198" spans="1:37" ht="23" hidden="1">
      <c r="A198" s="111">
        <v>209</v>
      </c>
      <c r="B198" s="112" t="s">
        <v>1114</v>
      </c>
      <c r="C198" s="113" t="s">
        <v>2651</v>
      </c>
      <c r="D198" s="147" t="s">
        <v>2652</v>
      </c>
      <c r="E198" s="114" t="s">
        <v>2653</v>
      </c>
      <c r="F198" s="115" t="s">
        <v>899</v>
      </c>
      <c r="G198" s="115" t="s">
        <v>936</v>
      </c>
      <c r="H198" s="115">
        <v>13.7525134</v>
      </c>
      <c r="I198" s="115">
        <v>100.593806</v>
      </c>
      <c r="J198" s="115" t="s">
        <v>2108</v>
      </c>
      <c r="K198" s="117" t="s">
        <v>2109</v>
      </c>
      <c r="L198" s="117" t="s">
        <v>2110</v>
      </c>
      <c r="M198" s="121" t="s">
        <v>972</v>
      </c>
      <c r="N198" s="121" t="s">
        <v>972</v>
      </c>
      <c r="O198" s="121" t="s">
        <v>901</v>
      </c>
      <c r="P198" s="117" t="s">
        <v>1876</v>
      </c>
      <c r="Q198" s="125" t="s">
        <v>972</v>
      </c>
      <c r="R198" s="125" t="s">
        <v>972</v>
      </c>
      <c r="S198" s="125" t="s">
        <v>972</v>
      </c>
      <c r="T198" s="274" t="s">
        <v>5212</v>
      </c>
      <c r="U198" s="312" t="s">
        <v>5205</v>
      </c>
      <c r="V198" s="329">
        <v>45006</v>
      </c>
      <c r="W198" s="326">
        <v>4</v>
      </c>
      <c r="X198" s="331">
        <f t="shared" si="11"/>
        <v>45010</v>
      </c>
      <c r="Y198" s="329">
        <v>45007</v>
      </c>
      <c r="Z198" s="332" t="e">
        <f t="shared" si="9"/>
        <v>#NUM!</v>
      </c>
      <c r="AA198" s="331"/>
      <c r="AB198" s="331"/>
      <c r="AC198" s="331"/>
      <c r="AD198" s="331"/>
      <c r="AE198" s="331"/>
      <c r="AF198" s="331"/>
      <c r="AG198" s="331"/>
      <c r="AH198" s="329">
        <f t="shared" ca="1" si="10"/>
        <v>46153</v>
      </c>
      <c r="AI198" s="330"/>
      <c r="AJ198" s="312" t="s">
        <v>5143</v>
      </c>
      <c r="AK198" s="312"/>
    </row>
    <row r="199" spans="1:37" ht="14.5" hidden="1">
      <c r="A199" s="111">
        <v>340</v>
      </c>
      <c r="B199" s="112" t="s">
        <v>1553</v>
      </c>
      <c r="C199" s="122" t="s">
        <v>2726</v>
      </c>
      <c r="D199" s="160" t="s">
        <v>2727</v>
      </c>
      <c r="E199" s="156" t="s">
        <v>2728</v>
      </c>
      <c r="F199" s="115" t="s">
        <v>899</v>
      </c>
      <c r="G199" s="115" t="s">
        <v>936</v>
      </c>
      <c r="H199" s="117" t="s">
        <v>2730</v>
      </c>
      <c r="I199" s="117">
        <v>100.59511019999999</v>
      </c>
      <c r="J199" s="117" t="s">
        <v>890</v>
      </c>
      <c r="K199" s="121" t="s">
        <v>891</v>
      </c>
      <c r="L199" s="121" t="s">
        <v>891</v>
      </c>
      <c r="M199" s="117">
        <v>97024250</v>
      </c>
      <c r="N199" s="117" t="s">
        <v>892</v>
      </c>
      <c r="O199" s="117" t="s">
        <v>901</v>
      </c>
      <c r="P199" s="117"/>
      <c r="Q199" s="119"/>
      <c r="R199" s="119"/>
      <c r="S199" s="119" t="s">
        <v>895</v>
      </c>
      <c r="T199" s="312" t="s">
        <v>5212</v>
      </c>
      <c r="U199" s="312" t="s">
        <v>5205</v>
      </c>
      <c r="V199" s="329">
        <v>45006</v>
      </c>
      <c r="W199" s="326">
        <v>4</v>
      </c>
      <c r="X199" s="331">
        <f t="shared" si="11"/>
        <v>45010</v>
      </c>
      <c r="Y199" s="329">
        <v>45009</v>
      </c>
      <c r="Z199" s="332" t="e">
        <f t="shared" si="9"/>
        <v>#NUM!</v>
      </c>
      <c r="AA199" s="331"/>
      <c r="AB199" s="331"/>
      <c r="AC199" s="331"/>
      <c r="AD199" s="331"/>
      <c r="AE199" s="331"/>
      <c r="AF199" s="331"/>
      <c r="AG199" s="331"/>
      <c r="AH199" s="329">
        <f t="shared" ca="1" si="10"/>
        <v>46153</v>
      </c>
      <c r="AI199" s="330"/>
      <c r="AJ199" s="312" t="s">
        <v>5143</v>
      </c>
      <c r="AK199" s="312" t="s">
        <v>5149</v>
      </c>
    </row>
    <row r="200" spans="1:37" ht="23.25" hidden="1" customHeight="1">
      <c r="A200" s="111">
        <v>237</v>
      </c>
      <c r="B200" s="112">
        <v>11</v>
      </c>
      <c r="C200" s="113" t="s">
        <v>2731</v>
      </c>
      <c r="D200" s="147" t="s">
        <v>2732</v>
      </c>
      <c r="E200" s="114" t="s">
        <v>2733</v>
      </c>
      <c r="F200" s="115" t="s">
        <v>899</v>
      </c>
      <c r="G200" s="115" t="s">
        <v>900</v>
      </c>
      <c r="H200" s="116">
        <v>13.820039</v>
      </c>
      <c r="I200" s="116">
        <v>100.62566200000001</v>
      </c>
      <c r="J200" s="115" t="s">
        <v>2108</v>
      </c>
      <c r="K200" s="117" t="s">
        <v>2109</v>
      </c>
      <c r="L200" s="117" t="s">
        <v>2110</v>
      </c>
      <c r="M200" s="121" t="s">
        <v>972</v>
      </c>
      <c r="N200" s="121" t="s">
        <v>972</v>
      </c>
      <c r="O200" s="121" t="s">
        <v>906</v>
      </c>
      <c r="P200" s="117" t="s">
        <v>1876</v>
      </c>
      <c r="Q200" s="125" t="s">
        <v>972</v>
      </c>
      <c r="R200" s="125" t="s">
        <v>972</v>
      </c>
      <c r="S200" s="125" t="s">
        <v>972</v>
      </c>
      <c r="T200" s="222"/>
      <c r="U200" s="222"/>
      <c r="V200" s="222"/>
      <c r="W200" s="230"/>
      <c r="X200" s="331">
        <f t="shared" si="11"/>
        <v>0</v>
      </c>
      <c r="Y200" s="222"/>
      <c r="Z200" s="272">
        <f t="shared" si="9"/>
        <v>0</v>
      </c>
      <c r="AA200" s="331"/>
      <c r="AB200" s="331"/>
      <c r="AC200" s="331"/>
      <c r="AD200" s="331"/>
      <c r="AE200" s="331"/>
      <c r="AF200" s="331"/>
      <c r="AG200" s="331"/>
      <c r="AH200" s="241">
        <f t="shared" ca="1" si="10"/>
        <v>46153</v>
      </c>
      <c r="AI200" s="272"/>
      <c r="AJ200" s="222"/>
      <c r="AK200" s="222"/>
    </row>
    <row r="201" spans="1:37" ht="23" hidden="1">
      <c r="A201" s="111">
        <v>350</v>
      </c>
      <c r="B201" s="112" t="s">
        <v>1082</v>
      </c>
      <c r="C201" s="122" t="s">
        <v>2737</v>
      </c>
      <c r="D201" s="147" t="s">
        <v>2738</v>
      </c>
      <c r="E201" s="156" t="s">
        <v>2739</v>
      </c>
      <c r="F201" s="115" t="s">
        <v>899</v>
      </c>
      <c r="G201" s="148" t="s">
        <v>929</v>
      </c>
      <c r="H201" s="117" t="s">
        <v>2740</v>
      </c>
      <c r="I201" s="117">
        <v>100.5983224</v>
      </c>
      <c r="J201" s="117" t="s">
        <v>890</v>
      </c>
      <c r="K201" s="121" t="s">
        <v>891</v>
      </c>
      <c r="L201" s="121" t="s">
        <v>891</v>
      </c>
      <c r="M201" s="117">
        <v>97024248</v>
      </c>
      <c r="N201" s="117" t="s">
        <v>892</v>
      </c>
      <c r="O201" s="117" t="s">
        <v>901</v>
      </c>
      <c r="P201" s="117"/>
      <c r="Q201" s="119"/>
      <c r="R201" s="119" t="s">
        <v>895</v>
      </c>
      <c r="S201" s="119" t="s">
        <v>895</v>
      </c>
      <c r="T201" s="222"/>
      <c r="U201" s="222"/>
      <c r="V201" s="222"/>
      <c r="W201" s="230"/>
      <c r="X201" s="331">
        <f t="shared" si="11"/>
        <v>0</v>
      </c>
      <c r="Y201" s="222"/>
      <c r="Z201" s="272">
        <f t="shared" si="9"/>
        <v>0</v>
      </c>
      <c r="AA201" s="331"/>
      <c r="AB201" s="331"/>
      <c r="AC201" s="331"/>
      <c r="AD201" s="331"/>
      <c r="AE201" s="331"/>
      <c r="AF201" s="331"/>
      <c r="AG201" s="331"/>
      <c r="AH201" s="241">
        <f t="shared" ca="1" si="10"/>
        <v>46153</v>
      </c>
      <c r="AI201" s="272"/>
      <c r="AJ201" s="222"/>
      <c r="AK201" s="222"/>
    </row>
    <row r="202" spans="1:37" ht="23.25" hidden="1" customHeight="1">
      <c r="A202" s="111">
        <v>345</v>
      </c>
      <c r="B202" s="128" t="s">
        <v>1155</v>
      </c>
      <c r="C202" s="113" t="s">
        <v>2976</v>
      </c>
      <c r="D202" s="147" t="s">
        <v>2977</v>
      </c>
      <c r="E202" s="114" t="s">
        <v>2978</v>
      </c>
      <c r="F202" s="115" t="s">
        <v>899</v>
      </c>
      <c r="G202" s="115" t="s">
        <v>936</v>
      </c>
      <c r="H202" s="115">
        <v>13.752114300000001</v>
      </c>
      <c r="I202" s="115">
        <v>100.5936708</v>
      </c>
      <c r="J202" s="116" t="s">
        <v>2108</v>
      </c>
      <c r="K202" s="116" t="s">
        <v>970</v>
      </c>
      <c r="L202" s="117" t="s">
        <v>2979</v>
      </c>
      <c r="M202" s="121" t="s">
        <v>972</v>
      </c>
      <c r="N202" s="121" t="s">
        <v>972</v>
      </c>
      <c r="O202" s="121" t="s">
        <v>901</v>
      </c>
      <c r="P202" s="117" t="s">
        <v>2667</v>
      </c>
      <c r="Q202" s="125" t="s">
        <v>972</v>
      </c>
      <c r="R202" s="125" t="s">
        <v>972</v>
      </c>
      <c r="S202" s="125" t="s">
        <v>972</v>
      </c>
      <c r="T202" s="274" t="s">
        <v>5212</v>
      </c>
      <c r="U202" s="312" t="s">
        <v>5205</v>
      </c>
      <c r="V202" s="329">
        <v>45006</v>
      </c>
      <c r="W202" s="326">
        <v>4</v>
      </c>
      <c r="X202" s="331">
        <f t="shared" si="11"/>
        <v>45010</v>
      </c>
      <c r="Y202" s="329">
        <v>45007</v>
      </c>
      <c r="Z202" s="332" t="e">
        <f t="shared" si="9"/>
        <v>#NUM!</v>
      </c>
      <c r="AA202" s="331"/>
      <c r="AB202" s="331"/>
      <c r="AC202" s="331"/>
      <c r="AD202" s="331"/>
      <c r="AE202" s="331"/>
      <c r="AF202" s="331"/>
      <c r="AG202" s="331"/>
      <c r="AH202" s="329">
        <f t="shared" ca="1" si="10"/>
        <v>46153</v>
      </c>
      <c r="AI202" s="330"/>
      <c r="AJ202" s="312" t="s">
        <v>5143</v>
      </c>
      <c r="AK202" s="312"/>
    </row>
    <row r="203" spans="1:37" ht="23" hidden="1">
      <c r="A203" s="111">
        <v>368</v>
      </c>
      <c r="B203" s="112" t="s">
        <v>985</v>
      </c>
      <c r="C203" s="122" t="s">
        <v>3036</v>
      </c>
      <c r="D203" s="147" t="s">
        <v>3037</v>
      </c>
      <c r="E203" s="156" t="s">
        <v>3038</v>
      </c>
      <c r="F203" s="115" t="s">
        <v>899</v>
      </c>
      <c r="G203" s="148" t="s">
        <v>929</v>
      </c>
      <c r="H203" s="117" t="s">
        <v>3039</v>
      </c>
      <c r="I203" s="117">
        <v>100.6025781</v>
      </c>
      <c r="J203" s="116" t="s">
        <v>969</v>
      </c>
      <c r="K203" s="115" t="s">
        <v>1048</v>
      </c>
      <c r="L203" s="117" t="s">
        <v>3040</v>
      </c>
      <c r="M203" s="117">
        <v>96924152</v>
      </c>
      <c r="N203" s="117" t="s">
        <v>892</v>
      </c>
      <c r="O203" s="117" t="s">
        <v>901</v>
      </c>
      <c r="P203" s="117"/>
      <c r="Q203" s="119"/>
      <c r="R203" s="119"/>
      <c r="S203" s="119"/>
      <c r="T203" s="222"/>
      <c r="U203" s="222"/>
      <c r="V203" s="222"/>
      <c r="W203" s="230"/>
      <c r="X203" s="331">
        <f t="shared" si="11"/>
        <v>0</v>
      </c>
      <c r="Y203" s="222"/>
      <c r="Z203" s="272">
        <f t="shared" si="9"/>
        <v>0</v>
      </c>
      <c r="AA203" s="331"/>
      <c r="AB203" s="331"/>
      <c r="AC203" s="331"/>
      <c r="AD203" s="331"/>
      <c r="AE203" s="331"/>
      <c r="AF203" s="331"/>
      <c r="AG203" s="331"/>
      <c r="AH203" s="241">
        <f t="shared" ca="1" si="10"/>
        <v>46153</v>
      </c>
      <c r="AI203" s="272"/>
      <c r="AJ203" s="222"/>
      <c r="AK203" s="222"/>
    </row>
    <row r="204" spans="1:37" ht="23.25" hidden="1" customHeight="1">
      <c r="A204" s="111">
        <v>452</v>
      </c>
      <c r="B204" s="112" t="s">
        <v>1459</v>
      </c>
      <c r="C204" s="122" t="s">
        <v>3229</v>
      </c>
      <c r="D204" s="147" t="s">
        <v>3230</v>
      </c>
      <c r="E204" s="114" t="s">
        <v>3231</v>
      </c>
      <c r="F204" s="115" t="s">
        <v>899</v>
      </c>
      <c r="G204" s="115" t="s">
        <v>929</v>
      </c>
      <c r="H204" s="116">
        <v>13.773465</v>
      </c>
      <c r="I204" s="116">
        <v>100.607193</v>
      </c>
      <c r="J204" s="115" t="s">
        <v>2108</v>
      </c>
      <c r="K204" s="117" t="s">
        <v>2109</v>
      </c>
      <c r="L204" s="117" t="s">
        <v>2110</v>
      </c>
      <c r="M204" s="121" t="s">
        <v>972</v>
      </c>
      <c r="N204" s="121" t="s">
        <v>972</v>
      </c>
      <c r="O204" s="121" t="s">
        <v>901</v>
      </c>
      <c r="P204" s="117" t="s">
        <v>2114</v>
      </c>
      <c r="Q204" s="125" t="s">
        <v>972</v>
      </c>
      <c r="R204" s="125" t="s">
        <v>972</v>
      </c>
      <c r="S204" s="125" t="s">
        <v>972</v>
      </c>
      <c r="T204" s="222"/>
      <c r="U204" s="222"/>
      <c r="V204" s="222"/>
      <c r="W204" s="230"/>
      <c r="X204" s="331">
        <f t="shared" si="11"/>
        <v>0</v>
      </c>
      <c r="Y204" s="222"/>
      <c r="Z204" s="272">
        <f t="shared" si="9"/>
        <v>0</v>
      </c>
      <c r="AA204" s="331"/>
      <c r="AB204" s="331"/>
      <c r="AC204" s="331"/>
      <c r="AD204" s="331"/>
      <c r="AE204" s="331"/>
      <c r="AF204" s="331"/>
      <c r="AG204" s="331"/>
      <c r="AH204" s="241">
        <f t="shared" ca="1" si="10"/>
        <v>46153</v>
      </c>
      <c r="AI204" s="272"/>
      <c r="AJ204" s="222"/>
      <c r="AK204" s="222"/>
    </row>
    <row r="205" spans="1:37" ht="23.25" hidden="1" customHeight="1">
      <c r="A205" s="111">
        <v>457</v>
      </c>
      <c r="B205" s="112">
        <v>11</v>
      </c>
      <c r="C205" s="113" t="s">
        <v>3243</v>
      </c>
      <c r="D205" s="147" t="s">
        <v>3244</v>
      </c>
      <c r="E205" s="114" t="s">
        <v>3245</v>
      </c>
      <c r="F205" s="115" t="s">
        <v>899</v>
      </c>
      <c r="G205" s="115" t="s">
        <v>929</v>
      </c>
      <c r="H205" s="116">
        <v>13.764886000000001</v>
      </c>
      <c r="I205" s="116">
        <v>100.60069</v>
      </c>
      <c r="J205" s="115" t="s">
        <v>2108</v>
      </c>
      <c r="K205" s="117" t="s">
        <v>2109</v>
      </c>
      <c r="L205" s="117" t="s">
        <v>2110</v>
      </c>
      <c r="M205" s="121" t="s">
        <v>972</v>
      </c>
      <c r="N205" s="121" t="s">
        <v>972</v>
      </c>
      <c r="O205" s="121" t="s">
        <v>901</v>
      </c>
      <c r="P205" s="117" t="s">
        <v>1876</v>
      </c>
      <c r="Q205" s="125" t="s">
        <v>972</v>
      </c>
      <c r="R205" s="125" t="s">
        <v>972</v>
      </c>
      <c r="S205" s="125" t="s">
        <v>972</v>
      </c>
      <c r="T205" s="222"/>
      <c r="U205" s="222"/>
      <c r="V205" s="222"/>
      <c r="W205" s="230"/>
      <c r="X205" s="331">
        <f t="shared" si="11"/>
        <v>0</v>
      </c>
      <c r="Y205" s="222"/>
      <c r="Z205" s="272">
        <f t="shared" si="9"/>
        <v>0</v>
      </c>
      <c r="AA205" s="331"/>
      <c r="AB205" s="331"/>
      <c r="AC205" s="331"/>
      <c r="AD205" s="331"/>
      <c r="AE205" s="331"/>
      <c r="AF205" s="331"/>
      <c r="AG205" s="331"/>
      <c r="AH205" s="241">
        <f t="shared" ca="1" si="10"/>
        <v>46153</v>
      </c>
      <c r="AI205" s="272"/>
      <c r="AJ205" s="222"/>
      <c r="AK205" s="222"/>
    </row>
    <row r="206" spans="1:37" ht="23.25" hidden="1" customHeight="1">
      <c r="A206" s="111">
        <v>458</v>
      </c>
      <c r="B206" s="112">
        <v>1</v>
      </c>
      <c r="C206" s="113" t="s">
        <v>3246</v>
      </c>
      <c r="D206" s="147" t="s">
        <v>3247</v>
      </c>
      <c r="E206" s="114" t="s">
        <v>3248</v>
      </c>
      <c r="F206" s="115" t="s">
        <v>899</v>
      </c>
      <c r="G206" s="115" t="s">
        <v>929</v>
      </c>
      <c r="H206" s="116">
        <v>13.7827787</v>
      </c>
      <c r="I206" s="116">
        <v>100.6081624</v>
      </c>
      <c r="J206" s="115" t="s">
        <v>2108</v>
      </c>
      <c r="K206" s="117" t="s">
        <v>2109</v>
      </c>
      <c r="L206" s="117" t="s">
        <v>2110</v>
      </c>
      <c r="M206" s="121" t="s">
        <v>972</v>
      </c>
      <c r="N206" s="121" t="s">
        <v>972</v>
      </c>
      <c r="O206" s="121" t="s">
        <v>901</v>
      </c>
      <c r="P206" s="118" t="s">
        <v>1876</v>
      </c>
      <c r="Q206" s="125" t="s">
        <v>972</v>
      </c>
      <c r="R206" s="125" t="s">
        <v>972</v>
      </c>
      <c r="S206" s="125" t="s">
        <v>972</v>
      </c>
      <c r="T206" s="222"/>
      <c r="U206" s="222"/>
      <c r="V206" s="222"/>
      <c r="W206" s="230"/>
      <c r="X206" s="331">
        <f t="shared" si="11"/>
        <v>0</v>
      </c>
      <c r="Y206" s="222"/>
      <c r="Z206" s="272">
        <f t="shared" si="9"/>
        <v>0</v>
      </c>
      <c r="AA206" s="331"/>
      <c r="AB206" s="331"/>
      <c r="AC206" s="331"/>
      <c r="AD206" s="331"/>
      <c r="AE206" s="331"/>
      <c r="AF206" s="331"/>
      <c r="AG206" s="331"/>
      <c r="AH206" s="241">
        <f t="shared" ca="1" si="10"/>
        <v>46153</v>
      </c>
      <c r="AI206" s="272"/>
      <c r="AJ206" s="222"/>
      <c r="AK206" s="222"/>
    </row>
    <row r="207" spans="1:37" ht="23" hidden="1">
      <c r="A207" s="111">
        <v>825</v>
      </c>
      <c r="B207" s="112">
        <v>14</v>
      </c>
      <c r="C207" s="122" t="s">
        <v>3470</v>
      </c>
      <c r="D207" s="147" t="s">
        <v>3471</v>
      </c>
      <c r="E207" s="133" t="s">
        <v>3472</v>
      </c>
      <c r="F207" s="115" t="s">
        <v>899</v>
      </c>
      <c r="G207" s="170" t="s">
        <v>3473</v>
      </c>
      <c r="H207" s="117" t="s">
        <v>3474</v>
      </c>
      <c r="I207" s="117">
        <v>100.63657240000001</v>
      </c>
      <c r="J207" s="117" t="s">
        <v>890</v>
      </c>
      <c r="K207" s="121" t="s">
        <v>891</v>
      </c>
      <c r="L207" s="121" t="s">
        <v>891</v>
      </c>
      <c r="M207" s="117">
        <v>97022661</v>
      </c>
      <c r="N207" s="117" t="s">
        <v>892</v>
      </c>
      <c r="O207" s="117" t="s">
        <v>906</v>
      </c>
      <c r="P207" s="117" t="s">
        <v>894</v>
      </c>
      <c r="Q207" s="119"/>
      <c r="R207" s="119" t="s">
        <v>895</v>
      </c>
      <c r="S207" s="119" t="s">
        <v>895</v>
      </c>
      <c r="T207" s="222"/>
      <c r="U207" s="222"/>
      <c r="V207" s="222"/>
      <c r="W207" s="230"/>
      <c r="X207" s="331">
        <f t="shared" si="11"/>
        <v>0</v>
      </c>
      <c r="Y207" s="222"/>
      <c r="Z207" s="272">
        <f t="shared" si="9"/>
        <v>0</v>
      </c>
      <c r="AA207" s="331"/>
      <c r="AB207" s="331"/>
      <c r="AC207" s="331"/>
      <c r="AD207" s="331"/>
      <c r="AE207" s="331"/>
      <c r="AF207" s="331"/>
      <c r="AG207" s="331"/>
      <c r="AH207" s="241">
        <f t="shared" ca="1" si="10"/>
        <v>46153</v>
      </c>
      <c r="AI207" s="272"/>
      <c r="AJ207" s="222"/>
      <c r="AK207" s="222"/>
    </row>
    <row r="208" spans="1:37" ht="23" hidden="1">
      <c r="A208" s="111">
        <v>939</v>
      </c>
      <c r="B208" s="112" t="s">
        <v>1098</v>
      </c>
      <c r="C208" s="122" t="s">
        <v>3740</v>
      </c>
      <c r="D208" s="147" t="s">
        <v>3741</v>
      </c>
      <c r="E208" s="114" t="s">
        <v>3742</v>
      </c>
      <c r="F208" s="115" t="s">
        <v>899</v>
      </c>
      <c r="G208" s="115" t="s">
        <v>901</v>
      </c>
      <c r="H208" s="115">
        <v>13.8033544256546</v>
      </c>
      <c r="I208" s="115">
        <v>100.616862970089</v>
      </c>
      <c r="J208" s="116" t="s">
        <v>890</v>
      </c>
      <c r="K208" s="117" t="s">
        <v>891</v>
      </c>
      <c r="L208" s="117" t="s">
        <v>891</v>
      </c>
      <c r="M208" s="117">
        <v>96937604</v>
      </c>
      <c r="N208" s="120" t="s">
        <v>892</v>
      </c>
      <c r="O208" s="120" t="s">
        <v>906</v>
      </c>
      <c r="P208" s="117" t="s">
        <v>902</v>
      </c>
      <c r="Q208" s="118">
        <v>80057501</v>
      </c>
      <c r="R208" s="119" t="s">
        <v>895</v>
      </c>
      <c r="S208" s="119" t="s">
        <v>895</v>
      </c>
      <c r="T208" s="222"/>
      <c r="U208" s="222"/>
      <c r="V208" s="222"/>
      <c r="W208" s="230"/>
      <c r="X208" s="331">
        <f t="shared" si="11"/>
        <v>0</v>
      </c>
      <c r="Y208" s="222"/>
      <c r="Z208" s="272">
        <f t="shared" si="9"/>
        <v>0</v>
      </c>
      <c r="AA208" s="331"/>
      <c r="AB208" s="331"/>
      <c r="AC208" s="331"/>
      <c r="AD208" s="331"/>
      <c r="AE208" s="331"/>
      <c r="AF208" s="331"/>
      <c r="AG208" s="331"/>
      <c r="AH208" s="241">
        <f t="shared" ca="1" si="10"/>
        <v>46153</v>
      </c>
      <c r="AI208" s="272"/>
      <c r="AJ208" s="222"/>
      <c r="AK208" s="222"/>
    </row>
    <row r="209" spans="1:37" ht="23.25" hidden="1" customHeight="1">
      <c r="A209" s="111">
        <v>656</v>
      </c>
      <c r="B209" s="112">
        <v>14</v>
      </c>
      <c r="C209" s="113" t="s">
        <v>3766</v>
      </c>
      <c r="D209" s="147" t="s">
        <v>3767</v>
      </c>
      <c r="E209" s="114" t="s">
        <v>3768</v>
      </c>
      <c r="F209" s="115" t="s">
        <v>899</v>
      </c>
      <c r="G209" s="115" t="s">
        <v>1217</v>
      </c>
      <c r="H209" s="116">
        <v>13.830662</v>
      </c>
      <c r="I209" s="116">
        <v>100.630107</v>
      </c>
      <c r="J209" s="115" t="s">
        <v>2108</v>
      </c>
      <c r="K209" s="117" t="s">
        <v>2109</v>
      </c>
      <c r="L209" s="117" t="s">
        <v>2110</v>
      </c>
      <c r="M209" s="121" t="s">
        <v>972</v>
      </c>
      <c r="N209" s="121" t="s">
        <v>972</v>
      </c>
      <c r="O209" s="121" t="s">
        <v>906</v>
      </c>
      <c r="P209" s="117" t="s">
        <v>1876</v>
      </c>
      <c r="Q209" s="125" t="s">
        <v>972</v>
      </c>
      <c r="R209" s="125" t="s">
        <v>972</v>
      </c>
      <c r="S209" s="125" t="s">
        <v>972</v>
      </c>
      <c r="T209" s="222"/>
      <c r="U209" s="222"/>
      <c r="V209" s="222"/>
      <c r="W209" s="230"/>
      <c r="X209" s="331">
        <f t="shared" si="11"/>
        <v>0</v>
      </c>
      <c r="Y209" s="222"/>
      <c r="Z209" s="272">
        <f t="shared" si="9"/>
        <v>0</v>
      </c>
      <c r="AA209" s="331"/>
      <c r="AB209" s="331"/>
      <c r="AC209" s="331"/>
      <c r="AD209" s="331"/>
      <c r="AE209" s="331"/>
      <c r="AF209" s="331"/>
      <c r="AG209" s="331"/>
      <c r="AH209" s="241">
        <f t="shared" ca="1" si="10"/>
        <v>46153</v>
      </c>
      <c r="AI209" s="272"/>
      <c r="AJ209" s="222"/>
      <c r="AK209" s="222"/>
    </row>
    <row r="210" spans="1:37" ht="23.25" hidden="1" customHeight="1">
      <c r="A210" s="111">
        <v>678</v>
      </c>
      <c r="B210" s="112">
        <v>3</v>
      </c>
      <c r="C210" s="122" t="s">
        <v>3805</v>
      </c>
      <c r="D210" s="147" t="s">
        <v>3806</v>
      </c>
      <c r="E210" s="123" t="s">
        <v>3807</v>
      </c>
      <c r="F210" s="115" t="s">
        <v>899</v>
      </c>
      <c r="G210" s="115" t="s">
        <v>929</v>
      </c>
      <c r="H210" s="116">
        <v>13.782629</v>
      </c>
      <c r="I210" s="116">
        <v>100.6075606</v>
      </c>
      <c r="J210" s="115" t="s">
        <v>2108</v>
      </c>
      <c r="K210" s="117" t="s">
        <v>2109</v>
      </c>
      <c r="L210" s="117" t="s">
        <v>2110</v>
      </c>
      <c r="M210" s="121" t="s">
        <v>972</v>
      </c>
      <c r="N210" s="121" t="s">
        <v>972</v>
      </c>
      <c r="O210" s="121" t="s">
        <v>901</v>
      </c>
      <c r="P210" s="117" t="s">
        <v>1876</v>
      </c>
      <c r="Q210" s="125" t="s">
        <v>972</v>
      </c>
      <c r="R210" s="125" t="s">
        <v>972</v>
      </c>
      <c r="S210" s="125" t="s">
        <v>972</v>
      </c>
      <c r="T210" s="222"/>
      <c r="U210" s="222"/>
      <c r="V210" s="222"/>
      <c r="W210" s="230"/>
      <c r="X210" s="331">
        <f t="shared" si="11"/>
        <v>0</v>
      </c>
      <c r="Y210" s="222"/>
      <c r="Z210" s="272">
        <f t="shared" si="9"/>
        <v>0</v>
      </c>
      <c r="AA210" s="331"/>
      <c r="AB210" s="331"/>
      <c r="AC210" s="331"/>
      <c r="AD210" s="331"/>
      <c r="AE210" s="331"/>
      <c r="AF210" s="331"/>
      <c r="AG210" s="331"/>
      <c r="AH210" s="241">
        <f t="shared" ca="1" si="10"/>
        <v>46153</v>
      </c>
      <c r="AI210" s="272"/>
      <c r="AJ210" s="222"/>
      <c r="AK210" s="222"/>
    </row>
    <row r="211" spans="1:37" ht="23" hidden="1">
      <c r="A211" s="111">
        <v>718</v>
      </c>
      <c r="B211" s="112" t="s">
        <v>1818</v>
      </c>
      <c r="C211" s="113" t="s">
        <v>3899</v>
      </c>
      <c r="D211" s="147" t="s">
        <v>3900</v>
      </c>
      <c r="E211" s="114" t="s">
        <v>3901</v>
      </c>
      <c r="F211" s="115" t="s">
        <v>899</v>
      </c>
      <c r="G211" s="115" t="s">
        <v>901</v>
      </c>
      <c r="H211" s="116">
        <v>13.7527638</v>
      </c>
      <c r="I211" s="116">
        <v>100.59386069999999</v>
      </c>
      <c r="J211" s="116" t="s">
        <v>969</v>
      </c>
      <c r="K211" s="116" t="s">
        <v>970</v>
      </c>
      <c r="L211" s="117" t="s">
        <v>3902</v>
      </c>
      <c r="M211" s="116" t="s">
        <v>1347</v>
      </c>
      <c r="N211" s="121" t="s">
        <v>892</v>
      </c>
      <c r="O211" s="121" t="s">
        <v>906</v>
      </c>
      <c r="P211" s="118" t="s">
        <v>902</v>
      </c>
      <c r="Q211" s="125" t="s">
        <v>972</v>
      </c>
      <c r="R211" s="125" t="s">
        <v>972</v>
      </c>
      <c r="S211" s="125" t="s">
        <v>972</v>
      </c>
      <c r="T211" s="274" t="s">
        <v>5212</v>
      </c>
      <c r="U211" s="312" t="s">
        <v>5205</v>
      </c>
      <c r="V211" s="329">
        <v>45006</v>
      </c>
      <c r="W211" s="326">
        <v>4</v>
      </c>
      <c r="X211" s="331">
        <f t="shared" si="11"/>
        <v>45010</v>
      </c>
      <c r="Y211" s="329">
        <v>45007</v>
      </c>
      <c r="Z211" s="332" t="e">
        <f t="shared" si="9"/>
        <v>#NUM!</v>
      </c>
      <c r="AA211" s="331"/>
      <c r="AB211" s="331"/>
      <c r="AC211" s="331"/>
      <c r="AD211" s="331"/>
      <c r="AE211" s="331"/>
      <c r="AF211" s="331"/>
      <c r="AG211" s="331"/>
      <c r="AH211" s="329">
        <f t="shared" ca="1" si="10"/>
        <v>46153</v>
      </c>
      <c r="AI211" s="330"/>
      <c r="AJ211" s="312" t="s">
        <v>5143</v>
      </c>
      <c r="AK211" s="312"/>
    </row>
    <row r="212" spans="1:37" ht="23.25" hidden="1" customHeight="1">
      <c r="A212" s="111">
        <v>725</v>
      </c>
      <c r="B212" s="112">
        <v>10</v>
      </c>
      <c r="C212" s="113" t="s">
        <v>3923</v>
      </c>
      <c r="D212" s="147" t="s">
        <v>3924</v>
      </c>
      <c r="E212" s="114" t="s">
        <v>3925</v>
      </c>
      <c r="F212" s="115" t="s">
        <v>899</v>
      </c>
      <c r="G212" s="115" t="s">
        <v>900</v>
      </c>
      <c r="H212" s="116">
        <v>13.807964999999999</v>
      </c>
      <c r="I212" s="116">
        <v>100.61822479999999</v>
      </c>
      <c r="J212" s="115" t="s">
        <v>2108</v>
      </c>
      <c r="K212" s="117" t="s">
        <v>2109</v>
      </c>
      <c r="L212" s="117" t="s">
        <v>2110</v>
      </c>
      <c r="M212" s="121" t="s">
        <v>972</v>
      </c>
      <c r="N212" s="121" t="s">
        <v>972</v>
      </c>
      <c r="O212" s="121" t="s">
        <v>906</v>
      </c>
      <c r="P212" s="117" t="s">
        <v>1876</v>
      </c>
      <c r="Q212" s="125" t="s">
        <v>972</v>
      </c>
      <c r="R212" s="125" t="s">
        <v>972</v>
      </c>
      <c r="S212" s="125" t="s">
        <v>972</v>
      </c>
      <c r="T212" s="222"/>
      <c r="U212" s="222"/>
      <c r="V212" s="222"/>
      <c r="W212" s="230"/>
      <c r="X212" s="331">
        <f t="shared" si="11"/>
        <v>0</v>
      </c>
      <c r="Y212" s="222"/>
      <c r="Z212" s="272">
        <f t="shared" si="9"/>
        <v>0</v>
      </c>
      <c r="AA212" s="331"/>
      <c r="AB212" s="331"/>
      <c r="AC212" s="331"/>
      <c r="AD212" s="331"/>
      <c r="AE212" s="331"/>
      <c r="AF212" s="331"/>
      <c r="AG212" s="331"/>
      <c r="AH212" s="241">
        <f t="shared" ca="1" si="10"/>
        <v>46153</v>
      </c>
      <c r="AI212" s="272"/>
      <c r="AJ212" s="222"/>
      <c r="AK212" s="222"/>
    </row>
    <row r="213" spans="1:37" ht="23.25" hidden="1" customHeight="1">
      <c r="A213" s="111">
        <v>729</v>
      </c>
      <c r="B213" s="112">
        <v>5</v>
      </c>
      <c r="C213" s="122" t="s">
        <v>3932</v>
      </c>
      <c r="D213" s="147" t="s">
        <v>3933</v>
      </c>
      <c r="E213" s="123" t="s">
        <v>3934</v>
      </c>
      <c r="F213" s="115" t="s">
        <v>899</v>
      </c>
      <c r="G213" s="116" t="s">
        <v>901</v>
      </c>
      <c r="H213" s="116">
        <v>13.816060800000001</v>
      </c>
      <c r="I213" s="116">
        <v>100.6234415</v>
      </c>
      <c r="J213" s="115" t="s">
        <v>2108</v>
      </c>
      <c r="K213" s="117" t="s">
        <v>2109</v>
      </c>
      <c r="L213" s="117" t="s">
        <v>2110</v>
      </c>
      <c r="M213" s="121" t="s">
        <v>972</v>
      </c>
      <c r="N213" s="121" t="s">
        <v>972</v>
      </c>
      <c r="O213" s="121" t="s">
        <v>906</v>
      </c>
      <c r="P213" s="117" t="s">
        <v>1876</v>
      </c>
      <c r="Q213" s="125" t="s">
        <v>972</v>
      </c>
      <c r="R213" s="125" t="s">
        <v>972</v>
      </c>
      <c r="S213" s="125" t="s">
        <v>972</v>
      </c>
      <c r="T213" s="222"/>
      <c r="U213" s="222"/>
      <c r="V213" s="222"/>
      <c r="W213" s="230"/>
      <c r="X213" s="331">
        <f t="shared" si="11"/>
        <v>0</v>
      </c>
      <c r="Y213" s="222"/>
      <c r="Z213" s="272">
        <f t="shared" si="9"/>
        <v>0</v>
      </c>
      <c r="AA213" s="331"/>
      <c r="AB213" s="331"/>
      <c r="AC213" s="331"/>
      <c r="AD213" s="331"/>
      <c r="AE213" s="331"/>
      <c r="AF213" s="331"/>
      <c r="AG213" s="331"/>
      <c r="AH213" s="241">
        <f t="shared" ca="1" si="10"/>
        <v>46153</v>
      </c>
      <c r="AI213" s="272"/>
      <c r="AJ213" s="222"/>
      <c r="AK213" s="222"/>
    </row>
    <row r="214" spans="1:37" ht="23.25" hidden="1" customHeight="1">
      <c r="A214" s="111">
        <v>741</v>
      </c>
      <c r="B214" s="112">
        <v>8</v>
      </c>
      <c r="C214" s="122" t="s">
        <v>3966</v>
      </c>
      <c r="D214" s="147" t="s">
        <v>3967</v>
      </c>
      <c r="E214" s="123" t="s">
        <v>3968</v>
      </c>
      <c r="F214" s="115" t="s">
        <v>899</v>
      </c>
      <c r="G214" s="116" t="s">
        <v>900</v>
      </c>
      <c r="H214" s="116">
        <v>13.7971574</v>
      </c>
      <c r="I214" s="116">
        <v>100.6132652</v>
      </c>
      <c r="J214" s="115" t="s">
        <v>2108</v>
      </c>
      <c r="K214" s="117" t="s">
        <v>2109</v>
      </c>
      <c r="L214" s="117" t="s">
        <v>2110</v>
      </c>
      <c r="M214" s="121" t="s">
        <v>972</v>
      </c>
      <c r="N214" s="121" t="s">
        <v>972</v>
      </c>
      <c r="O214" s="121" t="s">
        <v>901</v>
      </c>
      <c r="P214" s="117" t="s">
        <v>1876</v>
      </c>
      <c r="Q214" s="125" t="s">
        <v>972</v>
      </c>
      <c r="R214" s="125" t="s">
        <v>972</v>
      </c>
      <c r="S214" s="125" t="s">
        <v>972</v>
      </c>
      <c r="T214" s="222"/>
      <c r="U214" s="222"/>
      <c r="V214" s="222"/>
      <c r="W214" s="230"/>
      <c r="X214" s="331">
        <f t="shared" si="11"/>
        <v>0</v>
      </c>
      <c r="Y214" s="222"/>
      <c r="Z214" s="272">
        <f t="shared" si="9"/>
        <v>0</v>
      </c>
      <c r="AA214" s="331"/>
      <c r="AB214" s="331"/>
      <c r="AC214" s="331"/>
      <c r="AD214" s="331"/>
      <c r="AE214" s="331"/>
      <c r="AF214" s="331"/>
      <c r="AG214" s="331"/>
      <c r="AH214" s="241">
        <f t="shared" ca="1" si="10"/>
        <v>46153</v>
      </c>
      <c r="AI214" s="272"/>
      <c r="AJ214" s="222"/>
      <c r="AK214" s="222"/>
    </row>
    <row r="215" spans="1:37" ht="14.5" hidden="1">
      <c r="A215" s="111">
        <v>1171</v>
      </c>
      <c r="B215" s="150" t="s">
        <v>3989</v>
      </c>
      <c r="C215" s="150" t="s">
        <v>3989</v>
      </c>
      <c r="D215" s="150" t="s">
        <v>3990</v>
      </c>
      <c r="E215" s="156" t="s">
        <v>3991</v>
      </c>
      <c r="F215" s="115" t="s">
        <v>899</v>
      </c>
      <c r="G215" s="148" t="s">
        <v>929</v>
      </c>
      <c r="H215" s="117">
        <v>13.781815</v>
      </c>
      <c r="I215" s="117" t="s">
        <v>3992</v>
      </c>
      <c r="J215" s="117" t="s">
        <v>3993</v>
      </c>
      <c r="K215" s="121" t="s">
        <v>891</v>
      </c>
      <c r="L215" s="121" t="s">
        <v>891</v>
      </c>
      <c r="M215" s="117">
        <v>97024254</v>
      </c>
      <c r="N215" s="117" t="s">
        <v>892</v>
      </c>
      <c r="O215" s="117" t="s">
        <v>901</v>
      </c>
      <c r="P215" s="117" t="s">
        <v>902</v>
      </c>
      <c r="Q215" s="119"/>
      <c r="R215" s="119" t="s">
        <v>895</v>
      </c>
      <c r="S215" s="119" t="s">
        <v>895</v>
      </c>
      <c r="T215" s="222"/>
      <c r="U215" s="222"/>
      <c r="V215" s="222"/>
      <c r="W215" s="230"/>
      <c r="X215" s="331">
        <f t="shared" si="11"/>
        <v>0</v>
      </c>
      <c r="Y215" s="222"/>
      <c r="Z215" s="272">
        <f t="shared" si="9"/>
        <v>0</v>
      </c>
      <c r="AA215" s="331"/>
      <c r="AB215" s="331"/>
      <c r="AC215" s="331"/>
      <c r="AD215" s="331"/>
      <c r="AE215" s="331"/>
      <c r="AF215" s="331"/>
      <c r="AG215" s="331"/>
      <c r="AH215" s="241">
        <f t="shared" ca="1" si="10"/>
        <v>46153</v>
      </c>
      <c r="AI215" s="272"/>
      <c r="AJ215" s="222"/>
      <c r="AK215" s="222"/>
    </row>
    <row r="216" spans="1:37" ht="14.5" hidden="1">
      <c r="A216" s="111">
        <v>1172</v>
      </c>
      <c r="B216" s="150" t="s">
        <v>3989</v>
      </c>
      <c r="C216" s="150" t="s">
        <v>3989</v>
      </c>
      <c r="D216" s="150" t="s">
        <v>3994</v>
      </c>
      <c r="E216" s="156" t="s">
        <v>3995</v>
      </c>
      <c r="F216" s="115" t="s">
        <v>899</v>
      </c>
      <c r="G216" s="148" t="s">
        <v>929</v>
      </c>
      <c r="H216" s="117" t="s">
        <v>3996</v>
      </c>
      <c r="I216" s="117">
        <v>100.6074138</v>
      </c>
      <c r="J216" s="117" t="s">
        <v>3993</v>
      </c>
      <c r="K216" s="121" t="s">
        <v>891</v>
      </c>
      <c r="L216" s="121" t="s">
        <v>891</v>
      </c>
      <c r="M216" s="117">
        <v>97024252</v>
      </c>
      <c r="N216" s="117" t="s">
        <v>892</v>
      </c>
      <c r="O216" s="117" t="s">
        <v>901</v>
      </c>
      <c r="P216" s="117" t="s">
        <v>902</v>
      </c>
      <c r="Q216" s="119"/>
      <c r="R216" s="119" t="s">
        <v>895</v>
      </c>
      <c r="S216" s="119" t="s">
        <v>895</v>
      </c>
      <c r="T216" s="222"/>
      <c r="U216" s="222"/>
      <c r="V216" s="222"/>
      <c r="W216" s="230"/>
      <c r="X216" s="331">
        <f t="shared" si="11"/>
        <v>0</v>
      </c>
      <c r="Y216" s="222"/>
      <c r="Z216" s="272">
        <f t="shared" si="9"/>
        <v>0</v>
      </c>
      <c r="AA216" s="331"/>
      <c r="AB216" s="331"/>
      <c r="AC216" s="331"/>
      <c r="AD216" s="331"/>
      <c r="AE216" s="331"/>
      <c r="AF216" s="331"/>
      <c r="AG216" s="331"/>
      <c r="AH216" s="241">
        <f t="shared" ca="1" si="10"/>
        <v>46153</v>
      </c>
      <c r="AI216" s="272"/>
      <c r="AJ216" s="222"/>
      <c r="AK216" s="222"/>
    </row>
    <row r="217" spans="1:37" ht="14.5" hidden="1">
      <c r="A217" s="111">
        <v>1173</v>
      </c>
      <c r="B217" s="150" t="s">
        <v>3989</v>
      </c>
      <c r="C217" s="150" t="s">
        <v>3989</v>
      </c>
      <c r="D217" s="150" t="s">
        <v>3997</v>
      </c>
      <c r="E217" s="156" t="s">
        <v>3998</v>
      </c>
      <c r="F217" s="115" t="s">
        <v>899</v>
      </c>
      <c r="G217" s="148" t="s">
        <v>929</v>
      </c>
      <c r="H217" s="117" t="s">
        <v>3999</v>
      </c>
      <c r="I217" s="117">
        <v>100.60413749999999</v>
      </c>
      <c r="J217" s="117" t="s">
        <v>3993</v>
      </c>
      <c r="K217" s="121" t="s">
        <v>891</v>
      </c>
      <c r="L217" s="121" t="s">
        <v>891</v>
      </c>
      <c r="M217" s="117">
        <v>97024253</v>
      </c>
      <c r="N217" s="117" t="s">
        <v>892</v>
      </c>
      <c r="O217" s="117" t="s">
        <v>901</v>
      </c>
      <c r="P217" s="117" t="s">
        <v>902</v>
      </c>
      <c r="Q217" s="119"/>
      <c r="R217" s="119" t="s">
        <v>895</v>
      </c>
      <c r="S217" s="119" t="s">
        <v>895</v>
      </c>
      <c r="T217" s="222"/>
      <c r="U217" s="222"/>
      <c r="V217" s="222"/>
      <c r="W217" s="230"/>
      <c r="X217" s="331">
        <f t="shared" si="11"/>
        <v>0</v>
      </c>
      <c r="Y217" s="222"/>
      <c r="Z217" s="272">
        <f t="shared" si="9"/>
        <v>0</v>
      </c>
      <c r="AA217" s="331"/>
      <c r="AB217" s="331"/>
      <c r="AC217" s="331"/>
      <c r="AD217" s="331"/>
      <c r="AE217" s="331"/>
      <c r="AF217" s="331"/>
      <c r="AG217" s="331"/>
      <c r="AH217" s="241">
        <f t="shared" ca="1" si="10"/>
        <v>46153</v>
      </c>
      <c r="AI217" s="272"/>
      <c r="AJ217" s="222"/>
      <c r="AK217" s="222"/>
    </row>
    <row r="218" spans="1:37" ht="14.5" hidden="1">
      <c r="A218" s="111">
        <v>1174</v>
      </c>
      <c r="B218" s="150" t="s">
        <v>3989</v>
      </c>
      <c r="C218" s="150" t="s">
        <v>3989</v>
      </c>
      <c r="D218" s="150" t="s">
        <v>4111</v>
      </c>
      <c r="E218" s="156" t="s">
        <v>4112</v>
      </c>
      <c r="F218" s="115" t="s">
        <v>899</v>
      </c>
      <c r="G218" s="148" t="s">
        <v>900</v>
      </c>
      <c r="H218" s="117" t="s">
        <v>4113</v>
      </c>
      <c r="I218" s="117">
        <v>100.61552690000001</v>
      </c>
      <c r="J218" s="117" t="s">
        <v>3993</v>
      </c>
      <c r="K218" s="121" t="s">
        <v>891</v>
      </c>
      <c r="L218" s="121" t="s">
        <v>891</v>
      </c>
      <c r="M218" s="117">
        <v>97024249</v>
      </c>
      <c r="N218" s="117" t="s">
        <v>892</v>
      </c>
      <c r="O218" s="117" t="s">
        <v>906</v>
      </c>
      <c r="P218" s="117" t="s">
        <v>902</v>
      </c>
      <c r="Q218" s="119"/>
      <c r="R218" s="119" t="s">
        <v>895</v>
      </c>
      <c r="S218" s="119" t="s">
        <v>895</v>
      </c>
      <c r="T218" s="222"/>
      <c r="U218" s="222"/>
      <c r="V218" s="222"/>
      <c r="W218" s="230"/>
      <c r="X218" s="331">
        <f t="shared" si="11"/>
        <v>0</v>
      </c>
      <c r="Y218" s="222"/>
      <c r="Z218" s="272">
        <f t="shared" si="9"/>
        <v>0</v>
      </c>
      <c r="AA218" s="331"/>
      <c r="AB218" s="331"/>
      <c r="AC218" s="331"/>
      <c r="AD218" s="331"/>
      <c r="AE218" s="331"/>
      <c r="AF218" s="331"/>
      <c r="AG218" s="331"/>
      <c r="AH218" s="241">
        <f t="shared" ca="1" si="10"/>
        <v>46153</v>
      </c>
      <c r="AI218" s="272"/>
      <c r="AJ218" s="222"/>
      <c r="AK218" s="222"/>
    </row>
    <row r="219" spans="1:37" ht="23" hidden="1">
      <c r="A219" s="111">
        <v>820</v>
      </c>
      <c r="B219" s="112" t="s">
        <v>1098</v>
      </c>
      <c r="C219" s="113" t="s">
        <v>4138</v>
      </c>
      <c r="D219" s="147" t="s">
        <v>4139</v>
      </c>
      <c r="E219" s="133" t="s">
        <v>4140</v>
      </c>
      <c r="F219" s="115" t="s">
        <v>899</v>
      </c>
      <c r="G219" s="134" t="s">
        <v>901</v>
      </c>
      <c r="H219" s="117" t="s">
        <v>4141</v>
      </c>
      <c r="I219" s="117">
        <v>100.62047200000001</v>
      </c>
      <c r="J219" s="117" t="s">
        <v>4142</v>
      </c>
      <c r="K219" s="116" t="s">
        <v>970</v>
      </c>
      <c r="L219" s="121" t="s">
        <v>4143</v>
      </c>
      <c r="M219" s="121" t="s">
        <v>972</v>
      </c>
      <c r="N219" s="121" t="s">
        <v>972</v>
      </c>
      <c r="O219" s="117" t="s">
        <v>906</v>
      </c>
      <c r="P219" s="117" t="s">
        <v>4144</v>
      </c>
      <c r="Q219" s="119"/>
      <c r="R219" s="119"/>
      <c r="S219" s="119"/>
      <c r="T219" s="222"/>
      <c r="U219" s="222"/>
      <c r="V219" s="222"/>
      <c r="W219" s="230"/>
      <c r="X219" s="331">
        <f t="shared" si="11"/>
        <v>0</v>
      </c>
      <c r="Y219" s="222"/>
      <c r="Z219" s="272">
        <f t="shared" si="9"/>
        <v>0</v>
      </c>
      <c r="AA219" s="331"/>
      <c r="AB219" s="331"/>
      <c r="AC219" s="331"/>
      <c r="AD219" s="331"/>
      <c r="AE219" s="331"/>
      <c r="AF219" s="331"/>
      <c r="AG219" s="331"/>
      <c r="AH219" s="241">
        <f t="shared" ca="1" si="10"/>
        <v>46153</v>
      </c>
      <c r="AI219" s="272"/>
      <c r="AJ219" s="222"/>
      <c r="AK219" s="222"/>
    </row>
    <row r="220" spans="1:37" ht="23.25" hidden="1" customHeight="1">
      <c r="A220" s="111">
        <v>857</v>
      </c>
      <c r="B220" s="112">
        <v>5</v>
      </c>
      <c r="C220" s="122" t="s">
        <v>4224</v>
      </c>
      <c r="D220" s="147" t="s">
        <v>4225</v>
      </c>
      <c r="E220" s="123" t="s">
        <v>4226</v>
      </c>
      <c r="F220" s="115" t="s">
        <v>899</v>
      </c>
      <c r="G220" s="116" t="s">
        <v>4227</v>
      </c>
      <c r="H220" s="116">
        <v>13.773266400000001</v>
      </c>
      <c r="I220" s="116">
        <v>100.60616</v>
      </c>
      <c r="J220" s="115" t="s">
        <v>2108</v>
      </c>
      <c r="K220" s="117" t="s">
        <v>2109</v>
      </c>
      <c r="L220" s="117" t="s">
        <v>2110</v>
      </c>
      <c r="M220" s="121" t="s">
        <v>972</v>
      </c>
      <c r="N220" s="121" t="s">
        <v>972</v>
      </c>
      <c r="O220" s="120" t="s">
        <v>901</v>
      </c>
      <c r="P220" s="117" t="s">
        <v>1876</v>
      </c>
      <c r="Q220" s="125" t="s">
        <v>972</v>
      </c>
      <c r="R220" s="125" t="s">
        <v>972</v>
      </c>
      <c r="S220" s="125" t="s">
        <v>972</v>
      </c>
      <c r="T220" s="222"/>
      <c r="U220" s="222"/>
      <c r="V220" s="222"/>
      <c r="W220" s="230"/>
      <c r="X220" s="331">
        <f t="shared" si="11"/>
        <v>0</v>
      </c>
      <c r="Y220" s="222"/>
      <c r="Z220" s="272">
        <f t="shared" si="9"/>
        <v>0</v>
      </c>
      <c r="AA220" s="331"/>
      <c r="AB220" s="331"/>
      <c r="AC220" s="331"/>
      <c r="AD220" s="331"/>
      <c r="AE220" s="331"/>
      <c r="AF220" s="331"/>
      <c r="AG220" s="331"/>
      <c r="AH220" s="241">
        <f t="shared" ca="1" si="10"/>
        <v>46153</v>
      </c>
      <c r="AI220" s="272"/>
      <c r="AJ220" s="222"/>
      <c r="AK220" s="222"/>
    </row>
    <row r="221" spans="1:37" ht="23" hidden="1">
      <c r="A221" s="111">
        <v>9</v>
      </c>
      <c r="B221" s="112" t="s">
        <v>1022</v>
      </c>
      <c r="C221" s="122" t="s">
        <v>4238</v>
      </c>
      <c r="D221" s="147" t="s">
        <v>4239</v>
      </c>
      <c r="E221" s="114" t="s">
        <v>4240</v>
      </c>
      <c r="F221" s="115" t="s">
        <v>899</v>
      </c>
      <c r="G221" s="115" t="s">
        <v>900</v>
      </c>
      <c r="H221" s="116">
        <v>13.811101000000001</v>
      </c>
      <c r="I221" s="116">
        <v>100.61982</v>
      </c>
      <c r="J221" s="116" t="s">
        <v>969</v>
      </c>
      <c r="K221" s="117" t="s">
        <v>970</v>
      </c>
      <c r="L221" s="117" t="s">
        <v>4241</v>
      </c>
      <c r="M221" s="121">
        <v>96896194</v>
      </c>
      <c r="N221" s="120" t="s">
        <v>892</v>
      </c>
      <c r="O221" s="120" t="s">
        <v>906</v>
      </c>
      <c r="P221" s="121" t="s">
        <v>972</v>
      </c>
      <c r="Q221" s="125" t="s">
        <v>972</v>
      </c>
      <c r="R221" s="119"/>
      <c r="S221" s="119" t="s">
        <v>4242</v>
      </c>
      <c r="T221" s="222"/>
      <c r="U221" s="222"/>
      <c r="V221" s="222"/>
      <c r="W221" s="230"/>
      <c r="X221" s="331">
        <f t="shared" si="11"/>
        <v>0</v>
      </c>
      <c r="Y221" s="222"/>
      <c r="Z221" s="272">
        <f t="shared" si="9"/>
        <v>0</v>
      </c>
      <c r="AA221" s="331"/>
      <c r="AB221" s="331"/>
      <c r="AC221" s="331"/>
      <c r="AD221" s="331"/>
      <c r="AE221" s="331"/>
      <c r="AF221" s="331"/>
      <c r="AG221" s="331"/>
      <c r="AH221" s="241">
        <f t="shared" ca="1" si="10"/>
        <v>46153</v>
      </c>
      <c r="AI221" s="272"/>
      <c r="AJ221" s="222"/>
      <c r="AK221" s="222"/>
    </row>
    <row r="222" spans="1:37" ht="23" hidden="1">
      <c r="A222" s="111">
        <v>195</v>
      </c>
      <c r="B222" s="112">
        <v>15</v>
      </c>
      <c r="C222" s="113" t="s">
        <v>4247</v>
      </c>
      <c r="D222" s="147" t="s">
        <v>4248</v>
      </c>
      <c r="E222" s="114" t="s">
        <v>4249</v>
      </c>
      <c r="F222" s="115" t="s">
        <v>899</v>
      </c>
      <c r="G222" s="115" t="s">
        <v>929</v>
      </c>
      <c r="H222" s="116">
        <v>13.778053399999999</v>
      </c>
      <c r="I222" s="116">
        <v>100.6075446</v>
      </c>
      <c r="J222" s="115" t="s">
        <v>890</v>
      </c>
      <c r="K222" s="117" t="s">
        <v>891</v>
      </c>
      <c r="L222" s="117" t="s">
        <v>891</v>
      </c>
      <c r="M222" s="174">
        <v>97108316</v>
      </c>
      <c r="N222" s="121" t="s">
        <v>892</v>
      </c>
      <c r="O222" s="121" t="s">
        <v>906</v>
      </c>
      <c r="P222" s="117" t="s">
        <v>952</v>
      </c>
      <c r="Q222" s="125" t="s">
        <v>972</v>
      </c>
      <c r="R222" s="119"/>
      <c r="S222" s="119" t="s">
        <v>4250</v>
      </c>
      <c r="T222" s="222"/>
      <c r="U222" s="222"/>
      <c r="V222" s="222"/>
      <c r="W222" s="230"/>
      <c r="X222" s="331">
        <f t="shared" si="11"/>
        <v>0</v>
      </c>
      <c r="Y222" s="222"/>
      <c r="Z222" s="272">
        <f t="shared" si="9"/>
        <v>0</v>
      </c>
      <c r="AA222" s="331"/>
      <c r="AB222" s="331"/>
      <c r="AC222" s="331"/>
      <c r="AD222" s="331"/>
      <c r="AE222" s="331"/>
      <c r="AF222" s="331"/>
      <c r="AG222" s="331"/>
      <c r="AH222" s="241">
        <f t="shared" ca="1" si="10"/>
        <v>46153</v>
      </c>
      <c r="AI222" s="272"/>
      <c r="AJ222" s="222"/>
      <c r="AK222" s="222"/>
    </row>
    <row r="223" spans="1:37" ht="23" hidden="1">
      <c r="A223" s="111">
        <v>812</v>
      </c>
      <c r="B223" s="112">
        <v>12</v>
      </c>
      <c r="C223" s="113" t="s">
        <v>4251</v>
      </c>
      <c r="D223" s="147" t="s">
        <v>4252</v>
      </c>
      <c r="E223" s="114" t="s">
        <v>4253</v>
      </c>
      <c r="F223" s="115" t="s">
        <v>899</v>
      </c>
      <c r="G223" s="115" t="s">
        <v>995</v>
      </c>
      <c r="H223" s="116">
        <v>13.846949</v>
      </c>
      <c r="I223" s="116">
        <v>100.638492</v>
      </c>
      <c r="J223" s="116" t="s">
        <v>890</v>
      </c>
      <c r="K223" s="117" t="s">
        <v>2180</v>
      </c>
      <c r="L223" s="117" t="s">
        <v>2180</v>
      </c>
      <c r="M223" s="117">
        <v>95785943</v>
      </c>
      <c r="N223" s="117" t="s">
        <v>892</v>
      </c>
      <c r="O223" s="117" t="s">
        <v>906</v>
      </c>
      <c r="P223" s="117" t="s">
        <v>1876</v>
      </c>
      <c r="Q223" s="125" t="s">
        <v>972</v>
      </c>
      <c r="R223" s="119"/>
      <c r="S223" s="119" t="s">
        <v>895</v>
      </c>
      <c r="T223" s="222"/>
      <c r="U223" s="222"/>
      <c r="V223" s="222"/>
      <c r="W223" s="230"/>
      <c r="X223" s="331">
        <f t="shared" si="11"/>
        <v>0</v>
      </c>
      <c r="Y223" s="222"/>
      <c r="Z223" s="272">
        <f t="shared" si="9"/>
        <v>0</v>
      </c>
      <c r="AA223" s="331"/>
      <c r="AB223" s="331"/>
      <c r="AC223" s="331"/>
      <c r="AD223" s="331"/>
      <c r="AE223" s="331"/>
      <c r="AF223" s="331"/>
      <c r="AG223" s="331"/>
      <c r="AH223" s="241">
        <f t="shared" ca="1" si="10"/>
        <v>46153</v>
      </c>
      <c r="AI223" s="272"/>
      <c r="AJ223" s="222"/>
      <c r="AK223" s="222"/>
    </row>
    <row r="224" spans="1:37" ht="23" hidden="1">
      <c r="A224" s="111">
        <v>866</v>
      </c>
      <c r="B224" s="112">
        <v>12</v>
      </c>
      <c r="C224" s="113" t="s">
        <v>4257</v>
      </c>
      <c r="D224" s="147" t="s">
        <v>4258</v>
      </c>
      <c r="E224" s="114" t="s">
        <v>4259</v>
      </c>
      <c r="F224" s="115" t="s">
        <v>899</v>
      </c>
      <c r="G224" s="115" t="s">
        <v>936</v>
      </c>
      <c r="H224" s="116">
        <v>13.7539105</v>
      </c>
      <c r="I224" s="116">
        <v>100.59405219999999</v>
      </c>
      <c r="J224" s="116" t="s">
        <v>890</v>
      </c>
      <c r="K224" s="117" t="s">
        <v>891</v>
      </c>
      <c r="L224" s="118" t="s">
        <v>891</v>
      </c>
      <c r="M224" s="117">
        <v>96896577</v>
      </c>
      <c r="N224" s="120" t="s">
        <v>892</v>
      </c>
      <c r="O224" s="120" t="s">
        <v>901</v>
      </c>
      <c r="P224" s="118" t="s">
        <v>902</v>
      </c>
      <c r="Q224" s="118">
        <v>80057501</v>
      </c>
      <c r="R224" s="119"/>
      <c r="S224" s="119" t="s">
        <v>895</v>
      </c>
      <c r="T224" s="222"/>
      <c r="U224" s="222"/>
      <c r="V224" s="222"/>
      <c r="W224" s="230"/>
      <c r="X224" s="331">
        <f t="shared" si="11"/>
        <v>0</v>
      </c>
      <c r="Y224" s="222"/>
      <c r="Z224" s="272">
        <f t="shared" si="9"/>
        <v>0</v>
      </c>
      <c r="AA224" s="331"/>
      <c r="AB224" s="331"/>
      <c r="AC224" s="331"/>
      <c r="AD224" s="331"/>
      <c r="AE224" s="331"/>
      <c r="AF224" s="331"/>
      <c r="AG224" s="331"/>
      <c r="AH224" s="241">
        <f t="shared" ca="1" si="10"/>
        <v>46153</v>
      </c>
      <c r="AI224" s="272"/>
      <c r="AJ224" s="222"/>
      <c r="AK224" s="222"/>
    </row>
    <row r="225" spans="1:37" ht="23.25" hidden="1" customHeight="1">
      <c r="A225" s="111">
        <v>872</v>
      </c>
      <c r="B225" s="112">
        <v>12</v>
      </c>
      <c r="C225" s="113" t="s">
        <v>4268</v>
      </c>
      <c r="D225" s="147" t="s">
        <v>4269</v>
      </c>
      <c r="E225" s="114" t="s">
        <v>4270</v>
      </c>
      <c r="F225" s="115" t="s">
        <v>899</v>
      </c>
      <c r="G225" s="115" t="s">
        <v>900</v>
      </c>
      <c r="H225" s="116">
        <v>13.7979921</v>
      </c>
      <c r="I225" s="116">
        <v>100.6136746</v>
      </c>
      <c r="J225" s="115" t="s">
        <v>2108</v>
      </c>
      <c r="K225" s="117" t="s">
        <v>2109</v>
      </c>
      <c r="L225" s="117" t="s">
        <v>2110</v>
      </c>
      <c r="M225" s="121" t="s">
        <v>972</v>
      </c>
      <c r="N225" s="121" t="s">
        <v>972</v>
      </c>
      <c r="O225" s="121" t="s">
        <v>901</v>
      </c>
      <c r="P225" s="117" t="s">
        <v>1876</v>
      </c>
      <c r="Q225" s="125" t="s">
        <v>972</v>
      </c>
      <c r="R225" s="125" t="s">
        <v>972</v>
      </c>
      <c r="S225" s="125" t="s">
        <v>972</v>
      </c>
      <c r="T225" s="222"/>
      <c r="U225" s="222"/>
      <c r="V225" s="222"/>
      <c r="W225" s="230"/>
      <c r="X225" s="331">
        <f t="shared" si="11"/>
        <v>0</v>
      </c>
      <c r="Y225" s="222"/>
      <c r="Z225" s="272">
        <f t="shared" si="9"/>
        <v>0</v>
      </c>
      <c r="AA225" s="331"/>
      <c r="AB225" s="331"/>
      <c r="AC225" s="331"/>
      <c r="AD225" s="331"/>
      <c r="AE225" s="331"/>
      <c r="AF225" s="331"/>
      <c r="AG225" s="331"/>
      <c r="AH225" s="241">
        <f t="shared" ca="1" si="10"/>
        <v>46153</v>
      </c>
      <c r="AI225" s="272"/>
      <c r="AJ225" s="222"/>
      <c r="AK225" s="222"/>
    </row>
    <row r="226" spans="1:37" ht="27" hidden="1">
      <c r="A226" s="111">
        <v>876</v>
      </c>
      <c r="B226" s="112" t="s">
        <v>1098</v>
      </c>
      <c r="C226" s="113" t="s">
        <v>4278</v>
      </c>
      <c r="D226" s="147" t="s">
        <v>4279</v>
      </c>
      <c r="E226" s="157" t="s">
        <v>5318</v>
      </c>
      <c r="F226" s="115" t="s">
        <v>899</v>
      </c>
      <c r="G226" s="134" t="s">
        <v>901</v>
      </c>
      <c r="H226" s="137" t="s">
        <v>4280</v>
      </c>
      <c r="I226" s="117">
        <v>100.61876100000001</v>
      </c>
      <c r="J226" s="117" t="s">
        <v>4142</v>
      </c>
      <c r="K226" s="116" t="s">
        <v>970</v>
      </c>
      <c r="L226" s="121" t="s">
        <v>4281</v>
      </c>
      <c r="M226" s="121" t="s">
        <v>972</v>
      </c>
      <c r="N226" s="121" t="s">
        <v>972</v>
      </c>
      <c r="O226" s="117" t="s">
        <v>906</v>
      </c>
      <c r="P226" s="117" t="s">
        <v>902</v>
      </c>
      <c r="Q226" s="119"/>
      <c r="R226" s="119"/>
      <c r="S226" s="119"/>
      <c r="T226" s="222"/>
      <c r="U226" s="222"/>
      <c r="V226" s="222"/>
      <c r="W226" s="230"/>
      <c r="X226" s="331">
        <f t="shared" si="11"/>
        <v>0</v>
      </c>
      <c r="Y226" s="222"/>
      <c r="Z226" s="272">
        <f t="shared" si="9"/>
        <v>0</v>
      </c>
      <c r="AA226" s="331"/>
      <c r="AB226" s="331"/>
      <c r="AC226" s="331"/>
      <c r="AD226" s="331"/>
      <c r="AE226" s="331"/>
      <c r="AF226" s="331"/>
      <c r="AG226" s="331"/>
      <c r="AH226" s="241">
        <f t="shared" ca="1" si="10"/>
        <v>46153</v>
      </c>
      <c r="AI226" s="272"/>
      <c r="AJ226" s="222"/>
      <c r="AK226" s="222"/>
    </row>
    <row r="227" spans="1:37" ht="23.25" hidden="1" customHeight="1">
      <c r="A227" s="111">
        <v>880</v>
      </c>
      <c r="B227" s="112">
        <v>13</v>
      </c>
      <c r="C227" s="113" t="s">
        <v>4293</v>
      </c>
      <c r="D227" s="147" t="s">
        <v>4294</v>
      </c>
      <c r="E227" s="114" t="s">
        <v>4295</v>
      </c>
      <c r="F227" s="115" t="s">
        <v>899</v>
      </c>
      <c r="G227" s="115" t="s">
        <v>900</v>
      </c>
      <c r="H227" s="116">
        <v>13.823306000000001</v>
      </c>
      <c r="I227" s="116">
        <v>100.62672600000001</v>
      </c>
      <c r="J227" s="115" t="s">
        <v>2108</v>
      </c>
      <c r="K227" s="117" t="s">
        <v>2109</v>
      </c>
      <c r="L227" s="117" t="s">
        <v>2110</v>
      </c>
      <c r="M227" s="121" t="s">
        <v>972</v>
      </c>
      <c r="N227" s="121" t="s">
        <v>972</v>
      </c>
      <c r="O227" s="121" t="s">
        <v>906</v>
      </c>
      <c r="P227" s="136" t="s">
        <v>902</v>
      </c>
      <c r="Q227" s="125" t="s">
        <v>972</v>
      </c>
      <c r="R227" s="125" t="s">
        <v>972</v>
      </c>
      <c r="S227" s="125" t="s">
        <v>972</v>
      </c>
      <c r="T227" s="222"/>
      <c r="U227" s="222"/>
      <c r="V227" s="222"/>
      <c r="W227" s="230"/>
      <c r="X227" s="331">
        <f t="shared" si="11"/>
        <v>0</v>
      </c>
      <c r="Y227" s="222"/>
      <c r="Z227" s="272">
        <f t="shared" si="9"/>
        <v>0</v>
      </c>
      <c r="AA227" s="331"/>
      <c r="AB227" s="331"/>
      <c r="AC227" s="331"/>
      <c r="AD227" s="331"/>
      <c r="AE227" s="331"/>
      <c r="AF227" s="331"/>
      <c r="AG227" s="331"/>
      <c r="AH227" s="241">
        <f t="shared" ca="1" si="10"/>
        <v>46153</v>
      </c>
      <c r="AI227" s="272"/>
      <c r="AJ227" s="222"/>
      <c r="AK227" s="222"/>
    </row>
    <row r="228" spans="1:37" ht="23.25" hidden="1" customHeight="1">
      <c r="A228" s="111">
        <v>887</v>
      </c>
      <c r="B228" s="112" t="s">
        <v>1098</v>
      </c>
      <c r="C228" s="122" t="s">
        <v>4310</v>
      </c>
      <c r="D228" s="147" t="s">
        <v>4311</v>
      </c>
      <c r="E228" s="123" t="s">
        <v>4312</v>
      </c>
      <c r="F228" s="115" t="s">
        <v>899</v>
      </c>
      <c r="G228" s="116" t="s">
        <v>900</v>
      </c>
      <c r="H228" s="116">
        <v>13.810238999999999</v>
      </c>
      <c r="I228" s="116">
        <v>100.61988700000001</v>
      </c>
      <c r="J228" s="115" t="s">
        <v>2108</v>
      </c>
      <c r="K228" s="117" t="s">
        <v>2109</v>
      </c>
      <c r="L228" s="117" t="s">
        <v>2110</v>
      </c>
      <c r="M228" s="121" t="s">
        <v>972</v>
      </c>
      <c r="N228" s="121" t="s">
        <v>972</v>
      </c>
      <c r="O228" s="121" t="s">
        <v>906</v>
      </c>
      <c r="P228" s="117" t="s">
        <v>902</v>
      </c>
      <c r="Q228" s="125" t="s">
        <v>972</v>
      </c>
      <c r="R228" s="125" t="s">
        <v>972</v>
      </c>
      <c r="S228" s="125" t="s">
        <v>972</v>
      </c>
      <c r="T228" s="222"/>
      <c r="U228" s="222"/>
      <c r="V228" s="222"/>
      <c r="W228" s="230"/>
      <c r="X228" s="331">
        <f t="shared" si="11"/>
        <v>0</v>
      </c>
      <c r="Y228" s="222"/>
      <c r="Z228" s="272">
        <f t="shared" si="9"/>
        <v>0</v>
      </c>
      <c r="AA228" s="331"/>
      <c r="AB228" s="331"/>
      <c r="AC228" s="331"/>
      <c r="AD228" s="331"/>
      <c r="AE228" s="331"/>
      <c r="AF228" s="331"/>
      <c r="AG228" s="331"/>
      <c r="AH228" s="241">
        <f t="shared" ca="1" si="10"/>
        <v>46153</v>
      </c>
      <c r="AI228" s="272"/>
      <c r="AJ228" s="222"/>
      <c r="AK228" s="222"/>
    </row>
    <row r="229" spans="1:37" ht="27" hidden="1">
      <c r="A229" s="111">
        <v>890</v>
      </c>
      <c r="B229" s="112" t="s">
        <v>1098</v>
      </c>
      <c r="C229" s="113" t="s">
        <v>4317</v>
      </c>
      <c r="D229" s="147" t="s">
        <v>4272</v>
      </c>
      <c r="E229" s="133" t="s">
        <v>4318</v>
      </c>
      <c r="F229" s="115" t="s">
        <v>899</v>
      </c>
      <c r="G229" s="134" t="s">
        <v>901</v>
      </c>
      <c r="H229" s="137" t="s">
        <v>4319</v>
      </c>
      <c r="I229" s="117">
        <v>100.619157</v>
      </c>
      <c r="J229" s="117" t="s">
        <v>4142</v>
      </c>
      <c r="K229" s="116" t="s">
        <v>970</v>
      </c>
      <c r="L229" s="121" t="s">
        <v>4281</v>
      </c>
      <c r="M229" s="121" t="s">
        <v>972</v>
      </c>
      <c r="N229" s="121" t="s">
        <v>972</v>
      </c>
      <c r="O229" s="117" t="s">
        <v>906</v>
      </c>
      <c r="P229" s="117" t="s">
        <v>902</v>
      </c>
      <c r="Q229" s="119"/>
      <c r="R229" s="119"/>
      <c r="S229" s="119"/>
      <c r="T229" s="222"/>
      <c r="U229" s="222"/>
      <c r="V229" s="222"/>
      <c r="W229" s="230"/>
      <c r="X229" s="331">
        <f t="shared" si="11"/>
        <v>0</v>
      </c>
      <c r="Y229" s="222"/>
      <c r="Z229" s="272">
        <f t="shared" si="9"/>
        <v>0</v>
      </c>
      <c r="AA229" s="331"/>
      <c r="AB229" s="331"/>
      <c r="AC229" s="331"/>
      <c r="AD229" s="331"/>
      <c r="AE229" s="331"/>
      <c r="AF229" s="331"/>
      <c r="AG229" s="331"/>
      <c r="AH229" s="241">
        <f t="shared" ca="1" si="10"/>
        <v>46153</v>
      </c>
      <c r="AI229" s="272"/>
      <c r="AJ229" s="222"/>
      <c r="AK229" s="222"/>
    </row>
    <row r="230" spans="1:37" ht="23.25" hidden="1" customHeight="1">
      <c r="A230" s="111">
        <v>891</v>
      </c>
      <c r="B230" s="112">
        <v>10</v>
      </c>
      <c r="C230" s="113" t="s">
        <v>4320</v>
      </c>
      <c r="D230" s="147" t="s">
        <v>4321</v>
      </c>
      <c r="E230" s="114" t="s">
        <v>4322</v>
      </c>
      <c r="F230" s="115" t="s">
        <v>899</v>
      </c>
      <c r="G230" s="115" t="s">
        <v>929</v>
      </c>
      <c r="H230" s="116">
        <v>13.780063</v>
      </c>
      <c r="I230" s="116">
        <v>100.60777</v>
      </c>
      <c r="J230" s="115" t="s">
        <v>2108</v>
      </c>
      <c r="K230" s="117" t="s">
        <v>2109</v>
      </c>
      <c r="L230" s="117" t="s">
        <v>2110</v>
      </c>
      <c r="M230" s="121" t="s">
        <v>972</v>
      </c>
      <c r="N230" s="121" t="s">
        <v>972</v>
      </c>
      <c r="O230" s="121" t="s">
        <v>901</v>
      </c>
      <c r="P230" s="117" t="s">
        <v>1876</v>
      </c>
      <c r="Q230" s="125" t="s">
        <v>972</v>
      </c>
      <c r="R230" s="125" t="s">
        <v>972</v>
      </c>
      <c r="S230" s="125" t="s">
        <v>972</v>
      </c>
      <c r="T230" s="222"/>
      <c r="U230" s="222"/>
      <c r="V230" s="222"/>
      <c r="W230" s="230"/>
      <c r="X230" s="331">
        <f t="shared" si="11"/>
        <v>0</v>
      </c>
      <c r="Y230" s="222"/>
      <c r="Z230" s="272">
        <f t="shared" si="9"/>
        <v>0</v>
      </c>
      <c r="AA230" s="331"/>
      <c r="AB230" s="331"/>
      <c r="AC230" s="331"/>
      <c r="AD230" s="331"/>
      <c r="AE230" s="331"/>
      <c r="AF230" s="331"/>
      <c r="AG230" s="331"/>
      <c r="AH230" s="241">
        <f t="shared" ca="1" si="10"/>
        <v>46153</v>
      </c>
      <c r="AI230" s="272"/>
      <c r="AJ230" s="222"/>
      <c r="AK230" s="222"/>
    </row>
    <row r="231" spans="1:37" ht="23.25" hidden="1" customHeight="1">
      <c r="A231" s="111">
        <v>893</v>
      </c>
      <c r="B231" s="112">
        <v>9</v>
      </c>
      <c r="C231" s="113" t="s">
        <v>4326</v>
      </c>
      <c r="D231" s="147" t="s">
        <v>4327</v>
      </c>
      <c r="E231" s="114" t="s">
        <v>5319</v>
      </c>
      <c r="F231" s="115" t="s">
        <v>899</v>
      </c>
      <c r="G231" s="115" t="s">
        <v>929</v>
      </c>
      <c r="H231" s="116">
        <v>13.7780893</v>
      </c>
      <c r="I231" s="116">
        <v>100.6070378</v>
      </c>
      <c r="J231" s="115" t="s">
        <v>2108</v>
      </c>
      <c r="K231" s="117" t="s">
        <v>2109</v>
      </c>
      <c r="L231" s="117" t="s">
        <v>2110</v>
      </c>
      <c r="M231" s="301" t="s">
        <v>972</v>
      </c>
      <c r="N231" s="301" t="s">
        <v>972</v>
      </c>
      <c r="O231" s="301" t="s">
        <v>901</v>
      </c>
      <c r="P231" s="300" t="s">
        <v>1876</v>
      </c>
      <c r="Q231" s="355" t="s">
        <v>972</v>
      </c>
      <c r="R231" s="355" t="s">
        <v>972</v>
      </c>
      <c r="S231" s="355" t="s">
        <v>972</v>
      </c>
      <c r="T231" s="316" t="s">
        <v>5178</v>
      </c>
      <c r="U231" s="316" t="s">
        <v>5294</v>
      </c>
      <c r="V231" s="317">
        <v>45166</v>
      </c>
      <c r="W231" s="552"/>
      <c r="X231" s="331">
        <f t="shared" si="11"/>
        <v>45166</v>
      </c>
      <c r="Y231" s="316"/>
      <c r="Z231" s="318" t="e">
        <f t="shared" si="9"/>
        <v>#NUM!</v>
      </c>
      <c r="AA231" s="331"/>
      <c r="AB231" s="331"/>
      <c r="AC231" s="331"/>
      <c r="AD231" s="331"/>
      <c r="AE231" s="331"/>
      <c r="AF231" s="331"/>
      <c r="AG231" s="331"/>
      <c r="AH231" s="317">
        <f t="shared" ca="1" si="10"/>
        <v>46153</v>
      </c>
      <c r="AI231" s="318"/>
      <c r="AJ231" s="316"/>
      <c r="AK231" s="316"/>
    </row>
    <row r="232" spans="1:37" ht="23.25" hidden="1" customHeight="1">
      <c r="A232" s="111">
        <v>898</v>
      </c>
      <c r="B232" s="112">
        <v>7</v>
      </c>
      <c r="C232" s="113" t="s">
        <v>4344</v>
      </c>
      <c r="D232" s="147" t="s">
        <v>4345</v>
      </c>
      <c r="E232" s="114" t="s">
        <v>4346</v>
      </c>
      <c r="F232" s="115" t="s">
        <v>899</v>
      </c>
      <c r="G232" s="115" t="s">
        <v>929</v>
      </c>
      <c r="H232" s="116">
        <v>13.790718</v>
      </c>
      <c r="I232" s="116">
        <v>100.610859</v>
      </c>
      <c r="J232" s="115" t="s">
        <v>2108</v>
      </c>
      <c r="K232" s="117" t="s">
        <v>2109</v>
      </c>
      <c r="L232" s="117" t="s">
        <v>2110</v>
      </c>
      <c r="M232" s="121" t="s">
        <v>972</v>
      </c>
      <c r="N232" s="121" t="s">
        <v>972</v>
      </c>
      <c r="O232" s="121" t="s">
        <v>906</v>
      </c>
      <c r="P232" s="117" t="s">
        <v>902</v>
      </c>
      <c r="Q232" s="125" t="s">
        <v>972</v>
      </c>
      <c r="R232" s="130" t="s">
        <v>972</v>
      </c>
      <c r="S232" s="125" t="s">
        <v>972</v>
      </c>
      <c r="T232" s="222"/>
      <c r="U232" s="222"/>
      <c r="V232" s="222"/>
      <c r="W232" s="230"/>
      <c r="X232" s="331">
        <f t="shared" si="11"/>
        <v>0</v>
      </c>
      <c r="Y232" s="222"/>
      <c r="Z232" s="272">
        <f t="shared" si="9"/>
        <v>0</v>
      </c>
      <c r="AA232" s="331"/>
      <c r="AB232" s="331"/>
      <c r="AC232" s="331"/>
      <c r="AD232" s="331"/>
      <c r="AE232" s="331"/>
      <c r="AF232" s="331"/>
      <c r="AG232" s="331"/>
      <c r="AH232" s="241">
        <f t="shared" ca="1" si="10"/>
        <v>46153</v>
      </c>
      <c r="AI232" s="272"/>
      <c r="AJ232" s="222"/>
      <c r="AK232" s="222"/>
    </row>
    <row r="233" spans="1:37" ht="23.25" hidden="1" customHeight="1">
      <c r="A233" s="111">
        <v>991</v>
      </c>
      <c r="B233" s="112" t="s">
        <v>1098</v>
      </c>
      <c r="C233" s="113" t="s">
        <v>4598</v>
      </c>
      <c r="D233" s="147" t="s">
        <v>4599</v>
      </c>
      <c r="E233" s="114" t="s">
        <v>4600</v>
      </c>
      <c r="F233" s="115" t="s">
        <v>899</v>
      </c>
      <c r="G233" s="115" t="s">
        <v>929</v>
      </c>
      <c r="H233" s="115">
        <v>13.771601</v>
      </c>
      <c r="I233" s="115">
        <v>100.60679</v>
      </c>
      <c r="J233" s="115" t="s">
        <v>2097</v>
      </c>
      <c r="K233" s="117" t="s">
        <v>2097</v>
      </c>
      <c r="L233" s="116" t="s">
        <v>4601</v>
      </c>
      <c r="M233" s="121" t="s">
        <v>972</v>
      </c>
      <c r="N233" s="121" t="s">
        <v>972</v>
      </c>
      <c r="O233" s="117" t="s">
        <v>906</v>
      </c>
      <c r="P233" s="117" t="s">
        <v>1876</v>
      </c>
      <c r="Q233" s="125" t="s">
        <v>972</v>
      </c>
      <c r="R233" s="125" t="s">
        <v>972</v>
      </c>
      <c r="S233" s="125" t="s">
        <v>972</v>
      </c>
      <c r="T233" s="222"/>
      <c r="U233" s="222"/>
      <c r="V233" s="222"/>
      <c r="W233" s="230"/>
      <c r="X233" s="331">
        <f t="shared" si="11"/>
        <v>0</v>
      </c>
      <c r="Y233" s="222"/>
      <c r="Z233" s="272">
        <f t="shared" si="9"/>
        <v>0</v>
      </c>
      <c r="AA233" s="331"/>
      <c r="AB233" s="331"/>
      <c r="AC233" s="331"/>
      <c r="AD233" s="331"/>
      <c r="AE233" s="331"/>
      <c r="AF233" s="331"/>
      <c r="AG233" s="331"/>
      <c r="AH233" s="241">
        <f t="shared" ca="1" si="10"/>
        <v>46153</v>
      </c>
      <c r="AI233" s="272"/>
      <c r="AJ233" s="222"/>
      <c r="AK233" s="222"/>
    </row>
    <row r="234" spans="1:37" ht="23.25" hidden="1" customHeight="1">
      <c r="A234" s="111">
        <v>1016</v>
      </c>
      <c r="B234" s="112">
        <v>16</v>
      </c>
      <c r="C234" s="113" t="s">
        <v>4644</v>
      </c>
      <c r="D234" s="147" t="s">
        <v>4645</v>
      </c>
      <c r="E234" s="114" t="s">
        <v>4646</v>
      </c>
      <c r="F234" s="115" t="s">
        <v>899</v>
      </c>
      <c r="G234" s="115" t="s">
        <v>929</v>
      </c>
      <c r="H234" s="116">
        <v>13.7683217</v>
      </c>
      <c r="I234" s="116">
        <v>100.6034549</v>
      </c>
      <c r="J234" s="115" t="s">
        <v>2108</v>
      </c>
      <c r="K234" s="117" t="s">
        <v>2109</v>
      </c>
      <c r="L234" s="117" t="s">
        <v>2110</v>
      </c>
      <c r="M234" s="301" t="s">
        <v>972</v>
      </c>
      <c r="N234" s="301" t="s">
        <v>972</v>
      </c>
      <c r="O234" s="301" t="s">
        <v>901</v>
      </c>
      <c r="P234" s="300" t="s">
        <v>1876</v>
      </c>
      <c r="Q234" s="355" t="s">
        <v>972</v>
      </c>
      <c r="R234" s="355" t="s">
        <v>972</v>
      </c>
      <c r="S234" s="355" t="s">
        <v>972</v>
      </c>
      <c r="T234" s="316" t="s">
        <v>5178</v>
      </c>
      <c r="U234" s="316"/>
      <c r="V234" s="317">
        <v>45166</v>
      </c>
      <c r="W234" s="552"/>
      <c r="X234" s="331">
        <f t="shared" si="11"/>
        <v>45166</v>
      </c>
      <c r="Y234" s="316"/>
      <c r="Z234" s="318" t="e">
        <f t="shared" si="9"/>
        <v>#NUM!</v>
      </c>
      <c r="AA234" s="331"/>
      <c r="AB234" s="331"/>
      <c r="AC234" s="331"/>
      <c r="AD234" s="331"/>
      <c r="AE234" s="331"/>
      <c r="AF234" s="331"/>
      <c r="AG234" s="331"/>
      <c r="AH234" s="317">
        <f t="shared" ca="1" si="10"/>
        <v>46153</v>
      </c>
      <c r="AI234" s="318"/>
      <c r="AJ234" s="316"/>
      <c r="AK234" s="316"/>
    </row>
    <row r="235" spans="1:37" ht="23.25" hidden="1" customHeight="1">
      <c r="A235" s="111">
        <v>1191</v>
      </c>
      <c r="B235" s="531" t="s">
        <v>1818</v>
      </c>
      <c r="C235" s="532" t="s">
        <v>5159</v>
      </c>
      <c r="D235" s="532" t="s">
        <v>5160</v>
      </c>
      <c r="E235" s="533" t="s">
        <v>5167</v>
      </c>
      <c r="F235" s="532" t="s">
        <v>899</v>
      </c>
      <c r="G235" s="534" t="s">
        <v>936</v>
      </c>
      <c r="H235" s="532">
        <v>13.749667799999999</v>
      </c>
      <c r="I235" s="532">
        <v>100.5926006</v>
      </c>
      <c r="J235" s="305"/>
      <c r="K235" s="305"/>
      <c r="L235" s="305"/>
      <c r="M235" s="222"/>
      <c r="N235" s="222"/>
      <c r="O235" s="222"/>
      <c r="P235" s="222"/>
      <c r="Q235" s="222"/>
      <c r="R235" s="222"/>
      <c r="S235" s="222"/>
      <c r="T235" s="222"/>
      <c r="U235" s="222"/>
      <c r="V235" s="222"/>
      <c r="W235" s="230"/>
      <c r="X235" s="331">
        <f t="shared" si="11"/>
        <v>0</v>
      </c>
      <c r="Y235" s="222"/>
      <c r="Z235" s="272">
        <f t="shared" si="9"/>
        <v>0</v>
      </c>
      <c r="AA235" s="331"/>
      <c r="AB235" s="331"/>
      <c r="AC235" s="331"/>
      <c r="AD235" s="331"/>
      <c r="AE235" s="331"/>
      <c r="AF235" s="331"/>
      <c r="AG235" s="331"/>
      <c r="AH235" s="241">
        <f t="shared" ca="1" si="10"/>
        <v>46153</v>
      </c>
      <c r="AI235" s="272"/>
      <c r="AJ235" s="222"/>
      <c r="AK235" s="222"/>
    </row>
    <row r="236" spans="1:37" ht="23" hidden="1">
      <c r="A236" s="111">
        <v>409</v>
      </c>
      <c r="B236" s="112" t="s">
        <v>1071</v>
      </c>
      <c r="C236" s="122" t="s">
        <v>1367</v>
      </c>
      <c r="D236" s="147" t="s">
        <v>1368</v>
      </c>
      <c r="E236" s="132" t="s">
        <v>1369</v>
      </c>
      <c r="F236" s="116" t="s">
        <v>983</v>
      </c>
      <c r="G236" s="116" t="s">
        <v>990</v>
      </c>
      <c r="H236" s="117">
        <v>13.7448026</v>
      </c>
      <c r="I236" s="117">
        <v>100.5306248</v>
      </c>
      <c r="J236" s="121" t="s">
        <v>890</v>
      </c>
      <c r="K236" s="121" t="s">
        <v>891</v>
      </c>
      <c r="L236" s="121" t="s">
        <v>891</v>
      </c>
      <c r="M236" s="124">
        <v>96890820</v>
      </c>
      <c r="N236" s="121" t="s">
        <v>1050</v>
      </c>
      <c r="O236" s="121"/>
      <c r="P236" s="127" t="s">
        <v>1076</v>
      </c>
      <c r="Q236" s="118">
        <v>80057501</v>
      </c>
      <c r="R236" s="119" t="s">
        <v>895</v>
      </c>
      <c r="S236" s="138" t="s">
        <v>895</v>
      </c>
      <c r="T236" s="222"/>
      <c r="U236" s="222"/>
      <c r="V236" s="222"/>
      <c r="W236" s="230"/>
      <c r="X236" s="331">
        <f t="shared" si="11"/>
        <v>0</v>
      </c>
      <c r="Y236" s="222"/>
      <c r="Z236" s="272">
        <f t="shared" si="9"/>
        <v>0</v>
      </c>
      <c r="AA236" s="331"/>
      <c r="AB236" s="331"/>
      <c r="AC236" s="331"/>
      <c r="AD236" s="331"/>
      <c r="AE236" s="331"/>
      <c r="AF236" s="331"/>
      <c r="AG236" s="331"/>
      <c r="AH236" s="241">
        <f t="shared" ca="1" si="10"/>
        <v>46153</v>
      </c>
      <c r="AI236" s="272"/>
      <c r="AJ236" s="222"/>
      <c r="AK236" s="222"/>
    </row>
    <row r="237" spans="1:37" ht="23.25" hidden="1" customHeight="1">
      <c r="A237" s="111">
        <v>90</v>
      </c>
      <c r="B237" s="112">
        <v>6</v>
      </c>
      <c r="C237" s="113" t="s">
        <v>2334</v>
      </c>
      <c r="D237" s="147" t="s">
        <v>2335</v>
      </c>
      <c r="E237" s="114" t="s">
        <v>5345</v>
      </c>
      <c r="F237" s="115" t="s">
        <v>983</v>
      </c>
      <c r="G237" s="115" t="s">
        <v>990</v>
      </c>
      <c r="H237" s="116">
        <v>13.7404753</v>
      </c>
      <c r="I237" s="155">
        <v>100.5299833</v>
      </c>
      <c r="J237" s="116" t="s">
        <v>969</v>
      </c>
      <c r="K237" s="115" t="s">
        <v>1048</v>
      </c>
      <c r="L237" s="117" t="s">
        <v>5346</v>
      </c>
      <c r="M237" s="121">
        <v>96937605</v>
      </c>
      <c r="N237" s="121" t="s">
        <v>1050</v>
      </c>
      <c r="O237" s="121" t="s">
        <v>984</v>
      </c>
      <c r="P237" s="121" t="s">
        <v>972</v>
      </c>
      <c r="Q237" s="125" t="s">
        <v>972</v>
      </c>
      <c r="R237" s="125" t="s">
        <v>972</v>
      </c>
      <c r="S237" s="125" t="s">
        <v>972</v>
      </c>
      <c r="T237" s="222"/>
      <c r="U237" s="222"/>
      <c r="V237" s="222"/>
      <c r="W237" s="230"/>
      <c r="X237" s="331">
        <f t="shared" si="11"/>
        <v>0</v>
      </c>
      <c r="Y237" s="222"/>
      <c r="Z237" s="272">
        <f t="shared" si="9"/>
        <v>0</v>
      </c>
      <c r="AA237" s="331"/>
      <c r="AB237" s="331"/>
      <c r="AC237" s="331"/>
      <c r="AD237" s="331"/>
      <c r="AE237" s="331"/>
      <c r="AF237" s="331"/>
      <c r="AG237" s="331"/>
      <c r="AH237" s="241">
        <f t="shared" ca="1" si="10"/>
        <v>46153</v>
      </c>
      <c r="AI237" s="272"/>
      <c r="AJ237" s="222"/>
      <c r="AK237" s="222"/>
    </row>
    <row r="238" spans="1:37" ht="23.25" hidden="1" customHeight="1">
      <c r="A238" s="111">
        <v>111</v>
      </c>
      <c r="B238" s="112" t="s">
        <v>1013</v>
      </c>
      <c r="C238" s="113" t="s">
        <v>2377</v>
      </c>
      <c r="D238" s="147" t="s">
        <v>2378</v>
      </c>
      <c r="E238" s="114" t="s">
        <v>2379</v>
      </c>
      <c r="F238" s="115" t="s">
        <v>983</v>
      </c>
      <c r="G238" s="115" t="s">
        <v>990</v>
      </c>
      <c r="H238" s="116">
        <v>13.736058</v>
      </c>
      <c r="I238" s="116">
        <v>100.52934399999999</v>
      </c>
      <c r="J238" s="116" t="s">
        <v>969</v>
      </c>
      <c r="K238" s="115" t="s">
        <v>1048</v>
      </c>
      <c r="L238" s="117" t="s">
        <v>2380</v>
      </c>
      <c r="M238" s="117">
        <v>96937607</v>
      </c>
      <c r="N238" s="121" t="s">
        <v>1050</v>
      </c>
      <c r="O238" s="121" t="s">
        <v>984</v>
      </c>
      <c r="P238" s="117" t="s">
        <v>952</v>
      </c>
      <c r="Q238" s="125" t="s">
        <v>972</v>
      </c>
      <c r="R238" s="125" t="s">
        <v>972</v>
      </c>
      <c r="S238" s="125" t="s">
        <v>972</v>
      </c>
      <c r="T238" s="222"/>
      <c r="U238" s="222"/>
      <c r="V238" s="222"/>
      <c r="W238" s="230"/>
      <c r="X238" s="331">
        <f t="shared" si="11"/>
        <v>0</v>
      </c>
      <c r="Y238" s="222"/>
      <c r="Z238" s="272">
        <f t="shared" si="9"/>
        <v>0</v>
      </c>
      <c r="AA238" s="331"/>
      <c r="AB238" s="331"/>
      <c r="AC238" s="331"/>
      <c r="AD238" s="331"/>
      <c r="AE238" s="331"/>
      <c r="AF238" s="331"/>
      <c r="AG238" s="331"/>
      <c r="AH238" s="241">
        <f t="shared" ca="1" si="10"/>
        <v>46153</v>
      </c>
      <c r="AI238" s="272"/>
      <c r="AJ238" s="222"/>
      <c r="AK238" s="222"/>
    </row>
    <row r="239" spans="1:37" ht="23" hidden="1">
      <c r="A239" s="111">
        <v>120</v>
      </c>
      <c r="B239" s="112" t="s">
        <v>1553</v>
      </c>
      <c r="C239" s="122" t="s">
        <v>2404</v>
      </c>
      <c r="D239" s="147" t="s">
        <v>2405</v>
      </c>
      <c r="E239" s="114" t="s">
        <v>2406</v>
      </c>
      <c r="F239" s="115" t="s">
        <v>983</v>
      </c>
      <c r="G239" s="115" t="s">
        <v>990</v>
      </c>
      <c r="H239" s="116">
        <v>13.734352400000001</v>
      </c>
      <c r="I239" s="116">
        <v>100.5290967</v>
      </c>
      <c r="J239" s="116" t="s">
        <v>969</v>
      </c>
      <c r="K239" s="115" t="s">
        <v>1048</v>
      </c>
      <c r="L239" s="117" t="s">
        <v>2407</v>
      </c>
      <c r="M239" s="117">
        <v>96950744</v>
      </c>
      <c r="N239" s="121" t="s">
        <v>1050</v>
      </c>
      <c r="O239" s="121" t="s">
        <v>984</v>
      </c>
      <c r="P239" s="117" t="s">
        <v>952</v>
      </c>
      <c r="Q239" s="125" t="s">
        <v>972</v>
      </c>
      <c r="R239" s="125" t="s">
        <v>972</v>
      </c>
      <c r="S239" s="125" t="s">
        <v>972</v>
      </c>
      <c r="T239" s="222"/>
      <c r="U239" s="222"/>
      <c r="V239" s="222"/>
      <c r="W239" s="230"/>
      <c r="X239" s="331">
        <f t="shared" si="11"/>
        <v>0</v>
      </c>
      <c r="Y239" s="222"/>
      <c r="Z239" s="272">
        <f t="shared" si="9"/>
        <v>0</v>
      </c>
      <c r="AA239" s="331"/>
      <c r="AB239" s="331"/>
      <c r="AC239" s="331"/>
      <c r="AD239" s="331"/>
      <c r="AE239" s="331"/>
      <c r="AF239" s="331"/>
      <c r="AG239" s="331"/>
      <c r="AH239" s="241">
        <f t="shared" ca="1" si="10"/>
        <v>46153</v>
      </c>
      <c r="AI239" s="272"/>
      <c r="AJ239" s="222"/>
      <c r="AK239" s="222"/>
    </row>
    <row r="240" spans="1:37" ht="23.25" hidden="1" customHeight="1">
      <c r="A240" s="111">
        <v>130</v>
      </c>
      <c r="B240" s="112">
        <v>16</v>
      </c>
      <c r="C240" s="122" t="s">
        <v>2436</v>
      </c>
      <c r="D240" s="147" t="s">
        <v>2437</v>
      </c>
      <c r="E240" s="123" t="s">
        <v>2438</v>
      </c>
      <c r="F240" s="116" t="s">
        <v>983</v>
      </c>
      <c r="G240" s="116" t="s">
        <v>957</v>
      </c>
      <c r="H240" s="116">
        <v>13.7597197</v>
      </c>
      <c r="I240" s="116">
        <v>100.5355223</v>
      </c>
      <c r="J240" s="116" t="s">
        <v>969</v>
      </c>
      <c r="K240" s="116" t="s">
        <v>970</v>
      </c>
      <c r="L240" s="117" t="s">
        <v>2439</v>
      </c>
      <c r="M240" s="121">
        <v>96939658</v>
      </c>
      <c r="N240" s="121" t="s">
        <v>1050</v>
      </c>
      <c r="O240" s="121" t="s">
        <v>958</v>
      </c>
      <c r="P240" s="117" t="s">
        <v>952</v>
      </c>
      <c r="Q240" s="125" t="s">
        <v>972</v>
      </c>
      <c r="R240" s="125" t="s">
        <v>972</v>
      </c>
      <c r="S240" s="125" t="s">
        <v>972</v>
      </c>
      <c r="T240" s="222"/>
      <c r="U240" s="222"/>
      <c r="V240" s="222"/>
      <c r="W240" s="230"/>
      <c r="X240" s="331">
        <f t="shared" si="11"/>
        <v>0</v>
      </c>
      <c r="Y240" s="222"/>
      <c r="Z240" s="272">
        <f t="shared" si="9"/>
        <v>0</v>
      </c>
      <c r="AA240" s="331"/>
      <c r="AB240" s="331"/>
      <c r="AC240" s="331"/>
      <c r="AD240" s="331"/>
      <c r="AE240" s="331"/>
      <c r="AF240" s="331"/>
      <c r="AG240" s="331"/>
      <c r="AH240" s="241">
        <f t="shared" ca="1" si="10"/>
        <v>46153</v>
      </c>
      <c r="AI240" s="272"/>
      <c r="AJ240" s="222"/>
      <c r="AK240" s="222"/>
    </row>
    <row r="241" spans="1:37" ht="23.25" hidden="1" customHeight="1">
      <c r="A241" s="111">
        <v>133</v>
      </c>
      <c r="B241" s="112">
        <v>3</v>
      </c>
      <c r="C241" s="122" t="s">
        <v>2447</v>
      </c>
      <c r="D241" s="147" t="s">
        <v>2448</v>
      </c>
      <c r="E241" s="123" t="s">
        <v>2449</v>
      </c>
      <c r="F241" s="115" t="s">
        <v>983</v>
      </c>
      <c r="G241" s="115" t="s">
        <v>957</v>
      </c>
      <c r="H241" s="116">
        <v>13.7594802</v>
      </c>
      <c r="I241" s="116">
        <v>100.535389</v>
      </c>
      <c r="J241" s="116" t="s">
        <v>969</v>
      </c>
      <c r="K241" s="115" t="s">
        <v>1048</v>
      </c>
      <c r="L241" s="117" t="s">
        <v>2450</v>
      </c>
      <c r="M241" s="121">
        <v>96939658</v>
      </c>
      <c r="N241" s="121" t="s">
        <v>1050</v>
      </c>
      <c r="O241" s="121" t="s">
        <v>958</v>
      </c>
      <c r="P241" s="117" t="s">
        <v>952</v>
      </c>
      <c r="Q241" s="125" t="s">
        <v>972</v>
      </c>
      <c r="R241" s="125" t="s">
        <v>972</v>
      </c>
      <c r="S241" s="125" t="s">
        <v>972</v>
      </c>
      <c r="T241" s="222"/>
      <c r="U241" s="222"/>
      <c r="V241" s="222"/>
      <c r="W241" s="230"/>
      <c r="X241" s="331">
        <f t="shared" si="11"/>
        <v>0</v>
      </c>
      <c r="Y241" s="222"/>
      <c r="Z241" s="272">
        <f t="shared" si="9"/>
        <v>0</v>
      </c>
      <c r="AA241" s="331"/>
      <c r="AB241" s="331"/>
      <c r="AC241" s="331"/>
      <c r="AD241" s="331"/>
      <c r="AE241" s="331"/>
      <c r="AF241" s="331"/>
      <c r="AG241" s="331"/>
      <c r="AH241" s="241">
        <f t="shared" ca="1" si="10"/>
        <v>46153</v>
      </c>
      <c r="AI241" s="272"/>
      <c r="AJ241" s="222"/>
      <c r="AK241" s="222"/>
    </row>
    <row r="242" spans="1:37" ht="23.25" hidden="1" customHeight="1">
      <c r="A242" s="111">
        <v>142</v>
      </c>
      <c r="B242" s="112">
        <v>3</v>
      </c>
      <c r="C242" s="122" t="s">
        <v>2471</v>
      </c>
      <c r="D242" s="147" t="s">
        <v>2472</v>
      </c>
      <c r="E242" s="123" t="s">
        <v>2473</v>
      </c>
      <c r="F242" s="115" t="s">
        <v>983</v>
      </c>
      <c r="G242" s="115" t="s">
        <v>990</v>
      </c>
      <c r="H242" s="116">
        <v>13.745991999999999</v>
      </c>
      <c r="I242" s="116">
        <v>100.531212</v>
      </c>
      <c r="J242" s="116" t="s">
        <v>2097</v>
      </c>
      <c r="K242" s="116" t="s">
        <v>2097</v>
      </c>
      <c r="L242" s="117" t="s">
        <v>2474</v>
      </c>
      <c r="M242" s="121" t="s">
        <v>972</v>
      </c>
      <c r="N242" s="121" t="s">
        <v>1050</v>
      </c>
      <c r="O242" s="121" t="s">
        <v>984</v>
      </c>
      <c r="P242" s="117" t="s">
        <v>952</v>
      </c>
      <c r="Q242" s="125" t="s">
        <v>972</v>
      </c>
      <c r="R242" s="125" t="s">
        <v>972</v>
      </c>
      <c r="S242" s="125" t="s">
        <v>972</v>
      </c>
      <c r="T242" s="222"/>
      <c r="U242" s="222"/>
      <c r="V242" s="222"/>
      <c r="W242" s="230"/>
      <c r="X242" s="331">
        <f t="shared" si="11"/>
        <v>0</v>
      </c>
      <c r="Y242" s="222"/>
      <c r="Z242" s="272">
        <f t="shared" si="9"/>
        <v>0</v>
      </c>
      <c r="AA242" s="331"/>
      <c r="AB242" s="331"/>
      <c r="AC242" s="331"/>
      <c r="AD242" s="331"/>
      <c r="AE242" s="331"/>
      <c r="AF242" s="331"/>
      <c r="AG242" s="331"/>
      <c r="AH242" s="241">
        <f t="shared" ca="1" si="10"/>
        <v>46153</v>
      </c>
      <c r="AI242" s="272"/>
      <c r="AJ242" s="222"/>
      <c r="AK242" s="222"/>
    </row>
    <row r="243" spans="1:37" ht="23.25" hidden="1" customHeight="1">
      <c r="A243" s="111">
        <v>223</v>
      </c>
      <c r="B243" s="112">
        <v>4</v>
      </c>
      <c r="C243" s="122" t="s">
        <v>2689</v>
      </c>
      <c r="D243" s="147" t="s">
        <v>2690</v>
      </c>
      <c r="E243" s="132" t="s">
        <v>2691</v>
      </c>
      <c r="F243" s="116" t="s">
        <v>983</v>
      </c>
      <c r="G243" s="116" t="s">
        <v>990</v>
      </c>
      <c r="H243" s="117">
        <v>13.7335054</v>
      </c>
      <c r="I243" s="117">
        <v>100.52896749999999</v>
      </c>
      <c r="J243" s="116" t="s">
        <v>2097</v>
      </c>
      <c r="K243" s="116" t="s">
        <v>2097</v>
      </c>
      <c r="L243" s="117" t="s">
        <v>2132</v>
      </c>
      <c r="M243" s="121" t="s">
        <v>972</v>
      </c>
      <c r="N243" s="121" t="s">
        <v>1050</v>
      </c>
      <c r="O243" s="121" t="s">
        <v>984</v>
      </c>
      <c r="P243" s="117" t="s">
        <v>952</v>
      </c>
      <c r="Q243" s="125" t="s">
        <v>972</v>
      </c>
      <c r="R243" s="125" t="s">
        <v>972</v>
      </c>
      <c r="S243" s="125" t="s">
        <v>972</v>
      </c>
      <c r="T243" s="222"/>
      <c r="U243" s="222"/>
      <c r="V243" s="222"/>
      <c r="W243" s="230"/>
      <c r="X243" s="331">
        <f t="shared" si="11"/>
        <v>0</v>
      </c>
      <c r="Y243" s="222"/>
      <c r="Z243" s="272">
        <f t="shared" si="9"/>
        <v>0</v>
      </c>
      <c r="AA243" s="331"/>
      <c r="AB243" s="331"/>
      <c r="AC243" s="331"/>
      <c r="AD243" s="331"/>
      <c r="AE243" s="331"/>
      <c r="AF243" s="331"/>
      <c r="AG243" s="331"/>
      <c r="AH243" s="241">
        <f t="shared" ca="1" si="10"/>
        <v>46153</v>
      </c>
      <c r="AI243" s="272"/>
      <c r="AJ243" s="222"/>
      <c r="AK243" s="222"/>
    </row>
    <row r="244" spans="1:37" ht="23.25" hidden="1" customHeight="1">
      <c r="A244" s="111">
        <v>246</v>
      </c>
      <c r="B244" s="112">
        <v>7</v>
      </c>
      <c r="C244" s="113" t="s">
        <v>2752</v>
      </c>
      <c r="D244" s="147" t="s">
        <v>2753</v>
      </c>
      <c r="E244" s="114" t="s">
        <v>2754</v>
      </c>
      <c r="F244" s="115" t="s">
        <v>983</v>
      </c>
      <c r="G244" s="115" t="s">
        <v>957</v>
      </c>
      <c r="H244" s="117">
        <v>13.751920500000001</v>
      </c>
      <c r="I244" s="117">
        <v>100.53151320000001</v>
      </c>
      <c r="J244" s="116" t="s">
        <v>969</v>
      </c>
      <c r="K244" s="115" t="s">
        <v>1048</v>
      </c>
      <c r="L244" s="117" t="s">
        <v>2755</v>
      </c>
      <c r="M244" s="117">
        <v>96937617</v>
      </c>
      <c r="N244" s="121" t="s">
        <v>1050</v>
      </c>
      <c r="O244" s="121" t="s">
        <v>958</v>
      </c>
      <c r="P244" s="117" t="s">
        <v>952</v>
      </c>
      <c r="Q244" s="125" t="s">
        <v>972</v>
      </c>
      <c r="R244" s="125" t="s">
        <v>972</v>
      </c>
      <c r="S244" s="125" t="s">
        <v>972</v>
      </c>
      <c r="T244" s="222"/>
      <c r="U244" s="222"/>
      <c r="V244" s="222"/>
      <c r="W244" s="230"/>
      <c r="X244" s="331">
        <f t="shared" si="11"/>
        <v>0</v>
      </c>
      <c r="Y244" s="222"/>
      <c r="Z244" s="272">
        <f t="shared" si="9"/>
        <v>0</v>
      </c>
      <c r="AA244" s="331"/>
      <c r="AB244" s="331"/>
      <c r="AC244" s="331"/>
      <c r="AD244" s="331"/>
      <c r="AE244" s="331"/>
      <c r="AF244" s="331"/>
      <c r="AG244" s="331"/>
      <c r="AH244" s="241">
        <f t="shared" ca="1" si="10"/>
        <v>46153</v>
      </c>
      <c r="AI244" s="272"/>
      <c r="AJ244" s="222"/>
      <c r="AK244" s="222"/>
    </row>
    <row r="245" spans="1:37" ht="23" hidden="1">
      <c r="A245" s="111">
        <v>247</v>
      </c>
      <c r="B245" s="112" t="s">
        <v>919</v>
      </c>
      <c r="C245" s="122" t="s">
        <v>2756</v>
      </c>
      <c r="D245" s="147" t="s">
        <v>2757</v>
      </c>
      <c r="E245" s="123" t="s">
        <v>2758</v>
      </c>
      <c r="F245" s="116" t="s">
        <v>983</v>
      </c>
      <c r="G245" s="116" t="s">
        <v>957</v>
      </c>
      <c r="H245" s="116">
        <v>13.7614114</v>
      </c>
      <c r="I245" s="116">
        <v>100.5364641</v>
      </c>
      <c r="J245" s="115" t="s">
        <v>2108</v>
      </c>
      <c r="K245" s="117" t="s">
        <v>2759</v>
      </c>
      <c r="L245" s="117" t="s">
        <v>2110</v>
      </c>
      <c r="M245" s="121" t="s">
        <v>972</v>
      </c>
      <c r="N245" s="121" t="s">
        <v>972</v>
      </c>
      <c r="O245" s="121" t="s">
        <v>958</v>
      </c>
      <c r="P245" s="117" t="s">
        <v>952</v>
      </c>
      <c r="Q245" s="125" t="s">
        <v>972</v>
      </c>
      <c r="R245" s="130" t="s">
        <v>972</v>
      </c>
      <c r="S245" s="125" t="s">
        <v>972</v>
      </c>
      <c r="T245" s="222"/>
      <c r="U245" s="222"/>
      <c r="V245" s="222"/>
      <c r="W245" s="230"/>
      <c r="X245" s="331">
        <f t="shared" si="11"/>
        <v>0</v>
      </c>
      <c r="Y245" s="222"/>
      <c r="Z245" s="272">
        <f t="shared" si="9"/>
        <v>0</v>
      </c>
      <c r="AA245" s="331"/>
      <c r="AB245" s="331"/>
      <c r="AC245" s="331"/>
      <c r="AD245" s="331"/>
      <c r="AE245" s="331"/>
      <c r="AF245" s="331"/>
      <c r="AG245" s="331"/>
      <c r="AH245" s="241">
        <f t="shared" ca="1" si="10"/>
        <v>46153</v>
      </c>
      <c r="AI245" s="272"/>
      <c r="AJ245" s="222"/>
      <c r="AK245" s="222"/>
    </row>
    <row r="246" spans="1:37" ht="23.25" hidden="1" customHeight="1">
      <c r="A246" s="111">
        <v>331</v>
      </c>
      <c r="B246" s="112" t="s">
        <v>1082</v>
      </c>
      <c r="C246" s="113" t="s">
        <v>2947</v>
      </c>
      <c r="D246" s="147" t="s">
        <v>2948</v>
      </c>
      <c r="E246" s="114" t="s">
        <v>2949</v>
      </c>
      <c r="F246" s="115" t="s">
        <v>983</v>
      </c>
      <c r="G246" s="115" t="s">
        <v>957</v>
      </c>
      <c r="H246" s="116">
        <v>13.761971000000001</v>
      </c>
      <c r="I246" s="116">
        <v>100.53677500000001</v>
      </c>
      <c r="J246" s="116" t="s">
        <v>969</v>
      </c>
      <c r="K246" s="115" t="s">
        <v>1048</v>
      </c>
      <c r="L246" s="117" t="s">
        <v>2950</v>
      </c>
      <c r="M246" s="121">
        <v>96939651</v>
      </c>
      <c r="N246" s="121" t="s">
        <v>1050</v>
      </c>
      <c r="O246" s="121" t="s">
        <v>958</v>
      </c>
      <c r="P246" s="117" t="s">
        <v>952</v>
      </c>
      <c r="Q246" s="125" t="s">
        <v>972</v>
      </c>
      <c r="R246" s="125" t="s">
        <v>972</v>
      </c>
      <c r="S246" s="125" t="s">
        <v>972</v>
      </c>
      <c r="T246" s="222"/>
      <c r="U246" s="222"/>
      <c r="V246" s="222"/>
      <c r="W246" s="230"/>
      <c r="X246" s="331">
        <f t="shared" si="11"/>
        <v>0</v>
      </c>
      <c r="Y246" s="222"/>
      <c r="Z246" s="272">
        <f t="shared" si="9"/>
        <v>0</v>
      </c>
      <c r="AA246" s="331"/>
      <c r="AB246" s="331"/>
      <c r="AC246" s="331"/>
      <c r="AD246" s="331"/>
      <c r="AE246" s="331"/>
      <c r="AF246" s="331"/>
      <c r="AG246" s="331"/>
      <c r="AH246" s="241">
        <f t="shared" ca="1" si="10"/>
        <v>46153</v>
      </c>
      <c r="AI246" s="272"/>
      <c r="AJ246" s="222"/>
      <c r="AK246" s="222"/>
    </row>
    <row r="247" spans="1:37" ht="23.25" hidden="1" customHeight="1">
      <c r="A247" s="111">
        <v>373</v>
      </c>
      <c r="B247" s="112">
        <v>7</v>
      </c>
      <c r="C247" s="113" t="s">
        <v>3047</v>
      </c>
      <c r="D247" s="147" t="s">
        <v>3048</v>
      </c>
      <c r="E247" s="114" t="s">
        <v>3049</v>
      </c>
      <c r="F247" s="115" t="s">
        <v>983</v>
      </c>
      <c r="G247" s="115" t="s">
        <v>990</v>
      </c>
      <c r="H247" s="116">
        <v>13.73326</v>
      </c>
      <c r="I247" s="116">
        <v>100.529003</v>
      </c>
      <c r="J247" s="116" t="s">
        <v>969</v>
      </c>
      <c r="K247" s="117" t="s">
        <v>2711</v>
      </c>
      <c r="L247" s="117" t="s">
        <v>2711</v>
      </c>
      <c r="M247" s="116" t="s">
        <v>1347</v>
      </c>
      <c r="N247" s="121" t="s">
        <v>1050</v>
      </c>
      <c r="O247" s="121" t="s">
        <v>984</v>
      </c>
      <c r="P247" s="117" t="s">
        <v>952</v>
      </c>
      <c r="Q247" s="125" t="s">
        <v>972</v>
      </c>
      <c r="R247" s="125" t="s">
        <v>972</v>
      </c>
      <c r="S247" s="125" t="s">
        <v>972</v>
      </c>
      <c r="T247" s="222"/>
      <c r="U247" s="222"/>
      <c r="V247" s="222"/>
      <c r="W247" s="230"/>
      <c r="X247" s="331">
        <f t="shared" si="11"/>
        <v>0</v>
      </c>
      <c r="Y247" s="222"/>
      <c r="Z247" s="272">
        <f t="shared" si="9"/>
        <v>0</v>
      </c>
      <c r="AA247" s="331"/>
      <c r="AB247" s="331"/>
      <c r="AC247" s="331"/>
      <c r="AD247" s="331"/>
      <c r="AE247" s="331"/>
      <c r="AF247" s="331"/>
      <c r="AG247" s="331"/>
      <c r="AH247" s="241">
        <f t="shared" ca="1" si="10"/>
        <v>46153</v>
      </c>
      <c r="AI247" s="272"/>
      <c r="AJ247" s="222"/>
      <c r="AK247" s="222"/>
    </row>
    <row r="248" spans="1:37" ht="23.25" hidden="1" customHeight="1">
      <c r="A248" s="111">
        <v>385</v>
      </c>
      <c r="B248" s="112">
        <v>11</v>
      </c>
      <c r="C248" s="113" t="s">
        <v>3081</v>
      </c>
      <c r="D248" s="147" t="s">
        <v>3082</v>
      </c>
      <c r="E248" s="114" t="s">
        <v>3083</v>
      </c>
      <c r="F248" s="115" t="s">
        <v>983</v>
      </c>
      <c r="G248" s="115" t="s">
        <v>990</v>
      </c>
      <c r="H248" s="116">
        <v>13.733167</v>
      </c>
      <c r="I248" s="116">
        <v>100.52905610000001</v>
      </c>
      <c r="J248" s="116" t="s">
        <v>969</v>
      </c>
      <c r="K248" s="116" t="s">
        <v>970</v>
      </c>
      <c r="L248" s="117" t="s">
        <v>3084</v>
      </c>
      <c r="M248" s="116" t="s">
        <v>1347</v>
      </c>
      <c r="N248" s="121" t="s">
        <v>1050</v>
      </c>
      <c r="O248" s="121" t="s">
        <v>984</v>
      </c>
      <c r="P248" s="117" t="s">
        <v>952</v>
      </c>
      <c r="Q248" s="125" t="s">
        <v>972</v>
      </c>
      <c r="R248" s="125" t="s">
        <v>972</v>
      </c>
      <c r="S248" s="125" t="s">
        <v>972</v>
      </c>
      <c r="T248" s="222"/>
      <c r="U248" s="222"/>
      <c r="V248" s="222"/>
      <c r="W248" s="230"/>
      <c r="X248" s="331">
        <f t="shared" si="11"/>
        <v>0</v>
      </c>
      <c r="Y248" s="222"/>
      <c r="Z248" s="272">
        <f t="shared" si="9"/>
        <v>0</v>
      </c>
      <c r="AA248" s="331"/>
      <c r="AB248" s="331"/>
      <c r="AC248" s="331"/>
      <c r="AD248" s="331"/>
      <c r="AE248" s="331"/>
      <c r="AF248" s="331"/>
      <c r="AG248" s="331"/>
      <c r="AH248" s="241">
        <f t="shared" ca="1" si="10"/>
        <v>46153</v>
      </c>
      <c r="AI248" s="272"/>
      <c r="AJ248" s="222"/>
      <c r="AK248" s="222"/>
    </row>
    <row r="249" spans="1:37" ht="23" hidden="1">
      <c r="A249" s="111">
        <v>442</v>
      </c>
      <c r="B249" s="112" t="s">
        <v>1071</v>
      </c>
      <c r="C249" s="122" t="s">
        <v>3208</v>
      </c>
      <c r="D249" s="147" t="s">
        <v>3209</v>
      </c>
      <c r="E249" s="132" t="s">
        <v>3210</v>
      </c>
      <c r="F249" s="116" t="s">
        <v>983</v>
      </c>
      <c r="G249" s="116" t="s">
        <v>990</v>
      </c>
      <c r="H249" s="117">
        <v>13.746962999999999</v>
      </c>
      <c r="I249" s="117">
        <v>100.5309846</v>
      </c>
      <c r="J249" s="116" t="s">
        <v>2097</v>
      </c>
      <c r="K249" s="121" t="s">
        <v>2097</v>
      </c>
      <c r="L249" s="121" t="s">
        <v>3211</v>
      </c>
      <c r="M249" s="116" t="s">
        <v>1347</v>
      </c>
      <c r="N249" s="121" t="s">
        <v>3212</v>
      </c>
      <c r="O249" s="121"/>
      <c r="P249" s="127" t="s">
        <v>1076</v>
      </c>
      <c r="Q249" s="129" t="s">
        <v>972</v>
      </c>
      <c r="R249" s="138" t="s">
        <v>972</v>
      </c>
      <c r="S249" s="119" t="s">
        <v>972</v>
      </c>
      <c r="T249" s="222"/>
      <c r="U249" s="222"/>
      <c r="V249" s="222"/>
      <c r="W249" s="230"/>
      <c r="X249" s="331">
        <f t="shared" si="11"/>
        <v>0</v>
      </c>
      <c r="Y249" s="222"/>
      <c r="Z249" s="272">
        <f t="shared" si="9"/>
        <v>0</v>
      </c>
      <c r="AA249" s="331"/>
      <c r="AB249" s="331"/>
      <c r="AC249" s="331"/>
      <c r="AD249" s="331"/>
      <c r="AE249" s="331"/>
      <c r="AF249" s="331"/>
      <c r="AG249" s="331"/>
      <c r="AH249" s="241">
        <f t="shared" ca="1" si="10"/>
        <v>46153</v>
      </c>
      <c r="AI249" s="272"/>
      <c r="AJ249" s="222"/>
      <c r="AK249" s="222"/>
    </row>
    <row r="250" spans="1:37" ht="23.25" hidden="1" customHeight="1">
      <c r="A250" s="111">
        <v>455</v>
      </c>
      <c r="B250" s="128" t="s">
        <v>1569</v>
      </c>
      <c r="C250" s="113" t="s">
        <v>3240</v>
      </c>
      <c r="D250" s="147" t="s">
        <v>3241</v>
      </c>
      <c r="E250" s="114" t="s">
        <v>3242</v>
      </c>
      <c r="F250" s="115" t="s">
        <v>983</v>
      </c>
      <c r="G250" s="115" t="s">
        <v>957</v>
      </c>
      <c r="H250" s="116">
        <v>13.7504343</v>
      </c>
      <c r="I250" s="116">
        <v>100.53146599999999</v>
      </c>
      <c r="J250" s="115" t="s">
        <v>2108</v>
      </c>
      <c r="K250" s="117" t="s">
        <v>2759</v>
      </c>
      <c r="L250" s="117" t="s">
        <v>2110</v>
      </c>
      <c r="M250" s="121" t="s">
        <v>972</v>
      </c>
      <c r="N250" s="121" t="s">
        <v>972</v>
      </c>
      <c r="O250" s="121" t="s">
        <v>958</v>
      </c>
      <c r="P250" s="117" t="s">
        <v>1876</v>
      </c>
      <c r="Q250" s="125" t="s">
        <v>972</v>
      </c>
      <c r="R250" s="125" t="s">
        <v>972</v>
      </c>
      <c r="S250" s="125" t="s">
        <v>972</v>
      </c>
      <c r="T250" s="222"/>
      <c r="U250" s="222"/>
      <c r="V250" s="222"/>
      <c r="W250" s="230"/>
      <c r="X250" s="331">
        <f t="shared" si="11"/>
        <v>0</v>
      </c>
      <c r="Y250" s="222"/>
      <c r="Z250" s="272">
        <f t="shared" si="9"/>
        <v>0</v>
      </c>
      <c r="AA250" s="331"/>
      <c r="AB250" s="331"/>
      <c r="AC250" s="331"/>
      <c r="AD250" s="331"/>
      <c r="AE250" s="331"/>
      <c r="AF250" s="331"/>
      <c r="AG250" s="331"/>
      <c r="AH250" s="241">
        <f t="shared" ca="1" si="10"/>
        <v>46153</v>
      </c>
      <c r="AI250" s="272"/>
      <c r="AJ250" s="222"/>
      <c r="AK250" s="222"/>
    </row>
    <row r="251" spans="1:37" ht="23.25" hidden="1" customHeight="1">
      <c r="A251" s="111">
        <v>459</v>
      </c>
      <c r="B251" s="112">
        <v>14</v>
      </c>
      <c r="C251" s="122" t="s">
        <v>3249</v>
      </c>
      <c r="D251" s="147" t="s">
        <v>3250</v>
      </c>
      <c r="E251" s="123" t="s">
        <v>3251</v>
      </c>
      <c r="F251" s="116" t="s">
        <v>983</v>
      </c>
      <c r="G251" s="116" t="s">
        <v>957</v>
      </c>
      <c r="H251" s="117">
        <v>13.751201</v>
      </c>
      <c r="I251" s="117">
        <v>100.532343</v>
      </c>
      <c r="J251" s="116" t="s">
        <v>2097</v>
      </c>
      <c r="K251" s="116" t="s">
        <v>2097</v>
      </c>
      <c r="L251" s="117" t="s">
        <v>2132</v>
      </c>
      <c r="M251" s="116" t="s">
        <v>1347</v>
      </c>
      <c r="N251" s="121" t="s">
        <v>1050</v>
      </c>
      <c r="O251" s="121" t="s">
        <v>958</v>
      </c>
      <c r="P251" s="117" t="s">
        <v>952</v>
      </c>
      <c r="Q251" s="125" t="s">
        <v>972</v>
      </c>
      <c r="R251" s="125" t="s">
        <v>972</v>
      </c>
      <c r="S251" s="125" t="s">
        <v>972</v>
      </c>
      <c r="T251" s="222"/>
      <c r="U251" s="222"/>
      <c r="V251" s="222"/>
      <c r="W251" s="230"/>
      <c r="X251" s="331">
        <f t="shared" si="11"/>
        <v>0</v>
      </c>
      <c r="Y251" s="222"/>
      <c r="Z251" s="272">
        <f t="shared" si="9"/>
        <v>0</v>
      </c>
      <c r="AA251" s="331"/>
      <c r="AB251" s="331"/>
      <c r="AC251" s="331"/>
      <c r="AD251" s="331"/>
      <c r="AE251" s="331"/>
      <c r="AF251" s="331"/>
      <c r="AG251" s="331"/>
      <c r="AH251" s="241">
        <f t="shared" ca="1" si="10"/>
        <v>46153</v>
      </c>
      <c r="AI251" s="272"/>
      <c r="AJ251" s="222"/>
      <c r="AK251" s="222"/>
    </row>
    <row r="252" spans="1:37" ht="23.25" hidden="1" customHeight="1">
      <c r="A252" s="111">
        <v>472</v>
      </c>
      <c r="B252" s="112">
        <v>11</v>
      </c>
      <c r="C252" s="122" t="s">
        <v>3279</v>
      </c>
      <c r="D252" s="147" t="s">
        <v>3280</v>
      </c>
      <c r="E252" s="123" t="s">
        <v>3281</v>
      </c>
      <c r="F252" s="116" t="s">
        <v>983</v>
      </c>
      <c r="G252" s="116" t="s">
        <v>957</v>
      </c>
      <c r="H252" s="116">
        <v>13.755054599999999</v>
      </c>
      <c r="I252" s="116">
        <v>100.53294820000001</v>
      </c>
      <c r="J252" s="115" t="s">
        <v>2108</v>
      </c>
      <c r="K252" s="117" t="s">
        <v>2759</v>
      </c>
      <c r="L252" s="117" t="s">
        <v>2110</v>
      </c>
      <c r="M252" s="121" t="s">
        <v>972</v>
      </c>
      <c r="N252" s="121" t="s">
        <v>972</v>
      </c>
      <c r="O252" s="121" t="s">
        <v>958</v>
      </c>
      <c r="P252" s="117" t="s">
        <v>952</v>
      </c>
      <c r="Q252" s="125" t="s">
        <v>972</v>
      </c>
      <c r="R252" s="125" t="s">
        <v>972</v>
      </c>
      <c r="S252" s="125" t="s">
        <v>972</v>
      </c>
      <c r="T252" s="222"/>
      <c r="U252" s="222"/>
      <c r="V252" s="222"/>
      <c r="W252" s="230"/>
      <c r="X252" s="331">
        <f t="shared" si="11"/>
        <v>0</v>
      </c>
      <c r="Y252" s="222"/>
      <c r="Z252" s="272">
        <f t="shared" si="9"/>
        <v>0</v>
      </c>
      <c r="AA252" s="331"/>
      <c r="AB252" s="331"/>
      <c r="AC252" s="331"/>
      <c r="AD252" s="331"/>
      <c r="AE252" s="331"/>
      <c r="AF252" s="331"/>
      <c r="AG252" s="331"/>
      <c r="AH252" s="241">
        <f t="shared" ca="1" si="10"/>
        <v>46153</v>
      </c>
      <c r="AI252" s="272"/>
      <c r="AJ252" s="222"/>
      <c r="AK252" s="222"/>
    </row>
    <row r="253" spans="1:37" ht="23.25" hidden="1" customHeight="1">
      <c r="A253" s="111">
        <v>478</v>
      </c>
      <c r="B253" s="112" t="s">
        <v>979</v>
      </c>
      <c r="C253" s="122" t="s">
        <v>3293</v>
      </c>
      <c r="D253" s="147" t="s">
        <v>3294</v>
      </c>
      <c r="E253" s="123" t="s">
        <v>3295</v>
      </c>
      <c r="F253" s="116" t="s">
        <v>983</v>
      </c>
      <c r="G253" s="116" t="s">
        <v>990</v>
      </c>
      <c r="H253" s="116">
        <v>13.740870599999999</v>
      </c>
      <c r="I253" s="116">
        <v>100.5300627</v>
      </c>
      <c r="J253" s="116" t="s">
        <v>969</v>
      </c>
      <c r="K253" s="115" t="s">
        <v>1048</v>
      </c>
      <c r="L253" s="117" t="s">
        <v>3296</v>
      </c>
      <c r="M253" s="117">
        <v>96937605</v>
      </c>
      <c r="N253" s="121" t="s">
        <v>1050</v>
      </c>
      <c r="O253" s="121" t="s">
        <v>984</v>
      </c>
      <c r="P253" s="117" t="s">
        <v>952</v>
      </c>
      <c r="Q253" s="125" t="s">
        <v>972</v>
      </c>
      <c r="R253" s="125" t="s">
        <v>972</v>
      </c>
      <c r="S253" s="125" t="s">
        <v>972</v>
      </c>
      <c r="T253" s="222"/>
      <c r="U253" s="222"/>
      <c r="V253" s="222"/>
      <c r="W253" s="230"/>
      <c r="X253" s="331">
        <f t="shared" si="11"/>
        <v>0</v>
      </c>
      <c r="Y253" s="222"/>
      <c r="Z253" s="272">
        <f t="shared" si="9"/>
        <v>0</v>
      </c>
      <c r="AA253" s="331"/>
      <c r="AB253" s="331"/>
      <c r="AC253" s="331"/>
      <c r="AD253" s="331"/>
      <c r="AE253" s="331"/>
      <c r="AF253" s="331"/>
      <c r="AG253" s="331"/>
      <c r="AH253" s="241">
        <f t="shared" ca="1" si="10"/>
        <v>46153</v>
      </c>
      <c r="AI253" s="272"/>
      <c r="AJ253" s="222"/>
      <c r="AK253" s="222"/>
    </row>
    <row r="254" spans="1:37" ht="23.25" hidden="1" customHeight="1">
      <c r="A254" s="111">
        <v>559</v>
      </c>
      <c r="B254" s="112">
        <v>12</v>
      </c>
      <c r="C254" s="113" t="s">
        <v>3508</v>
      </c>
      <c r="D254" s="147" t="s">
        <v>3509</v>
      </c>
      <c r="E254" s="114" t="s">
        <v>3510</v>
      </c>
      <c r="F254" s="115" t="s">
        <v>983</v>
      </c>
      <c r="G254" s="115" t="s">
        <v>990</v>
      </c>
      <c r="H254" s="116">
        <v>13.738216100000001</v>
      </c>
      <c r="I254" s="116">
        <v>100.5294762</v>
      </c>
      <c r="J254" s="116" t="s">
        <v>969</v>
      </c>
      <c r="K254" s="115" t="s">
        <v>1048</v>
      </c>
      <c r="L254" s="117" t="s">
        <v>3511</v>
      </c>
      <c r="M254" s="117">
        <v>96937614</v>
      </c>
      <c r="N254" s="121" t="s">
        <v>1050</v>
      </c>
      <c r="O254" s="121" t="s">
        <v>984</v>
      </c>
      <c r="P254" s="117" t="s">
        <v>952</v>
      </c>
      <c r="Q254" s="125" t="s">
        <v>972</v>
      </c>
      <c r="R254" s="125" t="s">
        <v>972</v>
      </c>
      <c r="S254" s="125" t="s">
        <v>972</v>
      </c>
      <c r="T254" s="222"/>
      <c r="U254" s="222"/>
      <c r="V254" s="222"/>
      <c r="W254" s="230"/>
      <c r="X254" s="331">
        <f t="shared" si="11"/>
        <v>0</v>
      </c>
      <c r="Y254" s="222"/>
      <c r="Z254" s="272">
        <f t="shared" si="9"/>
        <v>0</v>
      </c>
      <c r="AA254" s="331"/>
      <c r="AB254" s="331"/>
      <c r="AC254" s="331"/>
      <c r="AD254" s="331"/>
      <c r="AE254" s="331"/>
      <c r="AF254" s="331"/>
      <c r="AG254" s="331"/>
      <c r="AH254" s="241">
        <f t="shared" ca="1" si="10"/>
        <v>46153</v>
      </c>
      <c r="AI254" s="272"/>
      <c r="AJ254" s="222"/>
      <c r="AK254" s="222"/>
    </row>
    <row r="255" spans="1:37" ht="23.25" hidden="1" customHeight="1">
      <c r="A255" s="111">
        <v>561</v>
      </c>
      <c r="B255" s="112">
        <v>16</v>
      </c>
      <c r="C255" s="113" t="s">
        <v>3516</v>
      </c>
      <c r="D255" s="147" t="s">
        <v>3517</v>
      </c>
      <c r="E255" s="114" t="s">
        <v>3518</v>
      </c>
      <c r="F255" s="115" t="s">
        <v>983</v>
      </c>
      <c r="G255" s="115" t="s">
        <v>990</v>
      </c>
      <c r="H255" s="116">
        <v>13.743221999999999</v>
      </c>
      <c r="I255" s="116">
        <v>100.530355</v>
      </c>
      <c r="J255" s="116" t="s">
        <v>969</v>
      </c>
      <c r="K255" s="115" t="s">
        <v>1048</v>
      </c>
      <c r="L255" s="117" t="s">
        <v>3519</v>
      </c>
      <c r="M255" s="117">
        <v>96937613</v>
      </c>
      <c r="N255" s="121" t="s">
        <v>1050</v>
      </c>
      <c r="O255" s="121" t="s">
        <v>984</v>
      </c>
      <c r="P255" s="118" t="s">
        <v>952</v>
      </c>
      <c r="Q255" s="125" t="s">
        <v>972</v>
      </c>
      <c r="R255" s="125" t="s">
        <v>972</v>
      </c>
      <c r="S255" s="125" t="s">
        <v>972</v>
      </c>
      <c r="T255" s="222"/>
      <c r="U255" s="222"/>
      <c r="V255" s="222"/>
      <c r="W255" s="230"/>
      <c r="X255" s="331">
        <f t="shared" si="11"/>
        <v>0</v>
      </c>
      <c r="Y255" s="222"/>
      <c r="Z255" s="272">
        <f t="shared" si="9"/>
        <v>0</v>
      </c>
      <c r="AA255" s="331"/>
      <c r="AB255" s="331"/>
      <c r="AC255" s="331"/>
      <c r="AD255" s="331"/>
      <c r="AE255" s="331"/>
      <c r="AF255" s="331"/>
      <c r="AG255" s="331"/>
      <c r="AH255" s="241">
        <f t="shared" ca="1" si="10"/>
        <v>46153</v>
      </c>
      <c r="AI255" s="272"/>
      <c r="AJ255" s="222"/>
      <c r="AK255" s="222"/>
    </row>
    <row r="256" spans="1:37" ht="23.25" hidden="1" customHeight="1">
      <c r="A256" s="111">
        <v>643</v>
      </c>
      <c r="B256" s="112">
        <v>1</v>
      </c>
      <c r="C256" s="113" t="s">
        <v>3727</v>
      </c>
      <c r="D256" s="147" t="s">
        <v>3728</v>
      </c>
      <c r="E256" s="114" t="s">
        <v>3729</v>
      </c>
      <c r="F256" s="115" t="s">
        <v>983</v>
      </c>
      <c r="G256" s="115" t="s">
        <v>990</v>
      </c>
      <c r="H256" s="116">
        <v>13.737924</v>
      </c>
      <c r="I256" s="116">
        <v>100.52936800000001</v>
      </c>
      <c r="J256" s="116" t="s">
        <v>969</v>
      </c>
      <c r="K256" s="115" t="s">
        <v>1048</v>
      </c>
      <c r="L256" s="117" t="s">
        <v>3730</v>
      </c>
      <c r="M256" s="121">
        <v>96937614</v>
      </c>
      <c r="N256" s="121" t="s">
        <v>1050</v>
      </c>
      <c r="O256" s="121" t="s">
        <v>984</v>
      </c>
      <c r="P256" s="117" t="s">
        <v>952</v>
      </c>
      <c r="Q256" s="125" t="s">
        <v>972</v>
      </c>
      <c r="R256" s="125" t="s">
        <v>972</v>
      </c>
      <c r="S256" s="125" t="s">
        <v>972</v>
      </c>
      <c r="T256" s="222"/>
      <c r="U256" s="222"/>
      <c r="V256" s="222"/>
      <c r="W256" s="230"/>
      <c r="X256" s="331">
        <f t="shared" si="11"/>
        <v>0</v>
      </c>
      <c r="Y256" s="222"/>
      <c r="Z256" s="272">
        <f t="shared" si="9"/>
        <v>0</v>
      </c>
      <c r="AA256" s="331"/>
      <c r="AB256" s="331"/>
      <c r="AC256" s="331"/>
      <c r="AD256" s="331"/>
      <c r="AE256" s="331"/>
      <c r="AF256" s="331"/>
      <c r="AG256" s="331"/>
      <c r="AH256" s="241">
        <f t="shared" ca="1" si="10"/>
        <v>46153</v>
      </c>
      <c r="AI256" s="272"/>
      <c r="AJ256" s="222"/>
      <c r="AK256" s="222"/>
    </row>
    <row r="257" spans="1:37" ht="23.25" hidden="1" customHeight="1">
      <c r="A257" s="111">
        <v>686</v>
      </c>
      <c r="B257" s="112" t="s">
        <v>1013</v>
      </c>
      <c r="C257" s="113" t="s">
        <v>3818</v>
      </c>
      <c r="D257" s="147" t="s">
        <v>3819</v>
      </c>
      <c r="E257" s="114" t="s">
        <v>3820</v>
      </c>
      <c r="F257" s="115" t="s">
        <v>983</v>
      </c>
      <c r="G257" s="115" t="s">
        <v>957</v>
      </c>
      <c r="H257" s="116">
        <v>13.7634531</v>
      </c>
      <c r="I257" s="116">
        <v>100.5373582</v>
      </c>
      <c r="J257" s="116" t="s">
        <v>2097</v>
      </c>
      <c r="K257" s="116" t="s">
        <v>2097</v>
      </c>
      <c r="L257" s="117" t="s">
        <v>3821</v>
      </c>
      <c r="M257" s="116" t="s">
        <v>1347</v>
      </c>
      <c r="N257" s="121" t="s">
        <v>1050</v>
      </c>
      <c r="O257" s="121" t="s">
        <v>958</v>
      </c>
      <c r="P257" s="117" t="s">
        <v>952</v>
      </c>
      <c r="Q257" s="125" t="s">
        <v>972</v>
      </c>
      <c r="R257" s="125" t="s">
        <v>972</v>
      </c>
      <c r="S257" s="125" t="s">
        <v>972</v>
      </c>
      <c r="T257" s="222"/>
      <c r="U257" s="222"/>
      <c r="V257" s="222"/>
      <c r="W257" s="230"/>
      <c r="X257" s="331">
        <f t="shared" si="11"/>
        <v>0</v>
      </c>
      <c r="Y257" s="222"/>
      <c r="Z257" s="272">
        <f t="shared" si="9"/>
        <v>0</v>
      </c>
      <c r="AA257" s="331"/>
      <c r="AB257" s="331"/>
      <c r="AC257" s="331"/>
      <c r="AD257" s="331"/>
      <c r="AE257" s="331"/>
      <c r="AF257" s="331"/>
      <c r="AG257" s="331"/>
      <c r="AH257" s="241">
        <f t="shared" ca="1" si="10"/>
        <v>46153</v>
      </c>
      <c r="AI257" s="272"/>
      <c r="AJ257" s="222"/>
      <c r="AK257" s="222"/>
    </row>
    <row r="258" spans="1:37" ht="23.25" hidden="1" customHeight="1">
      <c r="A258" s="111">
        <v>697</v>
      </c>
      <c r="B258" s="112">
        <v>4</v>
      </c>
      <c r="C258" s="122" t="s">
        <v>3835</v>
      </c>
      <c r="D258" s="147" t="s">
        <v>3836</v>
      </c>
      <c r="E258" s="132" t="s">
        <v>3837</v>
      </c>
      <c r="F258" s="116" t="s">
        <v>983</v>
      </c>
      <c r="G258" s="116" t="s">
        <v>990</v>
      </c>
      <c r="H258" s="117">
        <v>13.7439325</v>
      </c>
      <c r="I258" s="117">
        <v>100.5303631</v>
      </c>
      <c r="J258" s="116" t="s">
        <v>2097</v>
      </c>
      <c r="K258" s="116" t="s">
        <v>2097</v>
      </c>
      <c r="L258" s="117" t="s">
        <v>2098</v>
      </c>
      <c r="M258" s="116" t="s">
        <v>1347</v>
      </c>
      <c r="N258" s="121" t="s">
        <v>1050</v>
      </c>
      <c r="O258" s="121" t="s">
        <v>984</v>
      </c>
      <c r="P258" s="117" t="s">
        <v>952</v>
      </c>
      <c r="Q258" s="125" t="s">
        <v>972</v>
      </c>
      <c r="R258" s="125" t="s">
        <v>972</v>
      </c>
      <c r="S258" s="125" t="s">
        <v>972</v>
      </c>
      <c r="T258" s="222"/>
      <c r="U258" s="222"/>
      <c r="V258" s="222"/>
      <c r="W258" s="230"/>
      <c r="X258" s="331">
        <f t="shared" si="11"/>
        <v>0</v>
      </c>
      <c r="Y258" s="222"/>
      <c r="Z258" s="272">
        <f t="shared" si="9"/>
        <v>0</v>
      </c>
      <c r="AA258" s="331"/>
      <c r="AB258" s="331"/>
      <c r="AC258" s="331"/>
      <c r="AD258" s="331"/>
      <c r="AE258" s="331"/>
      <c r="AF258" s="331"/>
      <c r="AG258" s="331"/>
      <c r="AH258" s="241">
        <f t="shared" ca="1" si="10"/>
        <v>46153</v>
      </c>
      <c r="AI258" s="272"/>
      <c r="AJ258" s="222"/>
      <c r="AK258" s="222"/>
    </row>
    <row r="259" spans="1:37" ht="23.25" hidden="1" customHeight="1">
      <c r="A259" s="111">
        <v>711</v>
      </c>
      <c r="B259" s="112">
        <v>9</v>
      </c>
      <c r="C259" s="113" t="s">
        <v>3876</v>
      </c>
      <c r="D259" s="147" t="s">
        <v>3877</v>
      </c>
      <c r="E259" s="114" t="s">
        <v>3878</v>
      </c>
      <c r="F259" s="115" t="s">
        <v>983</v>
      </c>
      <c r="G259" s="115" t="s">
        <v>990</v>
      </c>
      <c r="H259" s="116">
        <v>13.743047499999999</v>
      </c>
      <c r="I259" s="116">
        <v>100.5302217</v>
      </c>
      <c r="J259" s="116" t="s">
        <v>2097</v>
      </c>
      <c r="K259" s="116" t="s">
        <v>2097</v>
      </c>
      <c r="L259" s="117" t="s">
        <v>2132</v>
      </c>
      <c r="M259" s="116" t="s">
        <v>1347</v>
      </c>
      <c r="N259" s="121" t="s">
        <v>892</v>
      </c>
      <c r="O259" s="121" t="s">
        <v>984</v>
      </c>
      <c r="P259" s="117" t="s">
        <v>894</v>
      </c>
      <c r="Q259" s="125" t="s">
        <v>972</v>
      </c>
      <c r="R259" s="125" t="s">
        <v>972</v>
      </c>
      <c r="S259" s="125" t="s">
        <v>972</v>
      </c>
      <c r="T259" s="222"/>
      <c r="U259" s="222"/>
      <c r="V259" s="222"/>
      <c r="W259" s="230"/>
      <c r="X259" s="331">
        <f t="shared" si="11"/>
        <v>0</v>
      </c>
      <c r="Y259" s="222"/>
      <c r="Z259" s="272">
        <f t="shared" ref="Z259:Z322" si="12">DATEDIF(X259,Y259,"d")</f>
        <v>0</v>
      </c>
      <c r="AA259" s="331"/>
      <c r="AB259" s="331"/>
      <c r="AC259" s="331"/>
      <c r="AD259" s="331"/>
      <c r="AE259" s="331"/>
      <c r="AF259" s="331"/>
      <c r="AG259" s="331"/>
      <c r="AH259" s="241">
        <f t="shared" ref="AH259:AH322" ca="1" si="13">TODAY()</f>
        <v>46153</v>
      </c>
      <c r="AI259" s="272"/>
      <c r="AJ259" s="222"/>
      <c r="AK259" s="222"/>
    </row>
    <row r="260" spans="1:37" ht="23.25" hidden="1" customHeight="1">
      <c r="A260" s="111">
        <v>716</v>
      </c>
      <c r="B260" s="112">
        <v>15</v>
      </c>
      <c r="C260" s="113" t="s">
        <v>3889</v>
      </c>
      <c r="D260" s="147" t="s">
        <v>3890</v>
      </c>
      <c r="E260" s="114" t="s">
        <v>3891</v>
      </c>
      <c r="F260" s="115" t="s">
        <v>983</v>
      </c>
      <c r="G260" s="115" t="s">
        <v>990</v>
      </c>
      <c r="H260" s="116">
        <v>13.738614999999999</v>
      </c>
      <c r="I260" s="116">
        <v>100.529707</v>
      </c>
      <c r="J260" s="116" t="s">
        <v>969</v>
      </c>
      <c r="K260" s="115" t="s">
        <v>1048</v>
      </c>
      <c r="L260" s="117" t="s">
        <v>3892</v>
      </c>
      <c r="M260" s="117">
        <v>96937606</v>
      </c>
      <c r="N260" s="121" t="s">
        <v>1050</v>
      </c>
      <c r="O260" s="121" t="s">
        <v>984</v>
      </c>
      <c r="P260" s="117" t="s">
        <v>952</v>
      </c>
      <c r="Q260" s="125" t="s">
        <v>972</v>
      </c>
      <c r="R260" s="125" t="s">
        <v>972</v>
      </c>
      <c r="S260" s="125" t="s">
        <v>972</v>
      </c>
      <c r="T260" s="222"/>
      <c r="U260" s="222"/>
      <c r="V260" s="222"/>
      <c r="W260" s="230"/>
      <c r="X260" s="331">
        <f t="shared" ref="X260:X323" si="14">V260+(W260)</f>
        <v>0</v>
      </c>
      <c r="Y260" s="222"/>
      <c r="Z260" s="272">
        <f t="shared" si="12"/>
        <v>0</v>
      </c>
      <c r="AA260" s="331"/>
      <c r="AB260" s="331"/>
      <c r="AC260" s="331"/>
      <c r="AD260" s="331"/>
      <c r="AE260" s="331"/>
      <c r="AF260" s="331"/>
      <c r="AG260" s="331"/>
      <c r="AH260" s="241">
        <f t="shared" ca="1" si="13"/>
        <v>46153</v>
      </c>
      <c r="AI260" s="272"/>
      <c r="AJ260" s="222"/>
      <c r="AK260" s="222"/>
    </row>
    <row r="261" spans="1:37" ht="23.25" hidden="1" customHeight="1">
      <c r="A261" s="111">
        <v>719</v>
      </c>
      <c r="B261" s="112">
        <v>14</v>
      </c>
      <c r="C261" s="113" t="s">
        <v>3903</v>
      </c>
      <c r="D261" s="147" t="s">
        <v>3904</v>
      </c>
      <c r="E261" s="114" t="s">
        <v>3905</v>
      </c>
      <c r="F261" s="115" t="s">
        <v>983</v>
      </c>
      <c r="G261" s="115" t="s">
        <v>990</v>
      </c>
      <c r="H261" s="115">
        <v>13.742953399999999</v>
      </c>
      <c r="I261" s="115">
        <v>100.53037310000001</v>
      </c>
      <c r="J261" s="115" t="s">
        <v>2108</v>
      </c>
      <c r="K261" s="117" t="s">
        <v>2759</v>
      </c>
      <c r="L261" s="117" t="s">
        <v>2110</v>
      </c>
      <c r="M261" s="121" t="s">
        <v>972</v>
      </c>
      <c r="N261" s="121" t="s">
        <v>972</v>
      </c>
      <c r="O261" s="135" t="s">
        <v>984</v>
      </c>
      <c r="P261" s="136" t="s">
        <v>952</v>
      </c>
      <c r="Q261" s="125" t="s">
        <v>972</v>
      </c>
      <c r="R261" s="125" t="s">
        <v>972</v>
      </c>
      <c r="S261" s="125" t="s">
        <v>972</v>
      </c>
      <c r="T261" s="222"/>
      <c r="U261" s="222"/>
      <c r="V261" s="222"/>
      <c r="W261" s="230"/>
      <c r="X261" s="331">
        <f t="shared" si="14"/>
        <v>0</v>
      </c>
      <c r="Y261" s="222"/>
      <c r="Z261" s="272">
        <f t="shared" si="12"/>
        <v>0</v>
      </c>
      <c r="AA261" s="331"/>
      <c r="AB261" s="331"/>
      <c r="AC261" s="331"/>
      <c r="AD261" s="331"/>
      <c r="AE261" s="331"/>
      <c r="AF261" s="331"/>
      <c r="AG261" s="331"/>
      <c r="AH261" s="241">
        <f t="shared" ca="1" si="13"/>
        <v>46153</v>
      </c>
      <c r="AI261" s="272"/>
      <c r="AJ261" s="222"/>
      <c r="AK261" s="222"/>
    </row>
    <row r="262" spans="1:37" ht="23" hidden="1">
      <c r="A262" s="111">
        <v>723</v>
      </c>
      <c r="B262" s="112" t="s">
        <v>1071</v>
      </c>
      <c r="C262" s="113" t="s">
        <v>3916</v>
      </c>
      <c r="D262" s="147" t="s">
        <v>3917</v>
      </c>
      <c r="E262" s="114" t="s">
        <v>3918</v>
      </c>
      <c r="F262" s="115" t="s">
        <v>983</v>
      </c>
      <c r="G262" s="115" t="s">
        <v>990</v>
      </c>
      <c r="H262" s="491">
        <v>13.7436621</v>
      </c>
      <c r="I262" s="491">
        <v>100.5303195</v>
      </c>
      <c r="J262" s="116" t="s">
        <v>2097</v>
      </c>
      <c r="K262" s="121" t="s">
        <v>2097</v>
      </c>
      <c r="L262" s="121" t="s">
        <v>2494</v>
      </c>
      <c r="M262" s="116" t="s">
        <v>1347</v>
      </c>
      <c r="N262" s="121" t="s">
        <v>972</v>
      </c>
      <c r="O262" s="121"/>
      <c r="P262" s="127" t="s">
        <v>1076</v>
      </c>
      <c r="Q262" s="129" t="s">
        <v>972</v>
      </c>
      <c r="R262" s="119" t="s">
        <v>972</v>
      </c>
      <c r="S262" s="119" t="s">
        <v>972</v>
      </c>
      <c r="T262" s="222"/>
      <c r="U262" s="222"/>
      <c r="V262" s="222"/>
      <c r="W262" s="230"/>
      <c r="X262" s="331">
        <f t="shared" si="14"/>
        <v>0</v>
      </c>
      <c r="Y262" s="222"/>
      <c r="Z262" s="272">
        <f t="shared" si="12"/>
        <v>0</v>
      </c>
      <c r="AA262" s="331"/>
      <c r="AB262" s="331"/>
      <c r="AC262" s="331"/>
      <c r="AD262" s="331"/>
      <c r="AE262" s="331"/>
      <c r="AF262" s="331"/>
      <c r="AG262" s="331"/>
      <c r="AH262" s="241">
        <f t="shared" ca="1" si="13"/>
        <v>46153</v>
      </c>
      <c r="AI262" s="272"/>
      <c r="AJ262" s="222"/>
      <c r="AK262" s="222"/>
    </row>
    <row r="263" spans="1:37" ht="23.25" hidden="1" customHeight="1">
      <c r="A263" s="111">
        <v>788</v>
      </c>
      <c r="B263" s="112">
        <v>4</v>
      </c>
      <c r="C263" s="122" t="s">
        <v>4073</v>
      </c>
      <c r="D263" s="147" t="s">
        <v>4074</v>
      </c>
      <c r="E263" s="132" t="s">
        <v>4075</v>
      </c>
      <c r="F263" s="116" t="s">
        <v>983</v>
      </c>
      <c r="G263" s="116" t="s">
        <v>990</v>
      </c>
      <c r="H263" s="117">
        <v>13.7352679</v>
      </c>
      <c r="I263" s="117">
        <v>100.5290466</v>
      </c>
      <c r="J263" s="116" t="s">
        <v>969</v>
      </c>
      <c r="K263" s="115" t="s">
        <v>1048</v>
      </c>
      <c r="L263" s="117" t="s">
        <v>4076</v>
      </c>
      <c r="M263" s="121">
        <v>96950747</v>
      </c>
      <c r="N263" s="121" t="s">
        <v>1050</v>
      </c>
      <c r="O263" s="121" t="s">
        <v>984</v>
      </c>
      <c r="P263" s="117" t="s">
        <v>952</v>
      </c>
      <c r="Q263" s="125" t="s">
        <v>972</v>
      </c>
      <c r="R263" s="125" t="s">
        <v>972</v>
      </c>
      <c r="S263" s="125" t="s">
        <v>972</v>
      </c>
      <c r="T263" s="222"/>
      <c r="U263" s="222"/>
      <c r="V263" s="222"/>
      <c r="W263" s="230"/>
      <c r="X263" s="331">
        <f t="shared" si="14"/>
        <v>0</v>
      </c>
      <c r="Y263" s="222"/>
      <c r="Z263" s="272">
        <f t="shared" si="12"/>
        <v>0</v>
      </c>
      <c r="AA263" s="331"/>
      <c r="AB263" s="331"/>
      <c r="AC263" s="331"/>
      <c r="AD263" s="331"/>
      <c r="AE263" s="331"/>
      <c r="AF263" s="331"/>
      <c r="AG263" s="331"/>
      <c r="AH263" s="241">
        <f t="shared" ca="1" si="13"/>
        <v>46153</v>
      </c>
      <c r="AI263" s="272"/>
      <c r="AJ263" s="222"/>
      <c r="AK263" s="222"/>
    </row>
    <row r="264" spans="1:37" ht="23.25" hidden="1" customHeight="1">
      <c r="A264" s="111">
        <v>837</v>
      </c>
      <c r="B264" s="112">
        <v>9</v>
      </c>
      <c r="C264" s="113" t="s">
        <v>4175</v>
      </c>
      <c r="D264" s="147" t="s">
        <v>4176</v>
      </c>
      <c r="E264" s="114" t="s">
        <v>4177</v>
      </c>
      <c r="F264" s="115" t="s">
        <v>983</v>
      </c>
      <c r="G264" s="115" t="s">
        <v>957</v>
      </c>
      <c r="H264" s="116">
        <v>13.755532000000001</v>
      </c>
      <c r="I264" s="116">
        <v>100.532937</v>
      </c>
      <c r="J264" s="115" t="s">
        <v>2108</v>
      </c>
      <c r="K264" s="117" t="s">
        <v>2759</v>
      </c>
      <c r="L264" s="117" t="s">
        <v>2110</v>
      </c>
      <c r="M264" s="121" t="s">
        <v>972</v>
      </c>
      <c r="N264" s="121" t="s">
        <v>972</v>
      </c>
      <c r="O264" s="121" t="s">
        <v>958</v>
      </c>
      <c r="P264" s="117" t="s">
        <v>952</v>
      </c>
      <c r="Q264" s="125" t="s">
        <v>972</v>
      </c>
      <c r="R264" s="125" t="s">
        <v>972</v>
      </c>
      <c r="S264" s="125" t="s">
        <v>972</v>
      </c>
      <c r="T264" s="222"/>
      <c r="U264" s="222"/>
      <c r="V264" s="222"/>
      <c r="W264" s="230"/>
      <c r="X264" s="331">
        <f t="shared" si="14"/>
        <v>0</v>
      </c>
      <c r="Y264" s="222"/>
      <c r="Z264" s="272">
        <f t="shared" si="12"/>
        <v>0</v>
      </c>
      <c r="AA264" s="331"/>
      <c r="AB264" s="331"/>
      <c r="AC264" s="331"/>
      <c r="AD264" s="331"/>
      <c r="AE264" s="331"/>
      <c r="AF264" s="331"/>
      <c r="AG264" s="331"/>
      <c r="AH264" s="241">
        <f t="shared" ca="1" si="13"/>
        <v>46153</v>
      </c>
      <c r="AI264" s="272"/>
      <c r="AJ264" s="222"/>
      <c r="AK264" s="222"/>
    </row>
    <row r="265" spans="1:37" ht="23.25" hidden="1" customHeight="1">
      <c r="A265" s="111">
        <v>847</v>
      </c>
      <c r="B265" s="112">
        <v>9</v>
      </c>
      <c r="C265" s="113" t="s">
        <v>4199</v>
      </c>
      <c r="D265" s="147" t="s">
        <v>4200</v>
      </c>
      <c r="E265" s="114" t="s">
        <v>4201</v>
      </c>
      <c r="F265" s="115" t="s">
        <v>983</v>
      </c>
      <c r="G265" s="115" t="s">
        <v>957</v>
      </c>
      <c r="H265" s="116">
        <v>13.758645</v>
      </c>
      <c r="I265" s="116">
        <v>100.534998</v>
      </c>
      <c r="J265" s="115" t="s">
        <v>2108</v>
      </c>
      <c r="K265" s="117" t="s">
        <v>2759</v>
      </c>
      <c r="L265" s="117" t="s">
        <v>2110</v>
      </c>
      <c r="M265" s="121" t="s">
        <v>972</v>
      </c>
      <c r="N265" s="121" t="s">
        <v>972</v>
      </c>
      <c r="O265" s="121" t="s">
        <v>958</v>
      </c>
      <c r="P265" s="117" t="s">
        <v>952</v>
      </c>
      <c r="Q265" s="125" t="s">
        <v>972</v>
      </c>
      <c r="R265" s="125" t="s">
        <v>972</v>
      </c>
      <c r="S265" s="125" t="s">
        <v>972</v>
      </c>
      <c r="T265" s="222"/>
      <c r="U265" s="222"/>
      <c r="V265" s="222"/>
      <c r="W265" s="230"/>
      <c r="X265" s="331">
        <f t="shared" si="14"/>
        <v>0</v>
      </c>
      <c r="Y265" s="222"/>
      <c r="Z265" s="272">
        <f t="shared" si="12"/>
        <v>0</v>
      </c>
      <c r="AA265" s="331"/>
      <c r="AB265" s="331"/>
      <c r="AC265" s="331"/>
      <c r="AD265" s="331"/>
      <c r="AE265" s="331"/>
      <c r="AF265" s="331"/>
      <c r="AG265" s="331"/>
      <c r="AH265" s="241">
        <f t="shared" ca="1" si="13"/>
        <v>46153</v>
      </c>
      <c r="AI265" s="272"/>
      <c r="AJ265" s="222"/>
      <c r="AK265" s="222"/>
    </row>
    <row r="266" spans="1:37" s="468" customFormat="1" ht="23.25" hidden="1" customHeight="1">
      <c r="A266" s="111">
        <v>869</v>
      </c>
      <c r="B266" s="112" t="s">
        <v>1459</v>
      </c>
      <c r="C266" s="113" t="s">
        <v>4260</v>
      </c>
      <c r="D266" s="147" t="s">
        <v>4261</v>
      </c>
      <c r="E266" s="114" t="s">
        <v>4262</v>
      </c>
      <c r="F266" s="115" t="s">
        <v>983</v>
      </c>
      <c r="G266" s="115" t="s">
        <v>990</v>
      </c>
      <c r="H266" s="116">
        <v>13.736208</v>
      </c>
      <c r="I266" s="116">
        <v>100.529189</v>
      </c>
      <c r="J266" s="116" t="s">
        <v>969</v>
      </c>
      <c r="K266" s="115" t="s">
        <v>1048</v>
      </c>
      <c r="L266" s="117" t="s">
        <v>4263</v>
      </c>
      <c r="M266" s="117">
        <v>96950747</v>
      </c>
      <c r="N266" s="121" t="s">
        <v>1050</v>
      </c>
      <c r="O266" s="121" t="s">
        <v>984</v>
      </c>
      <c r="P266" s="117" t="s">
        <v>952</v>
      </c>
      <c r="Q266" s="125" t="s">
        <v>972</v>
      </c>
      <c r="R266" s="125" t="s">
        <v>972</v>
      </c>
      <c r="S266" s="125" t="s">
        <v>972</v>
      </c>
      <c r="T266" s="222"/>
      <c r="U266" s="222"/>
      <c r="V266" s="222"/>
      <c r="W266" s="230"/>
      <c r="X266" s="331">
        <f t="shared" si="14"/>
        <v>0</v>
      </c>
      <c r="Y266" s="222"/>
      <c r="Z266" s="272">
        <f t="shared" si="12"/>
        <v>0</v>
      </c>
      <c r="AA266" s="331"/>
      <c r="AB266" s="331"/>
      <c r="AC266" s="331"/>
      <c r="AD266" s="331"/>
      <c r="AE266" s="331"/>
      <c r="AF266" s="331"/>
      <c r="AG266" s="331"/>
      <c r="AH266" s="241">
        <f t="shared" ca="1" si="13"/>
        <v>46153</v>
      </c>
      <c r="AI266" s="272"/>
      <c r="AJ266" s="222"/>
      <c r="AK266" s="222"/>
    </row>
    <row r="267" spans="1:37" ht="23.25" hidden="1" customHeight="1">
      <c r="A267" s="111">
        <v>160</v>
      </c>
      <c r="B267" s="112">
        <v>12</v>
      </c>
      <c r="C267" s="122" t="s">
        <v>4264</v>
      </c>
      <c r="D267" s="147" t="s">
        <v>4265</v>
      </c>
      <c r="E267" s="123" t="s">
        <v>4266</v>
      </c>
      <c r="F267" s="116" t="s">
        <v>983</v>
      </c>
      <c r="G267" s="116" t="s">
        <v>957</v>
      </c>
      <c r="H267" s="116">
        <v>13.7525035</v>
      </c>
      <c r="I267" s="116">
        <v>100.53159460000001</v>
      </c>
      <c r="J267" s="115" t="s">
        <v>890</v>
      </c>
      <c r="K267" s="117" t="s">
        <v>891</v>
      </c>
      <c r="L267" s="117" t="s">
        <v>891</v>
      </c>
      <c r="M267" s="121">
        <v>97075416</v>
      </c>
      <c r="N267" s="121" t="s">
        <v>1050</v>
      </c>
      <c r="O267" s="121" t="s">
        <v>958</v>
      </c>
      <c r="P267" s="117" t="s">
        <v>952</v>
      </c>
      <c r="Q267" s="125" t="s">
        <v>972</v>
      </c>
      <c r="R267" s="125" t="s">
        <v>972</v>
      </c>
      <c r="S267" s="125" t="s">
        <v>4267</v>
      </c>
      <c r="T267" s="222"/>
      <c r="U267" s="222"/>
      <c r="V267" s="222"/>
      <c r="W267" s="230"/>
      <c r="X267" s="331">
        <f t="shared" si="14"/>
        <v>0</v>
      </c>
      <c r="Y267" s="222"/>
      <c r="Z267" s="272">
        <f t="shared" si="12"/>
        <v>0</v>
      </c>
      <c r="AA267" s="331"/>
      <c r="AB267" s="331"/>
      <c r="AC267" s="331"/>
      <c r="AD267" s="331"/>
      <c r="AE267" s="331"/>
      <c r="AF267" s="331"/>
      <c r="AG267" s="331"/>
      <c r="AH267" s="241">
        <f t="shared" ca="1" si="13"/>
        <v>46153</v>
      </c>
      <c r="AI267" s="272"/>
      <c r="AJ267" s="222"/>
      <c r="AK267" s="222"/>
    </row>
    <row r="268" spans="1:37" ht="23" hidden="1">
      <c r="A268" s="111">
        <v>231</v>
      </c>
      <c r="B268" s="112" t="s">
        <v>985</v>
      </c>
      <c r="C268" s="113" t="s">
        <v>4275</v>
      </c>
      <c r="D268" s="147" t="s">
        <v>4276</v>
      </c>
      <c r="E268" s="114" t="s">
        <v>4277</v>
      </c>
      <c r="F268" s="115" t="s">
        <v>983</v>
      </c>
      <c r="G268" s="115" t="s">
        <v>957</v>
      </c>
      <c r="H268" s="116">
        <v>13.7573493</v>
      </c>
      <c r="I268" s="116">
        <v>100.5339554</v>
      </c>
      <c r="J268" s="116" t="s">
        <v>890</v>
      </c>
      <c r="K268" s="115" t="s">
        <v>1212</v>
      </c>
      <c r="L268" s="117" t="s">
        <v>1213</v>
      </c>
      <c r="M268" s="118">
        <v>84012749</v>
      </c>
      <c r="N268" s="121" t="s">
        <v>1050</v>
      </c>
      <c r="O268" s="121" t="s">
        <v>958</v>
      </c>
      <c r="P268" s="117" t="s">
        <v>952</v>
      </c>
      <c r="Q268" s="125" t="s">
        <v>972</v>
      </c>
      <c r="R268" s="125" t="s">
        <v>972</v>
      </c>
      <c r="S268" s="119" t="s">
        <v>895</v>
      </c>
      <c r="T268" s="222"/>
      <c r="U268" s="222"/>
      <c r="V268" s="222"/>
      <c r="W268" s="230"/>
      <c r="X268" s="331">
        <f t="shared" si="14"/>
        <v>0</v>
      </c>
      <c r="Y268" s="222"/>
      <c r="Z268" s="272">
        <f t="shared" si="12"/>
        <v>0</v>
      </c>
      <c r="AA268" s="331"/>
      <c r="AB268" s="331"/>
      <c r="AC268" s="331"/>
      <c r="AD268" s="331"/>
      <c r="AE268" s="331"/>
      <c r="AF268" s="331"/>
      <c r="AG268" s="331"/>
      <c r="AH268" s="241">
        <f t="shared" ca="1" si="13"/>
        <v>46153</v>
      </c>
      <c r="AI268" s="272"/>
      <c r="AJ268" s="222"/>
      <c r="AK268" s="222"/>
    </row>
    <row r="269" spans="1:37" ht="33" hidden="1" customHeight="1">
      <c r="A269" s="111">
        <v>877</v>
      </c>
      <c r="B269" s="112">
        <v>9</v>
      </c>
      <c r="C269" s="122" t="s">
        <v>4282</v>
      </c>
      <c r="D269" s="147" t="s">
        <v>4283</v>
      </c>
      <c r="E269" s="114" t="s">
        <v>4284</v>
      </c>
      <c r="F269" s="115" t="s">
        <v>983</v>
      </c>
      <c r="G269" s="115" t="s">
        <v>990</v>
      </c>
      <c r="H269" s="116">
        <v>13.7445848</v>
      </c>
      <c r="I269" s="116">
        <v>100.5304525</v>
      </c>
      <c r="J269" s="116" t="s">
        <v>2097</v>
      </c>
      <c r="K269" s="116" t="s">
        <v>2097</v>
      </c>
      <c r="L269" s="117" t="s">
        <v>2098</v>
      </c>
      <c r="M269" s="116" t="s">
        <v>1347</v>
      </c>
      <c r="N269" s="121" t="s">
        <v>1050</v>
      </c>
      <c r="O269" s="121" t="s">
        <v>984</v>
      </c>
      <c r="P269" s="117" t="s">
        <v>952</v>
      </c>
      <c r="Q269" s="125" t="s">
        <v>972</v>
      </c>
      <c r="R269" s="125" t="s">
        <v>972</v>
      </c>
      <c r="S269" s="125" t="s">
        <v>972</v>
      </c>
      <c r="T269" s="222"/>
      <c r="U269" s="222"/>
      <c r="V269" s="222"/>
      <c r="W269" s="230"/>
      <c r="X269" s="331">
        <f t="shared" si="14"/>
        <v>0</v>
      </c>
      <c r="Y269" s="222"/>
      <c r="Z269" s="272">
        <f t="shared" si="12"/>
        <v>0</v>
      </c>
      <c r="AA269" s="331"/>
      <c r="AB269" s="331"/>
      <c r="AC269" s="331"/>
      <c r="AD269" s="331"/>
      <c r="AE269" s="331"/>
      <c r="AF269" s="331"/>
      <c r="AG269" s="331"/>
      <c r="AH269" s="241">
        <f t="shared" ca="1" si="13"/>
        <v>46153</v>
      </c>
      <c r="AI269" s="272"/>
      <c r="AJ269" s="222"/>
      <c r="AK269" s="222"/>
    </row>
    <row r="270" spans="1:37" ht="23" hidden="1">
      <c r="A270" s="111">
        <v>477</v>
      </c>
      <c r="B270" s="112">
        <v>13</v>
      </c>
      <c r="C270" s="113" t="s">
        <v>4285</v>
      </c>
      <c r="D270" s="147" t="s">
        <v>4286</v>
      </c>
      <c r="E270" s="114" t="s">
        <v>4287</v>
      </c>
      <c r="F270" s="115" t="s">
        <v>983</v>
      </c>
      <c r="G270" s="115" t="s">
        <v>957</v>
      </c>
      <c r="H270" s="116">
        <v>13.7523179</v>
      </c>
      <c r="I270" s="116">
        <v>100.53174490000001</v>
      </c>
      <c r="J270" s="116" t="s">
        <v>890</v>
      </c>
      <c r="K270" s="115" t="s">
        <v>1212</v>
      </c>
      <c r="L270" s="117" t="s">
        <v>1213</v>
      </c>
      <c r="M270" s="117" t="s">
        <v>4288</v>
      </c>
      <c r="N270" s="121" t="s">
        <v>1050</v>
      </c>
      <c r="O270" s="121" t="s">
        <v>958</v>
      </c>
      <c r="P270" s="118" t="s">
        <v>952</v>
      </c>
      <c r="Q270" s="125" t="s">
        <v>972</v>
      </c>
      <c r="R270" s="125" t="s">
        <v>972</v>
      </c>
      <c r="S270" s="119" t="s">
        <v>895</v>
      </c>
      <c r="T270" s="222"/>
      <c r="U270" s="222"/>
      <c r="V270" s="222"/>
      <c r="W270" s="230"/>
      <c r="X270" s="331">
        <f t="shared" si="14"/>
        <v>0</v>
      </c>
      <c r="Y270" s="222"/>
      <c r="Z270" s="272">
        <f t="shared" si="12"/>
        <v>0</v>
      </c>
      <c r="AA270" s="331"/>
      <c r="AB270" s="331"/>
      <c r="AC270" s="331"/>
      <c r="AD270" s="331"/>
      <c r="AE270" s="331"/>
      <c r="AF270" s="331"/>
      <c r="AG270" s="331"/>
      <c r="AH270" s="241">
        <f t="shared" ca="1" si="13"/>
        <v>46153</v>
      </c>
      <c r="AI270" s="272"/>
      <c r="AJ270" s="222"/>
      <c r="AK270" s="222"/>
    </row>
    <row r="271" spans="1:37" ht="23.25" hidden="1" customHeight="1">
      <c r="A271" s="111">
        <v>982</v>
      </c>
      <c r="B271" s="112">
        <v>10</v>
      </c>
      <c r="C271" s="113" t="s">
        <v>4299</v>
      </c>
      <c r="D271" s="147" t="s">
        <v>4300</v>
      </c>
      <c r="E271" s="114" t="s">
        <v>4301</v>
      </c>
      <c r="F271" s="115" t="s">
        <v>983</v>
      </c>
      <c r="G271" s="115" t="s">
        <v>990</v>
      </c>
      <c r="H271" s="116">
        <v>13.748454000000001</v>
      </c>
      <c r="I271" s="116">
        <v>100.5310382</v>
      </c>
      <c r="J271" s="116" t="s">
        <v>890</v>
      </c>
      <c r="K271" s="117" t="s">
        <v>891</v>
      </c>
      <c r="L271" s="117" t="s">
        <v>891</v>
      </c>
      <c r="M271" s="117">
        <v>96924218</v>
      </c>
      <c r="N271" s="120" t="s">
        <v>892</v>
      </c>
      <c r="O271" s="120" t="s">
        <v>958</v>
      </c>
      <c r="P271" s="117" t="s">
        <v>952</v>
      </c>
      <c r="Q271" s="125" t="s">
        <v>972</v>
      </c>
      <c r="R271" s="119"/>
      <c r="S271" s="119" t="s">
        <v>895</v>
      </c>
      <c r="T271" s="222"/>
      <c r="U271" s="222"/>
      <c r="V271" s="222"/>
      <c r="W271" s="230"/>
      <c r="X271" s="331">
        <f t="shared" si="14"/>
        <v>0</v>
      </c>
      <c r="Y271" s="222"/>
      <c r="Z271" s="272">
        <f t="shared" si="12"/>
        <v>0</v>
      </c>
      <c r="AA271" s="331"/>
      <c r="AB271" s="331"/>
      <c r="AC271" s="331"/>
      <c r="AD271" s="331"/>
      <c r="AE271" s="331"/>
      <c r="AF271" s="331"/>
      <c r="AG271" s="331"/>
      <c r="AH271" s="241">
        <f t="shared" ca="1" si="13"/>
        <v>46153</v>
      </c>
      <c r="AI271" s="272"/>
      <c r="AJ271" s="222"/>
      <c r="AK271" s="222"/>
    </row>
    <row r="272" spans="1:37" ht="23.25" hidden="1" customHeight="1">
      <c r="A272" s="111">
        <v>973</v>
      </c>
      <c r="B272" s="112">
        <v>3</v>
      </c>
      <c r="C272" s="122" t="s">
        <v>4556</v>
      </c>
      <c r="D272" s="147" t="s">
        <v>4557</v>
      </c>
      <c r="E272" s="114" t="s">
        <v>4558</v>
      </c>
      <c r="F272" s="115" t="s">
        <v>983</v>
      </c>
      <c r="G272" s="115" t="s">
        <v>990</v>
      </c>
      <c r="H272" s="116">
        <v>13.744066999999999</v>
      </c>
      <c r="I272" s="116">
        <v>100.530152</v>
      </c>
      <c r="J272" s="116" t="s">
        <v>969</v>
      </c>
      <c r="K272" s="115" t="s">
        <v>1048</v>
      </c>
      <c r="L272" s="118" t="s">
        <v>4559</v>
      </c>
      <c r="M272" s="121">
        <v>96937613</v>
      </c>
      <c r="N272" s="121" t="s">
        <v>1050</v>
      </c>
      <c r="O272" s="121" t="s">
        <v>984</v>
      </c>
      <c r="P272" s="117" t="s">
        <v>952</v>
      </c>
      <c r="Q272" s="125" t="s">
        <v>972</v>
      </c>
      <c r="R272" s="125" t="s">
        <v>972</v>
      </c>
      <c r="S272" s="125" t="s">
        <v>972</v>
      </c>
      <c r="T272" s="222"/>
      <c r="U272" s="222"/>
      <c r="V272" s="222"/>
      <c r="W272" s="230"/>
      <c r="X272" s="331">
        <f t="shared" si="14"/>
        <v>0</v>
      </c>
      <c r="Y272" s="222"/>
      <c r="Z272" s="272">
        <f t="shared" si="12"/>
        <v>0</v>
      </c>
      <c r="AA272" s="331"/>
      <c r="AB272" s="331"/>
      <c r="AC272" s="331"/>
      <c r="AD272" s="331"/>
      <c r="AE272" s="331"/>
      <c r="AF272" s="331"/>
      <c r="AG272" s="331"/>
      <c r="AH272" s="241">
        <f t="shared" ca="1" si="13"/>
        <v>46153</v>
      </c>
      <c r="AI272" s="272"/>
      <c r="AJ272" s="222"/>
      <c r="AK272" s="222"/>
    </row>
    <row r="273" spans="1:37" ht="23.25" hidden="1" customHeight="1">
      <c r="A273" s="111">
        <v>988</v>
      </c>
      <c r="B273" s="112">
        <v>9</v>
      </c>
      <c r="C273" s="113" t="s">
        <v>4589</v>
      </c>
      <c r="D273" s="147" t="s">
        <v>4590</v>
      </c>
      <c r="E273" s="114" t="s">
        <v>4591</v>
      </c>
      <c r="F273" s="115" t="s">
        <v>983</v>
      </c>
      <c r="G273" s="115" t="s">
        <v>957</v>
      </c>
      <c r="H273" s="115">
        <v>13.759707300000001</v>
      </c>
      <c r="I273" s="115">
        <v>100.5352575</v>
      </c>
      <c r="J273" s="116" t="s">
        <v>2097</v>
      </c>
      <c r="K273" s="116" t="s">
        <v>2097</v>
      </c>
      <c r="L273" s="117" t="s">
        <v>2098</v>
      </c>
      <c r="M273" s="116" t="s">
        <v>1347</v>
      </c>
      <c r="N273" s="121" t="s">
        <v>1050</v>
      </c>
      <c r="O273" s="121" t="s">
        <v>958</v>
      </c>
      <c r="P273" s="117" t="s">
        <v>952</v>
      </c>
      <c r="Q273" s="125" t="s">
        <v>972</v>
      </c>
      <c r="R273" s="125" t="s">
        <v>972</v>
      </c>
      <c r="S273" s="125" t="s">
        <v>972</v>
      </c>
      <c r="T273" s="222"/>
      <c r="U273" s="222"/>
      <c r="V273" s="222"/>
      <c r="W273" s="230"/>
      <c r="X273" s="331">
        <f t="shared" si="14"/>
        <v>0</v>
      </c>
      <c r="Y273" s="222"/>
      <c r="Z273" s="272">
        <f t="shared" si="12"/>
        <v>0</v>
      </c>
      <c r="AA273" s="331"/>
      <c r="AB273" s="331"/>
      <c r="AC273" s="331"/>
      <c r="AD273" s="331"/>
      <c r="AE273" s="331"/>
      <c r="AF273" s="331"/>
      <c r="AG273" s="331"/>
      <c r="AH273" s="241">
        <f t="shared" ca="1" si="13"/>
        <v>46153</v>
      </c>
      <c r="AI273" s="272"/>
      <c r="AJ273" s="222"/>
      <c r="AK273" s="222"/>
    </row>
    <row r="274" spans="1:37" ht="23.25" hidden="1" customHeight="1">
      <c r="A274" s="111">
        <v>1024</v>
      </c>
      <c r="B274" s="112" t="s">
        <v>1086</v>
      </c>
      <c r="C274" s="113" t="s">
        <v>4670</v>
      </c>
      <c r="D274" s="555" t="s">
        <v>4671</v>
      </c>
      <c r="E274" s="114" t="s">
        <v>4672</v>
      </c>
      <c r="F274" s="115" t="s">
        <v>983</v>
      </c>
      <c r="G274" s="115" t="s">
        <v>957</v>
      </c>
      <c r="H274" s="116">
        <v>13.762297999999999</v>
      </c>
      <c r="I274" s="116">
        <v>100.536703</v>
      </c>
      <c r="J274" s="116" t="s">
        <v>969</v>
      </c>
      <c r="K274" s="117" t="s">
        <v>970</v>
      </c>
      <c r="L274" s="117" t="s">
        <v>4673</v>
      </c>
      <c r="M274" s="121" t="s">
        <v>972</v>
      </c>
      <c r="N274" s="121" t="s">
        <v>972</v>
      </c>
      <c r="O274" s="121" t="s">
        <v>958</v>
      </c>
      <c r="P274" s="117" t="s">
        <v>952</v>
      </c>
      <c r="Q274" s="125" t="s">
        <v>972</v>
      </c>
      <c r="R274" s="125" t="s">
        <v>972</v>
      </c>
      <c r="S274" s="125" t="s">
        <v>972</v>
      </c>
      <c r="T274" s="222"/>
      <c r="U274" s="222"/>
      <c r="V274" s="222"/>
      <c r="W274" s="230"/>
      <c r="X274" s="331">
        <f t="shared" si="14"/>
        <v>0</v>
      </c>
      <c r="Y274" s="222"/>
      <c r="Z274" s="272">
        <f t="shared" si="12"/>
        <v>0</v>
      </c>
      <c r="AA274" s="331"/>
      <c r="AB274" s="331"/>
      <c r="AC274" s="331"/>
      <c r="AD274" s="331"/>
      <c r="AE274" s="331"/>
      <c r="AF274" s="331"/>
      <c r="AG274" s="331"/>
      <c r="AH274" s="241">
        <f t="shared" ca="1" si="13"/>
        <v>46153</v>
      </c>
      <c r="AI274" s="272"/>
      <c r="AJ274" s="222"/>
      <c r="AK274" s="222"/>
    </row>
    <row r="275" spans="1:37" ht="23" hidden="1">
      <c r="A275" s="111">
        <v>1085</v>
      </c>
      <c r="B275" s="112" t="s">
        <v>1071</v>
      </c>
      <c r="C275" s="122" t="s">
        <v>4811</v>
      </c>
      <c r="D275" s="147" t="s">
        <v>4812</v>
      </c>
      <c r="E275" s="123" t="s">
        <v>4813</v>
      </c>
      <c r="F275" s="116" t="s">
        <v>983</v>
      </c>
      <c r="G275" s="116" t="s">
        <v>990</v>
      </c>
      <c r="H275" s="146">
        <v>13.733152</v>
      </c>
      <c r="I275" s="146">
        <v>100.52829199999999</v>
      </c>
      <c r="J275" s="116" t="s">
        <v>2097</v>
      </c>
      <c r="K275" s="121" t="s">
        <v>2097</v>
      </c>
      <c r="L275" s="121" t="s">
        <v>4814</v>
      </c>
      <c r="M275" s="116" t="s">
        <v>1347</v>
      </c>
      <c r="N275" s="121" t="s">
        <v>972</v>
      </c>
      <c r="O275" s="121"/>
      <c r="P275" s="127" t="s">
        <v>1076</v>
      </c>
      <c r="Q275" s="129" t="s">
        <v>972</v>
      </c>
      <c r="R275" s="119" t="s">
        <v>972</v>
      </c>
      <c r="S275" s="119" t="s">
        <v>972</v>
      </c>
      <c r="T275" s="222"/>
      <c r="U275" s="222"/>
      <c r="V275" s="222"/>
      <c r="W275" s="230"/>
      <c r="X275" s="331">
        <f t="shared" si="14"/>
        <v>0</v>
      </c>
      <c r="Y275" s="222"/>
      <c r="Z275" s="272">
        <f t="shared" si="12"/>
        <v>0</v>
      </c>
      <c r="AA275" s="331"/>
      <c r="AB275" s="331"/>
      <c r="AC275" s="331"/>
      <c r="AD275" s="331"/>
      <c r="AE275" s="331"/>
      <c r="AF275" s="331"/>
      <c r="AG275" s="331"/>
      <c r="AH275" s="241">
        <f t="shared" ca="1" si="13"/>
        <v>46153</v>
      </c>
      <c r="AI275" s="272"/>
      <c r="AJ275" s="222"/>
      <c r="AK275" s="222"/>
    </row>
    <row r="276" spans="1:37" ht="23" hidden="1">
      <c r="A276" s="111">
        <v>1098</v>
      </c>
      <c r="B276" s="112" t="s">
        <v>1071</v>
      </c>
      <c r="C276" s="122" t="s">
        <v>4844</v>
      </c>
      <c r="D276" s="147" t="s">
        <v>4842</v>
      </c>
      <c r="E276" s="123" t="s">
        <v>4845</v>
      </c>
      <c r="F276" s="116" t="s">
        <v>983</v>
      </c>
      <c r="G276" s="116" t="s">
        <v>990</v>
      </c>
      <c r="H276" s="116">
        <v>13.733485999999999</v>
      </c>
      <c r="I276" s="116">
        <v>100.528964</v>
      </c>
      <c r="J276" s="116" t="s">
        <v>2097</v>
      </c>
      <c r="K276" s="121" t="s">
        <v>2097</v>
      </c>
      <c r="L276" s="121" t="s">
        <v>2494</v>
      </c>
      <c r="M276" s="116" t="s">
        <v>1347</v>
      </c>
      <c r="N276" s="121" t="s">
        <v>972</v>
      </c>
      <c r="O276" s="121"/>
      <c r="P276" s="127" t="s">
        <v>1076</v>
      </c>
      <c r="Q276" s="129" t="s">
        <v>972</v>
      </c>
      <c r="R276" s="119" t="s">
        <v>972</v>
      </c>
      <c r="S276" s="119" t="s">
        <v>972</v>
      </c>
      <c r="T276" s="222"/>
      <c r="U276" s="222"/>
      <c r="V276" s="222"/>
      <c r="W276" s="230"/>
      <c r="X276" s="331">
        <f t="shared" si="14"/>
        <v>0</v>
      </c>
      <c r="Y276" s="222"/>
      <c r="Z276" s="272">
        <f t="shared" si="12"/>
        <v>0</v>
      </c>
      <c r="AA276" s="331"/>
      <c r="AB276" s="331"/>
      <c r="AC276" s="331"/>
      <c r="AD276" s="331"/>
      <c r="AE276" s="331"/>
      <c r="AF276" s="331"/>
      <c r="AG276" s="331"/>
      <c r="AH276" s="241">
        <f t="shared" ca="1" si="13"/>
        <v>46153</v>
      </c>
      <c r="AI276" s="272"/>
      <c r="AJ276" s="222"/>
      <c r="AK276" s="222"/>
    </row>
    <row r="277" spans="1:37" ht="23.25" hidden="1" customHeight="1">
      <c r="A277" s="111">
        <v>1110</v>
      </c>
      <c r="B277" s="112">
        <v>4</v>
      </c>
      <c r="C277" s="113" t="s">
        <v>4875</v>
      </c>
      <c r="D277" s="147" t="s">
        <v>4876</v>
      </c>
      <c r="E277" s="114" t="s">
        <v>4877</v>
      </c>
      <c r="F277" s="115" t="s">
        <v>983</v>
      </c>
      <c r="G277" s="115" t="s">
        <v>990</v>
      </c>
      <c r="H277" s="116">
        <v>13.734938100000001</v>
      </c>
      <c r="I277" s="116">
        <v>100.52918510000001</v>
      </c>
      <c r="J277" s="116" t="s">
        <v>2097</v>
      </c>
      <c r="K277" s="116" t="s">
        <v>2097</v>
      </c>
      <c r="L277" s="117" t="s">
        <v>2132</v>
      </c>
      <c r="M277" s="116" t="s">
        <v>1347</v>
      </c>
      <c r="N277" s="121" t="s">
        <v>1050</v>
      </c>
      <c r="O277" s="121" t="s">
        <v>984</v>
      </c>
      <c r="P277" s="117" t="s">
        <v>894</v>
      </c>
      <c r="Q277" s="125" t="s">
        <v>972</v>
      </c>
      <c r="R277" s="125" t="s">
        <v>972</v>
      </c>
      <c r="S277" s="130" t="s">
        <v>972</v>
      </c>
      <c r="T277" s="222"/>
      <c r="U277" s="222"/>
      <c r="V277" s="222"/>
      <c r="W277" s="230"/>
      <c r="X277" s="331">
        <f t="shared" si="14"/>
        <v>0</v>
      </c>
      <c r="Y277" s="222"/>
      <c r="Z277" s="272">
        <f t="shared" si="12"/>
        <v>0</v>
      </c>
      <c r="AA277" s="331"/>
      <c r="AB277" s="331"/>
      <c r="AC277" s="331"/>
      <c r="AD277" s="331"/>
      <c r="AE277" s="331"/>
      <c r="AF277" s="331"/>
      <c r="AG277" s="331"/>
      <c r="AH277" s="241">
        <f t="shared" ca="1" si="13"/>
        <v>46153</v>
      </c>
      <c r="AI277" s="272"/>
      <c r="AJ277" s="222"/>
      <c r="AK277" s="222"/>
    </row>
    <row r="278" spans="1:37" ht="23.25" hidden="1" customHeight="1">
      <c r="A278" s="111">
        <v>1114</v>
      </c>
      <c r="B278" s="112" t="s">
        <v>1114</v>
      </c>
      <c r="C278" s="113" t="s">
        <v>4884</v>
      </c>
      <c r="D278" s="147" t="s">
        <v>4885</v>
      </c>
      <c r="E278" s="114" t="s">
        <v>4886</v>
      </c>
      <c r="F278" s="115" t="s">
        <v>983</v>
      </c>
      <c r="G278" s="115" t="s">
        <v>990</v>
      </c>
      <c r="H278" s="116">
        <v>13.73803</v>
      </c>
      <c r="I278" s="116">
        <v>100.52966499999999</v>
      </c>
      <c r="J278" s="116" t="s">
        <v>969</v>
      </c>
      <c r="K278" s="115" t="s">
        <v>1048</v>
      </c>
      <c r="L278" s="117" t="s">
        <v>4887</v>
      </c>
      <c r="M278" s="117">
        <v>96937606</v>
      </c>
      <c r="N278" s="121" t="s">
        <v>1050</v>
      </c>
      <c r="O278" s="121" t="s">
        <v>984</v>
      </c>
      <c r="P278" s="117" t="s">
        <v>952</v>
      </c>
      <c r="Q278" s="125" t="s">
        <v>972</v>
      </c>
      <c r="R278" s="125" t="s">
        <v>972</v>
      </c>
      <c r="S278" s="125" t="s">
        <v>972</v>
      </c>
      <c r="T278" s="222"/>
      <c r="U278" s="222"/>
      <c r="V278" s="222"/>
      <c r="W278" s="230"/>
      <c r="X278" s="331">
        <f t="shared" si="14"/>
        <v>0</v>
      </c>
      <c r="Y278" s="222"/>
      <c r="Z278" s="272">
        <f t="shared" si="12"/>
        <v>0</v>
      </c>
      <c r="AA278" s="331"/>
      <c r="AB278" s="331"/>
      <c r="AC278" s="331"/>
      <c r="AD278" s="331"/>
      <c r="AE278" s="331"/>
      <c r="AF278" s="331"/>
      <c r="AG278" s="331"/>
      <c r="AH278" s="241">
        <f t="shared" ca="1" si="13"/>
        <v>46153</v>
      </c>
      <c r="AI278" s="272"/>
      <c r="AJ278" s="222"/>
      <c r="AK278" s="222"/>
    </row>
    <row r="279" spans="1:37" ht="23" hidden="1">
      <c r="A279" s="111">
        <v>470</v>
      </c>
      <c r="B279" s="112" t="s">
        <v>979</v>
      </c>
      <c r="C279" s="113" t="s">
        <v>1437</v>
      </c>
      <c r="D279" s="147" t="s">
        <v>1438</v>
      </c>
      <c r="E279" s="114" t="s">
        <v>1439</v>
      </c>
      <c r="F279" s="115" t="s">
        <v>1440</v>
      </c>
      <c r="G279" s="115" t="s">
        <v>990</v>
      </c>
      <c r="H279" s="116">
        <v>13.7473008</v>
      </c>
      <c r="I279" s="116">
        <v>100.5248911</v>
      </c>
      <c r="J279" s="116" t="s">
        <v>890</v>
      </c>
      <c r="K279" s="117" t="s">
        <v>891</v>
      </c>
      <c r="L279" s="117" t="s">
        <v>891</v>
      </c>
      <c r="M279" s="117">
        <v>96895759</v>
      </c>
      <c r="N279" s="117" t="s">
        <v>1050</v>
      </c>
      <c r="O279" s="121" t="s">
        <v>984</v>
      </c>
      <c r="P279" s="117" t="s">
        <v>902</v>
      </c>
      <c r="Q279" s="118">
        <v>80057501</v>
      </c>
      <c r="R279" s="119" t="s">
        <v>895</v>
      </c>
      <c r="S279" s="119" t="s">
        <v>895</v>
      </c>
      <c r="T279" s="222"/>
      <c r="U279" s="222"/>
      <c r="V279" s="222"/>
      <c r="W279" s="230"/>
      <c r="X279" s="331">
        <f t="shared" si="14"/>
        <v>0</v>
      </c>
      <c r="Y279" s="222"/>
      <c r="Z279" s="272">
        <f t="shared" si="12"/>
        <v>0</v>
      </c>
      <c r="AA279" s="331"/>
      <c r="AB279" s="331"/>
      <c r="AC279" s="331"/>
      <c r="AD279" s="331"/>
      <c r="AE279" s="331"/>
      <c r="AF279" s="331"/>
      <c r="AG279" s="331"/>
      <c r="AH279" s="241">
        <f t="shared" ca="1" si="13"/>
        <v>46153</v>
      </c>
      <c r="AI279" s="272"/>
      <c r="AJ279" s="222"/>
      <c r="AK279" s="222"/>
    </row>
    <row r="280" spans="1:37" ht="23" hidden="1">
      <c r="A280" s="111">
        <v>633</v>
      </c>
      <c r="B280" s="112" t="s">
        <v>1459</v>
      </c>
      <c r="C280" s="113" t="s">
        <v>1588</v>
      </c>
      <c r="D280" s="557" t="s">
        <v>1589</v>
      </c>
      <c r="E280" s="114" t="s">
        <v>1590</v>
      </c>
      <c r="F280" s="115" t="s">
        <v>1440</v>
      </c>
      <c r="G280" s="115" t="s">
        <v>990</v>
      </c>
      <c r="H280" s="117">
        <v>13.747111800000001</v>
      </c>
      <c r="I280" s="117">
        <v>100.52520130000001</v>
      </c>
      <c r="J280" s="116" t="s">
        <v>890</v>
      </c>
      <c r="K280" s="117" t="s">
        <v>891</v>
      </c>
      <c r="L280" s="117" t="s">
        <v>891</v>
      </c>
      <c r="M280" s="117">
        <v>96895762</v>
      </c>
      <c r="N280" s="117" t="s">
        <v>1050</v>
      </c>
      <c r="O280" s="121" t="s">
        <v>984</v>
      </c>
      <c r="P280" s="117" t="s">
        <v>902</v>
      </c>
      <c r="Q280" s="118">
        <v>80057501</v>
      </c>
      <c r="R280" s="119" t="s">
        <v>895</v>
      </c>
      <c r="S280" s="119" t="s">
        <v>895</v>
      </c>
      <c r="T280" s="222"/>
      <c r="U280" s="222"/>
      <c r="V280" s="222"/>
      <c r="W280" s="230"/>
      <c r="X280" s="331">
        <f t="shared" si="14"/>
        <v>0</v>
      </c>
      <c r="Y280" s="222"/>
      <c r="Z280" s="272">
        <f t="shared" si="12"/>
        <v>0</v>
      </c>
      <c r="AA280" s="331"/>
      <c r="AB280" s="331"/>
      <c r="AC280" s="331"/>
      <c r="AD280" s="331"/>
      <c r="AE280" s="331"/>
      <c r="AF280" s="331"/>
      <c r="AG280" s="331"/>
      <c r="AH280" s="241">
        <f t="shared" ca="1" si="13"/>
        <v>46153</v>
      </c>
      <c r="AI280" s="272"/>
      <c r="AJ280" s="222"/>
      <c r="AK280" s="222"/>
    </row>
    <row r="281" spans="1:37" ht="23" hidden="1">
      <c r="A281" s="111">
        <v>1002</v>
      </c>
      <c r="B281" s="112" t="s">
        <v>1082</v>
      </c>
      <c r="C281" s="122" t="s">
        <v>1933</v>
      </c>
      <c r="D281" s="147" t="s">
        <v>1934</v>
      </c>
      <c r="E281" s="132" t="s">
        <v>1935</v>
      </c>
      <c r="F281" s="116" t="s">
        <v>1440</v>
      </c>
      <c r="G281" s="116" t="s">
        <v>990</v>
      </c>
      <c r="H281" s="117">
        <v>13.7470035</v>
      </c>
      <c r="I281" s="117">
        <v>100.525891</v>
      </c>
      <c r="J281" s="121" t="s">
        <v>890</v>
      </c>
      <c r="K281" s="117" t="s">
        <v>891</v>
      </c>
      <c r="L281" s="117" t="s">
        <v>891</v>
      </c>
      <c r="M281" s="124">
        <v>96890804</v>
      </c>
      <c r="N281" s="121" t="s">
        <v>1050</v>
      </c>
      <c r="O281" s="121" t="s">
        <v>984</v>
      </c>
      <c r="P281" s="121" t="s">
        <v>972</v>
      </c>
      <c r="Q281" s="118">
        <v>80057501</v>
      </c>
      <c r="R281" s="119" t="s">
        <v>895</v>
      </c>
      <c r="S281" s="119" t="s">
        <v>895</v>
      </c>
      <c r="T281" s="222"/>
      <c r="U281" s="222"/>
      <c r="V281" s="222"/>
      <c r="W281" s="230"/>
      <c r="X281" s="331">
        <f t="shared" si="14"/>
        <v>0</v>
      </c>
      <c r="Y281" s="222"/>
      <c r="Z281" s="272">
        <f t="shared" si="12"/>
        <v>0</v>
      </c>
      <c r="AA281" s="331"/>
      <c r="AB281" s="331"/>
      <c r="AC281" s="331"/>
      <c r="AD281" s="331"/>
      <c r="AE281" s="331"/>
      <c r="AF281" s="331"/>
      <c r="AG281" s="331"/>
      <c r="AH281" s="241">
        <f t="shared" ca="1" si="13"/>
        <v>46153</v>
      </c>
      <c r="AI281" s="272"/>
      <c r="AJ281" s="222"/>
      <c r="AK281" s="222"/>
    </row>
    <row r="282" spans="1:37" ht="23.25" hidden="1" customHeight="1">
      <c r="A282" s="111">
        <v>1025</v>
      </c>
      <c r="B282" s="112" t="s">
        <v>1022</v>
      </c>
      <c r="C282" s="122" t="s">
        <v>1967</v>
      </c>
      <c r="D282" s="147" t="s">
        <v>1968</v>
      </c>
      <c r="E282" s="123" t="s">
        <v>1969</v>
      </c>
      <c r="F282" s="116" t="s">
        <v>1440</v>
      </c>
      <c r="G282" s="116" t="s">
        <v>990</v>
      </c>
      <c r="H282" s="116">
        <v>13.746565199999999</v>
      </c>
      <c r="I282" s="116">
        <v>100.5291254</v>
      </c>
      <c r="J282" s="116" t="s">
        <v>890</v>
      </c>
      <c r="K282" s="117" t="s">
        <v>891</v>
      </c>
      <c r="L282" s="117" t="s">
        <v>891</v>
      </c>
      <c r="M282" s="117">
        <v>96895764</v>
      </c>
      <c r="N282" s="117" t="s">
        <v>1050</v>
      </c>
      <c r="O282" s="121" t="s">
        <v>984</v>
      </c>
      <c r="P282" s="117" t="s">
        <v>902</v>
      </c>
      <c r="Q282" s="118">
        <v>80057501</v>
      </c>
      <c r="R282" s="138" t="s">
        <v>895</v>
      </c>
      <c r="S282" s="119" t="s">
        <v>895</v>
      </c>
      <c r="T282" s="222"/>
      <c r="U282" s="222"/>
      <c r="V282" s="222"/>
      <c r="W282" s="230"/>
      <c r="X282" s="331">
        <f t="shared" si="14"/>
        <v>0</v>
      </c>
      <c r="Y282" s="222"/>
      <c r="Z282" s="272">
        <f t="shared" si="12"/>
        <v>0</v>
      </c>
      <c r="AA282" s="331"/>
      <c r="AB282" s="331"/>
      <c r="AC282" s="331"/>
      <c r="AD282" s="331"/>
      <c r="AE282" s="331"/>
      <c r="AF282" s="331"/>
      <c r="AG282" s="331"/>
      <c r="AH282" s="241">
        <f t="shared" ca="1" si="13"/>
        <v>46153</v>
      </c>
      <c r="AI282" s="272"/>
      <c r="AJ282" s="222"/>
      <c r="AK282" s="222"/>
    </row>
    <row r="283" spans="1:37" ht="23.25" hidden="1" customHeight="1">
      <c r="A283" s="111">
        <v>1072</v>
      </c>
      <c r="B283" s="112" t="s">
        <v>985</v>
      </c>
      <c r="C283" s="113" t="s">
        <v>2019</v>
      </c>
      <c r="D283" s="147" t="s">
        <v>2020</v>
      </c>
      <c r="E283" s="114" t="s">
        <v>2021</v>
      </c>
      <c r="F283" s="115" t="s">
        <v>1440</v>
      </c>
      <c r="G283" s="115" t="s">
        <v>990</v>
      </c>
      <c r="H283" s="116">
        <v>13.747085</v>
      </c>
      <c r="I283" s="116">
        <v>100.5253254</v>
      </c>
      <c r="J283" s="116" t="s">
        <v>969</v>
      </c>
      <c r="K283" s="116" t="s">
        <v>970</v>
      </c>
      <c r="L283" s="117" t="s">
        <v>2022</v>
      </c>
      <c r="M283" s="117">
        <v>96895762</v>
      </c>
      <c r="N283" s="121" t="s">
        <v>1050</v>
      </c>
      <c r="O283" s="121" t="s">
        <v>984</v>
      </c>
      <c r="P283" s="118" t="s">
        <v>902</v>
      </c>
      <c r="Q283" s="125" t="s">
        <v>972</v>
      </c>
      <c r="R283" s="125" t="s">
        <v>972</v>
      </c>
      <c r="S283" s="125" t="s">
        <v>972</v>
      </c>
      <c r="T283" s="222"/>
      <c r="U283" s="222"/>
      <c r="V283" s="222"/>
      <c r="W283" s="230"/>
      <c r="X283" s="331">
        <f t="shared" si="14"/>
        <v>0</v>
      </c>
      <c r="Y283" s="222"/>
      <c r="Z283" s="272">
        <f t="shared" si="12"/>
        <v>0</v>
      </c>
      <c r="AA283" s="331"/>
      <c r="AB283" s="331"/>
      <c r="AC283" s="331"/>
      <c r="AD283" s="331"/>
      <c r="AE283" s="331"/>
      <c r="AF283" s="331"/>
      <c r="AG283" s="331"/>
      <c r="AH283" s="241">
        <f t="shared" ca="1" si="13"/>
        <v>46153</v>
      </c>
      <c r="AI283" s="272"/>
      <c r="AJ283" s="222"/>
      <c r="AK283" s="222"/>
    </row>
    <row r="284" spans="1:37" ht="23" hidden="1">
      <c r="A284" s="111">
        <v>1116</v>
      </c>
      <c r="B284" s="112" t="s">
        <v>1553</v>
      </c>
      <c r="C284" s="122" t="s">
        <v>2051</v>
      </c>
      <c r="D284" s="147" t="s">
        <v>2052</v>
      </c>
      <c r="E284" s="114" t="s">
        <v>2053</v>
      </c>
      <c r="F284" s="115" t="s">
        <v>1440</v>
      </c>
      <c r="G284" s="115" t="s">
        <v>990</v>
      </c>
      <c r="H284" s="116">
        <v>13.746181999999999</v>
      </c>
      <c r="I284" s="116">
        <v>100.530227</v>
      </c>
      <c r="J284" s="121" t="s">
        <v>890</v>
      </c>
      <c r="K284" s="117" t="s">
        <v>891</v>
      </c>
      <c r="L284" s="117" t="s">
        <v>891</v>
      </c>
      <c r="M284" s="124">
        <v>96895768</v>
      </c>
      <c r="N284" s="121" t="s">
        <v>1050</v>
      </c>
      <c r="O284" s="121" t="s">
        <v>984</v>
      </c>
      <c r="P284" s="121" t="s">
        <v>972</v>
      </c>
      <c r="Q284" s="118">
        <v>80057501</v>
      </c>
      <c r="R284" s="119" t="s">
        <v>895</v>
      </c>
      <c r="S284" s="119" t="s">
        <v>895</v>
      </c>
      <c r="T284" s="222"/>
      <c r="U284" s="222"/>
      <c r="V284" s="222"/>
      <c r="W284" s="230"/>
      <c r="X284" s="331">
        <f t="shared" si="14"/>
        <v>0</v>
      </c>
      <c r="Y284" s="222"/>
      <c r="Z284" s="272">
        <f t="shared" si="12"/>
        <v>0</v>
      </c>
      <c r="AA284" s="331"/>
      <c r="AB284" s="331"/>
      <c r="AC284" s="331"/>
      <c r="AD284" s="331"/>
      <c r="AE284" s="331"/>
      <c r="AF284" s="331"/>
      <c r="AG284" s="331"/>
      <c r="AH284" s="241">
        <f t="shared" ca="1" si="13"/>
        <v>46153</v>
      </c>
      <c r="AI284" s="272"/>
      <c r="AJ284" s="222"/>
      <c r="AK284" s="222"/>
    </row>
    <row r="285" spans="1:37" ht="23" hidden="1">
      <c r="A285" s="111">
        <v>1119</v>
      </c>
      <c r="B285" s="112" t="s">
        <v>1071</v>
      </c>
      <c r="C285" s="122" t="s">
        <v>2054</v>
      </c>
      <c r="D285" s="147" t="s">
        <v>2055</v>
      </c>
      <c r="E285" s="123" t="s">
        <v>2056</v>
      </c>
      <c r="F285" s="116" t="s">
        <v>1440</v>
      </c>
      <c r="G285" s="116" t="s">
        <v>990</v>
      </c>
      <c r="H285" s="146">
        <v>13.746283999999999</v>
      </c>
      <c r="I285" s="146">
        <v>100.529731</v>
      </c>
      <c r="J285" s="121" t="s">
        <v>890</v>
      </c>
      <c r="K285" s="121" t="s">
        <v>891</v>
      </c>
      <c r="L285" s="121" t="s">
        <v>891</v>
      </c>
      <c r="M285" s="121">
        <v>96890804</v>
      </c>
      <c r="N285" s="121" t="s">
        <v>1050</v>
      </c>
      <c r="O285" s="121"/>
      <c r="P285" s="127" t="s">
        <v>1076</v>
      </c>
      <c r="Q285" s="129" t="s">
        <v>972</v>
      </c>
      <c r="R285" s="119" t="s">
        <v>895</v>
      </c>
      <c r="S285" s="119" t="s">
        <v>895</v>
      </c>
      <c r="T285" s="222"/>
      <c r="U285" s="222"/>
      <c r="V285" s="222"/>
      <c r="W285" s="230"/>
      <c r="X285" s="331">
        <f t="shared" si="14"/>
        <v>0</v>
      </c>
      <c r="Y285" s="222"/>
      <c r="Z285" s="272">
        <f t="shared" si="12"/>
        <v>0</v>
      </c>
      <c r="AA285" s="331"/>
      <c r="AB285" s="331"/>
      <c r="AC285" s="331"/>
      <c r="AD285" s="331"/>
      <c r="AE285" s="331"/>
      <c r="AF285" s="331"/>
      <c r="AG285" s="331"/>
      <c r="AH285" s="241">
        <f t="shared" ca="1" si="13"/>
        <v>46153</v>
      </c>
      <c r="AI285" s="272"/>
      <c r="AJ285" s="222"/>
      <c r="AK285" s="222"/>
    </row>
    <row r="286" spans="1:37" ht="23.25" hidden="1" customHeight="1">
      <c r="A286" s="111">
        <v>1123</v>
      </c>
      <c r="B286" s="128" t="s">
        <v>1155</v>
      </c>
      <c r="C286" s="113" t="s">
        <v>2057</v>
      </c>
      <c r="D286" s="147" t="s">
        <v>2058</v>
      </c>
      <c r="E286" s="114" t="s">
        <v>2059</v>
      </c>
      <c r="F286" s="115" t="s">
        <v>1440</v>
      </c>
      <c r="G286" s="115" t="s">
        <v>990</v>
      </c>
      <c r="H286" s="116">
        <v>13.746572499999999</v>
      </c>
      <c r="I286" s="116">
        <v>100.528273</v>
      </c>
      <c r="J286" s="116" t="s">
        <v>969</v>
      </c>
      <c r="K286" s="115" t="s">
        <v>1048</v>
      </c>
      <c r="L286" s="117" t="s">
        <v>2060</v>
      </c>
      <c r="M286" s="117">
        <v>96924131</v>
      </c>
      <c r="N286" s="121" t="s">
        <v>1050</v>
      </c>
      <c r="O286" s="121" t="s">
        <v>984</v>
      </c>
      <c r="P286" s="117" t="s">
        <v>902</v>
      </c>
      <c r="Q286" s="125" t="s">
        <v>972</v>
      </c>
      <c r="R286" s="125" t="s">
        <v>972</v>
      </c>
      <c r="S286" s="125" t="s">
        <v>972</v>
      </c>
      <c r="T286" s="222"/>
      <c r="U286" s="222"/>
      <c r="V286" s="222"/>
      <c r="W286" s="230"/>
      <c r="X286" s="331">
        <f t="shared" si="14"/>
        <v>0</v>
      </c>
      <c r="Y286" s="222"/>
      <c r="Z286" s="272">
        <f t="shared" si="12"/>
        <v>0</v>
      </c>
      <c r="AA286" s="331"/>
      <c r="AB286" s="331"/>
      <c r="AC286" s="331"/>
      <c r="AD286" s="331"/>
      <c r="AE286" s="331"/>
      <c r="AF286" s="331"/>
      <c r="AG286" s="331"/>
      <c r="AH286" s="241">
        <f t="shared" ca="1" si="13"/>
        <v>46153</v>
      </c>
      <c r="AI286" s="272"/>
      <c r="AJ286" s="222"/>
      <c r="AK286" s="222"/>
    </row>
    <row r="287" spans="1:37" ht="23.25" hidden="1" customHeight="1">
      <c r="A287" s="111">
        <v>93</v>
      </c>
      <c r="B287" s="112">
        <v>7</v>
      </c>
      <c r="C287" s="113" t="s">
        <v>2336</v>
      </c>
      <c r="D287" s="147" t="s">
        <v>2337</v>
      </c>
      <c r="E287" s="114" t="s">
        <v>2338</v>
      </c>
      <c r="F287" s="115" t="s">
        <v>1440</v>
      </c>
      <c r="G287" s="115" t="s">
        <v>990</v>
      </c>
      <c r="H287" s="116">
        <v>13.7467845</v>
      </c>
      <c r="I287" s="116">
        <v>100.53096360000001</v>
      </c>
      <c r="J287" s="116" t="s">
        <v>2097</v>
      </c>
      <c r="K287" s="116" t="s">
        <v>2097</v>
      </c>
      <c r="L287" s="117" t="s">
        <v>2339</v>
      </c>
      <c r="M287" s="121" t="s">
        <v>972</v>
      </c>
      <c r="N287" s="121" t="s">
        <v>1050</v>
      </c>
      <c r="O287" s="121" t="s">
        <v>984</v>
      </c>
      <c r="P287" s="117" t="s">
        <v>902</v>
      </c>
      <c r="Q287" s="125" t="s">
        <v>972</v>
      </c>
      <c r="R287" s="125" t="s">
        <v>972</v>
      </c>
      <c r="S287" s="125" t="s">
        <v>972</v>
      </c>
      <c r="T287" s="222"/>
      <c r="U287" s="222"/>
      <c r="V287" s="222"/>
      <c r="W287" s="230"/>
      <c r="X287" s="331">
        <f t="shared" si="14"/>
        <v>0</v>
      </c>
      <c r="Y287" s="222"/>
      <c r="Z287" s="272">
        <f t="shared" si="12"/>
        <v>0</v>
      </c>
      <c r="AA287" s="331"/>
      <c r="AB287" s="331"/>
      <c r="AC287" s="331"/>
      <c r="AD287" s="331"/>
      <c r="AE287" s="331"/>
      <c r="AF287" s="331"/>
      <c r="AG287" s="331"/>
      <c r="AH287" s="241">
        <f t="shared" ca="1" si="13"/>
        <v>46153</v>
      </c>
      <c r="AI287" s="272"/>
      <c r="AJ287" s="222"/>
      <c r="AK287" s="222"/>
    </row>
    <row r="288" spans="1:37" ht="23.25" hidden="1" customHeight="1">
      <c r="A288" s="111">
        <v>637</v>
      </c>
      <c r="B288" s="112">
        <v>4</v>
      </c>
      <c r="C288" s="122" t="s">
        <v>3718</v>
      </c>
      <c r="D288" s="147" t="s">
        <v>3719</v>
      </c>
      <c r="E288" s="123" t="s">
        <v>3720</v>
      </c>
      <c r="F288" s="116" t="s">
        <v>1440</v>
      </c>
      <c r="G288" s="116" t="s">
        <v>990</v>
      </c>
      <c r="H288" s="116">
        <v>13.747137</v>
      </c>
      <c r="I288" s="116">
        <v>100.52581259999999</v>
      </c>
      <c r="J288" s="116" t="s">
        <v>969</v>
      </c>
      <c r="K288" s="115" t="s">
        <v>1048</v>
      </c>
      <c r="L288" s="117" t="s">
        <v>3721</v>
      </c>
      <c r="M288" s="121">
        <v>96924148</v>
      </c>
      <c r="N288" s="121" t="s">
        <v>1050</v>
      </c>
      <c r="O288" s="121" t="s">
        <v>984</v>
      </c>
      <c r="P288" s="117" t="s">
        <v>902</v>
      </c>
      <c r="Q288" s="125" t="s">
        <v>972</v>
      </c>
      <c r="R288" s="125" t="s">
        <v>972</v>
      </c>
      <c r="S288" s="125" t="s">
        <v>972</v>
      </c>
      <c r="T288" s="222"/>
      <c r="U288" s="222"/>
      <c r="V288" s="222"/>
      <c r="W288" s="230"/>
      <c r="X288" s="331">
        <f t="shared" si="14"/>
        <v>0</v>
      </c>
      <c r="Y288" s="222"/>
      <c r="Z288" s="272">
        <f t="shared" si="12"/>
        <v>0</v>
      </c>
      <c r="AA288" s="331"/>
      <c r="AB288" s="331"/>
      <c r="AC288" s="331"/>
      <c r="AD288" s="331"/>
      <c r="AE288" s="331"/>
      <c r="AF288" s="331"/>
      <c r="AG288" s="331"/>
      <c r="AH288" s="241">
        <f t="shared" ca="1" si="13"/>
        <v>46153</v>
      </c>
      <c r="AI288" s="272"/>
      <c r="AJ288" s="222"/>
      <c r="AK288" s="222"/>
    </row>
    <row r="289" spans="1:37" ht="23" hidden="1">
      <c r="A289" s="111">
        <v>99</v>
      </c>
      <c r="B289" s="112" t="s">
        <v>1013</v>
      </c>
      <c r="C289" s="122" t="s">
        <v>4302</v>
      </c>
      <c r="D289" s="147" t="s">
        <v>4303</v>
      </c>
      <c r="E289" s="123" t="s">
        <v>4304</v>
      </c>
      <c r="F289" s="116" t="s">
        <v>1440</v>
      </c>
      <c r="G289" s="116" t="s">
        <v>990</v>
      </c>
      <c r="H289" s="116">
        <v>13.7474715</v>
      </c>
      <c r="I289" s="116">
        <v>100.5240719</v>
      </c>
      <c r="J289" s="116" t="s">
        <v>890</v>
      </c>
      <c r="K289" s="115" t="s">
        <v>1212</v>
      </c>
      <c r="L289" s="117" t="s">
        <v>1213</v>
      </c>
      <c r="M289" s="117">
        <v>96521365</v>
      </c>
      <c r="N289" s="117" t="s">
        <v>1050</v>
      </c>
      <c r="O289" s="117" t="s">
        <v>958</v>
      </c>
      <c r="P289" s="117" t="s">
        <v>2114</v>
      </c>
      <c r="Q289" s="119"/>
      <c r="R289" s="119"/>
      <c r="S289" s="119" t="s">
        <v>4305</v>
      </c>
      <c r="T289" s="222"/>
      <c r="U289" s="222"/>
      <c r="V289" s="222"/>
      <c r="W289" s="230"/>
      <c r="X289" s="331">
        <f t="shared" si="14"/>
        <v>0</v>
      </c>
      <c r="Y289" s="222"/>
      <c r="Z289" s="272">
        <f t="shared" si="12"/>
        <v>0</v>
      </c>
      <c r="AA289" s="331"/>
      <c r="AB289" s="331"/>
      <c r="AC289" s="331"/>
      <c r="AD289" s="331"/>
      <c r="AE289" s="331"/>
      <c r="AF289" s="331"/>
      <c r="AG289" s="331"/>
      <c r="AH289" s="241">
        <f t="shared" ca="1" si="13"/>
        <v>46153</v>
      </c>
      <c r="AI289" s="272"/>
      <c r="AJ289" s="222"/>
      <c r="AK289" s="222"/>
    </row>
    <row r="290" spans="1:37" ht="23" hidden="1">
      <c r="A290" s="111">
        <v>941</v>
      </c>
      <c r="B290" s="112" t="s">
        <v>1071</v>
      </c>
      <c r="C290" s="122" t="s">
        <v>4331</v>
      </c>
      <c r="D290" s="147" t="s">
        <v>4332</v>
      </c>
      <c r="E290" s="132" t="s">
        <v>4333</v>
      </c>
      <c r="F290" s="116" t="s">
        <v>1440</v>
      </c>
      <c r="G290" s="116" t="s">
        <v>990</v>
      </c>
      <c r="H290" s="117">
        <v>13.744723499999999</v>
      </c>
      <c r="I290" s="117">
        <v>100.5386017</v>
      </c>
      <c r="J290" s="121" t="s">
        <v>890</v>
      </c>
      <c r="K290" s="121" t="s">
        <v>891</v>
      </c>
      <c r="L290" s="121" t="s">
        <v>891</v>
      </c>
      <c r="M290" s="174" t="s">
        <v>4334</v>
      </c>
      <c r="N290" s="121" t="s">
        <v>4335</v>
      </c>
      <c r="O290" s="121" t="s">
        <v>984</v>
      </c>
      <c r="P290" s="127" t="s">
        <v>1076</v>
      </c>
      <c r="Q290" s="129" t="s">
        <v>972</v>
      </c>
      <c r="R290" s="119"/>
      <c r="S290" s="119" t="s">
        <v>2830</v>
      </c>
      <c r="T290" s="222"/>
      <c r="U290" s="222"/>
      <c r="V290" s="222"/>
      <c r="W290" s="230"/>
      <c r="X290" s="331">
        <f t="shared" si="14"/>
        <v>0</v>
      </c>
      <c r="Y290" s="222"/>
      <c r="Z290" s="272">
        <f t="shared" si="12"/>
        <v>0</v>
      </c>
      <c r="AA290" s="331"/>
      <c r="AB290" s="331"/>
      <c r="AC290" s="331"/>
      <c r="AD290" s="331"/>
      <c r="AE290" s="331"/>
      <c r="AF290" s="331"/>
      <c r="AG290" s="331"/>
      <c r="AH290" s="241">
        <f t="shared" ca="1" si="13"/>
        <v>46153</v>
      </c>
      <c r="AI290" s="272"/>
      <c r="AJ290" s="222"/>
      <c r="AK290" s="222"/>
    </row>
    <row r="291" spans="1:37" ht="23" hidden="1">
      <c r="A291" s="111">
        <v>1027</v>
      </c>
      <c r="B291" s="112" t="s">
        <v>1071</v>
      </c>
      <c r="C291" s="122" t="s">
        <v>4677</v>
      </c>
      <c r="D291" s="147" t="s">
        <v>4678</v>
      </c>
      <c r="E291" s="132" t="s">
        <v>4679</v>
      </c>
      <c r="F291" s="116" t="s">
        <v>1440</v>
      </c>
      <c r="G291" s="116" t="s">
        <v>990</v>
      </c>
      <c r="H291" s="117">
        <v>13.7453565</v>
      </c>
      <c r="I291" s="117">
        <v>100.5356877</v>
      </c>
      <c r="J291" s="116" t="s">
        <v>2097</v>
      </c>
      <c r="K291" s="121" t="s">
        <v>2097</v>
      </c>
      <c r="L291" s="121" t="s">
        <v>4680</v>
      </c>
      <c r="M291" s="116" t="s">
        <v>1347</v>
      </c>
      <c r="N291" s="121" t="s">
        <v>972</v>
      </c>
      <c r="O291" s="121"/>
      <c r="P291" s="127" t="s">
        <v>1076</v>
      </c>
      <c r="Q291" s="129" t="s">
        <v>972</v>
      </c>
      <c r="R291" s="119" t="s">
        <v>972</v>
      </c>
      <c r="S291" s="119" t="s">
        <v>972</v>
      </c>
      <c r="T291" s="222"/>
      <c r="U291" s="222"/>
      <c r="V291" s="222"/>
      <c r="W291" s="230"/>
      <c r="X291" s="331">
        <f t="shared" si="14"/>
        <v>0</v>
      </c>
      <c r="Y291" s="222"/>
      <c r="Z291" s="272">
        <f t="shared" si="12"/>
        <v>0</v>
      </c>
      <c r="AA291" s="331"/>
      <c r="AB291" s="331"/>
      <c r="AC291" s="331"/>
      <c r="AD291" s="331"/>
      <c r="AE291" s="331"/>
      <c r="AF291" s="331"/>
      <c r="AG291" s="331"/>
      <c r="AH291" s="241">
        <f t="shared" ca="1" si="13"/>
        <v>46153</v>
      </c>
      <c r="AI291" s="272"/>
      <c r="AJ291" s="222"/>
      <c r="AK291" s="222"/>
    </row>
    <row r="292" spans="1:37" ht="23" hidden="1">
      <c r="A292" s="111">
        <v>15</v>
      </c>
      <c r="B292" s="112">
        <v>7</v>
      </c>
      <c r="C292" s="113" t="s">
        <v>914</v>
      </c>
      <c r="D292" s="147" t="s">
        <v>915</v>
      </c>
      <c r="E292" s="114" t="s">
        <v>916</v>
      </c>
      <c r="F292" s="115" t="s">
        <v>917</v>
      </c>
      <c r="G292" s="115" t="s">
        <v>918</v>
      </c>
      <c r="H292" s="115">
        <v>13.699654000000001</v>
      </c>
      <c r="I292" s="115">
        <v>100.54580900000001</v>
      </c>
      <c r="J292" s="116" t="s">
        <v>890</v>
      </c>
      <c r="K292" s="117" t="s">
        <v>891</v>
      </c>
      <c r="L292" s="117" t="s">
        <v>891</v>
      </c>
      <c r="M292" s="117">
        <v>96887899</v>
      </c>
      <c r="N292" s="117" t="s">
        <v>892</v>
      </c>
      <c r="O292" s="117" t="s">
        <v>918</v>
      </c>
      <c r="P292" s="117" t="s">
        <v>894</v>
      </c>
      <c r="Q292" s="118">
        <v>80057501</v>
      </c>
      <c r="R292" s="119" t="s">
        <v>895</v>
      </c>
      <c r="S292" s="119" t="s">
        <v>895</v>
      </c>
      <c r="T292" s="222"/>
      <c r="U292" s="222"/>
      <c r="V292" s="222"/>
      <c r="W292" s="230"/>
      <c r="X292" s="331">
        <f t="shared" si="14"/>
        <v>0</v>
      </c>
      <c r="Y292" s="222"/>
      <c r="Z292" s="272">
        <f t="shared" si="12"/>
        <v>0</v>
      </c>
      <c r="AA292" s="331"/>
      <c r="AB292" s="331"/>
      <c r="AC292" s="331"/>
      <c r="AD292" s="331"/>
      <c r="AE292" s="331"/>
      <c r="AF292" s="331"/>
      <c r="AG292" s="331"/>
      <c r="AH292" s="241">
        <f t="shared" ca="1" si="13"/>
        <v>46153</v>
      </c>
      <c r="AI292" s="272"/>
      <c r="AJ292" s="222"/>
      <c r="AK292" s="222"/>
    </row>
    <row r="293" spans="1:37" ht="23" hidden="1">
      <c r="A293" s="111">
        <v>16</v>
      </c>
      <c r="B293" s="112" t="s">
        <v>919</v>
      </c>
      <c r="C293" s="122" t="s">
        <v>920</v>
      </c>
      <c r="D293" s="147" t="s">
        <v>921</v>
      </c>
      <c r="E293" s="123" t="s">
        <v>922</v>
      </c>
      <c r="F293" s="116" t="s">
        <v>917</v>
      </c>
      <c r="G293" s="116" t="s">
        <v>918</v>
      </c>
      <c r="H293" s="116">
        <v>13.69149676</v>
      </c>
      <c r="I293" s="116">
        <v>100.54735024999999</v>
      </c>
      <c r="J293" s="116" t="s">
        <v>890</v>
      </c>
      <c r="K293" s="117" t="s">
        <v>891</v>
      </c>
      <c r="L293" s="117" t="s">
        <v>891</v>
      </c>
      <c r="M293" s="117">
        <v>96887900</v>
      </c>
      <c r="N293" s="117" t="s">
        <v>892</v>
      </c>
      <c r="O293" s="117" t="s">
        <v>918</v>
      </c>
      <c r="P293" s="117" t="s">
        <v>894</v>
      </c>
      <c r="Q293" s="118">
        <v>80057501</v>
      </c>
      <c r="R293" s="119" t="s">
        <v>895</v>
      </c>
      <c r="S293" s="119" t="s">
        <v>895</v>
      </c>
      <c r="T293" s="222"/>
      <c r="U293" s="222"/>
      <c r="V293" s="222"/>
      <c r="W293" s="230"/>
      <c r="X293" s="331">
        <f t="shared" si="14"/>
        <v>0</v>
      </c>
      <c r="Y293" s="222"/>
      <c r="Z293" s="272">
        <f t="shared" si="12"/>
        <v>0</v>
      </c>
      <c r="AA293" s="331"/>
      <c r="AB293" s="331"/>
      <c r="AC293" s="331"/>
      <c r="AD293" s="331"/>
      <c r="AE293" s="331"/>
      <c r="AF293" s="331"/>
      <c r="AG293" s="331"/>
      <c r="AH293" s="241">
        <f t="shared" ca="1" si="13"/>
        <v>46153</v>
      </c>
      <c r="AI293" s="272"/>
      <c r="AJ293" s="222"/>
      <c r="AK293" s="222"/>
    </row>
    <row r="294" spans="1:37" ht="23" hidden="1">
      <c r="A294" s="111">
        <v>56</v>
      </c>
      <c r="B294" s="112">
        <v>12</v>
      </c>
      <c r="C294" s="122" t="s">
        <v>962</v>
      </c>
      <c r="D294" s="147" t="s">
        <v>963</v>
      </c>
      <c r="E294" s="123" t="s">
        <v>964</v>
      </c>
      <c r="F294" s="116" t="s">
        <v>917</v>
      </c>
      <c r="G294" s="116" t="s">
        <v>918</v>
      </c>
      <c r="H294" s="116">
        <v>13.680973570000001</v>
      </c>
      <c r="I294" s="116">
        <v>100.54743333</v>
      </c>
      <c r="J294" s="116" t="s">
        <v>890</v>
      </c>
      <c r="K294" s="117" t="s">
        <v>891</v>
      </c>
      <c r="L294" s="117" t="s">
        <v>891</v>
      </c>
      <c r="M294" s="117">
        <v>96894557</v>
      </c>
      <c r="N294" s="117" t="s">
        <v>892</v>
      </c>
      <c r="O294" s="117" t="s">
        <v>918</v>
      </c>
      <c r="P294" s="117" t="s">
        <v>894</v>
      </c>
      <c r="Q294" s="118">
        <v>80057501</v>
      </c>
      <c r="R294" s="119" t="s">
        <v>895</v>
      </c>
      <c r="S294" s="119" t="s">
        <v>895</v>
      </c>
      <c r="T294" s="222"/>
      <c r="U294" s="222"/>
      <c r="V294" s="222"/>
      <c r="W294" s="230"/>
      <c r="X294" s="331">
        <f t="shared" si="14"/>
        <v>0</v>
      </c>
      <c r="Y294" s="222"/>
      <c r="Z294" s="272">
        <f t="shared" si="12"/>
        <v>0</v>
      </c>
      <c r="AA294" s="331"/>
      <c r="AB294" s="331"/>
      <c r="AC294" s="331"/>
      <c r="AD294" s="331"/>
      <c r="AE294" s="331"/>
      <c r="AF294" s="331"/>
      <c r="AG294" s="331"/>
      <c r="AH294" s="241">
        <f t="shared" ca="1" si="13"/>
        <v>46153</v>
      </c>
      <c r="AI294" s="272"/>
      <c r="AJ294" s="222"/>
      <c r="AK294" s="222"/>
    </row>
    <row r="295" spans="1:37" ht="23" hidden="1">
      <c r="A295" s="111">
        <v>67</v>
      </c>
      <c r="B295" s="112">
        <v>15</v>
      </c>
      <c r="C295" s="113" t="s">
        <v>973</v>
      </c>
      <c r="D295" s="147" t="s">
        <v>974</v>
      </c>
      <c r="E295" s="114" t="s">
        <v>975</v>
      </c>
      <c r="F295" s="115" t="s">
        <v>917</v>
      </c>
      <c r="G295" s="115" t="s">
        <v>918</v>
      </c>
      <c r="H295" s="116">
        <v>13.703227</v>
      </c>
      <c r="I295" s="116">
        <v>100.545967</v>
      </c>
      <c r="J295" s="116" t="s">
        <v>890</v>
      </c>
      <c r="K295" s="117" t="s">
        <v>891</v>
      </c>
      <c r="L295" s="117" t="s">
        <v>891</v>
      </c>
      <c r="M295" s="117">
        <v>96894568</v>
      </c>
      <c r="N295" s="117" t="s">
        <v>892</v>
      </c>
      <c r="O295" s="117" t="s">
        <v>918</v>
      </c>
      <c r="P295" s="117" t="s">
        <v>894</v>
      </c>
      <c r="Q295" s="118">
        <v>80057501</v>
      </c>
      <c r="R295" s="119" t="s">
        <v>895</v>
      </c>
      <c r="S295" s="119" t="s">
        <v>895</v>
      </c>
      <c r="T295" s="222"/>
      <c r="U295" s="222"/>
      <c r="V295" s="222"/>
      <c r="W295" s="230"/>
      <c r="X295" s="331">
        <f t="shared" si="14"/>
        <v>0</v>
      </c>
      <c r="Y295" s="222"/>
      <c r="Z295" s="272">
        <f t="shared" si="12"/>
        <v>0</v>
      </c>
      <c r="AA295" s="331"/>
      <c r="AB295" s="331"/>
      <c r="AC295" s="331"/>
      <c r="AD295" s="331"/>
      <c r="AE295" s="331"/>
      <c r="AF295" s="331"/>
      <c r="AG295" s="331"/>
      <c r="AH295" s="241">
        <f t="shared" ca="1" si="13"/>
        <v>46153</v>
      </c>
      <c r="AI295" s="272"/>
      <c r="AJ295" s="222"/>
      <c r="AK295" s="222"/>
    </row>
    <row r="296" spans="1:37" ht="23" hidden="1">
      <c r="A296" s="111">
        <v>68</v>
      </c>
      <c r="B296" s="112">
        <v>2</v>
      </c>
      <c r="C296" s="113" t="s">
        <v>976</v>
      </c>
      <c r="D296" s="147" t="s">
        <v>977</v>
      </c>
      <c r="E296" s="114" t="s">
        <v>978</v>
      </c>
      <c r="F296" s="115" t="s">
        <v>917</v>
      </c>
      <c r="G296" s="115" t="s">
        <v>918</v>
      </c>
      <c r="H296" s="116">
        <v>13.702330999999999</v>
      </c>
      <c r="I296" s="116">
        <v>100.545878</v>
      </c>
      <c r="J296" s="116" t="s">
        <v>890</v>
      </c>
      <c r="K296" s="117" t="s">
        <v>891</v>
      </c>
      <c r="L296" s="117" t="s">
        <v>891</v>
      </c>
      <c r="M296" s="117">
        <v>96894570</v>
      </c>
      <c r="N296" s="117" t="s">
        <v>892</v>
      </c>
      <c r="O296" s="117" t="s">
        <v>918</v>
      </c>
      <c r="P296" s="117" t="s">
        <v>894</v>
      </c>
      <c r="Q296" s="118">
        <v>80057501</v>
      </c>
      <c r="R296" s="119" t="s">
        <v>895</v>
      </c>
      <c r="S296" s="119" t="s">
        <v>895</v>
      </c>
      <c r="T296" s="222"/>
      <c r="U296" s="222"/>
      <c r="V296" s="222"/>
      <c r="W296" s="230"/>
      <c r="X296" s="331">
        <f t="shared" si="14"/>
        <v>0</v>
      </c>
      <c r="Y296" s="222"/>
      <c r="Z296" s="272">
        <f t="shared" si="12"/>
        <v>0</v>
      </c>
      <c r="AA296" s="331"/>
      <c r="AB296" s="331"/>
      <c r="AC296" s="331"/>
      <c r="AD296" s="331"/>
      <c r="AE296" s="331"/>
      <c r="AF296" s="331"/>
      <c r="AG296" s="331"/>
      <c r="AH296" s="241">
        <f t="shared" ca="1" si="13"/>
        <v>46153</v>
      </c>
      <c r="AI296" s="272"/>
      <c r="AJ296" s="222"/>
      <c r="AK296" s="222"/>
    </row>
    <row r="297" spans="1:37" ht="23" hidden="1">
      <c r="A297" s="111">
        <v>141</v>
      </c>
      <c r="B297" s="112">
        <v>15</v>
      </c>
      <c r="C297" s="113" t="s">
        <v>1058</v>
      </c>
      <c r="D297" s="147" t="s">
        <v>1059</v>
      </c>
      <c r="E297" s="114" t="s">
        <v>1060</v>
      </c>
      <c r="F297" s="115" t="s">
        <v>917</v>
      </c>
      <c r="G297" s="115" t="s">
        <v>918</v>
      </c>
      <c r="H297" s="116">
        <v>13.679781999999999</v>
      </c>
      <c r="I297" s="116">
        <v>100.54754</v>
      </c>
      <c r="J297" s="116" t="s">
        <v>890</v>
      </c>
      <c r="K297" s="117" t="s">
        <v>891</v>
      </c>
      <c r="L297" s="117" t="s">
        <v>891</v>
      </c>
      <c r="M297" s="117">
        <v>96888284</v>
      </c>
      <c r="N297" s="117" t="s">
        <v>892</v>
      </c>
      <c r="O297" s="117" t="s">
        <v>918</v>
      </c>
      <c r="P297" s="117" t="s">
        <v>894</v>
      </c>
      <c r="Q297" s="118">
        <v>80057501</v>
      </c>
      <c r="R297" s="119" t="s">
        <v>895</v>
      </c>
      <c r="S297" s="119" t="s">
        <v>895</v>
      </c>
      <c r="T297" s="222"/>
      <c r="U297" s="222"/>
      <c r="V297" s="222"/>
      <c r="W297" s="230"/>
      <c r="X297" s="331">
        <f t="shared" si="14"/>
        <v>0</v>
      </c>
      <c r="Y297" s="222"/>
      <c r="Z297" s="272">
        <f t="shared" si="12"/>
        <v>0</v>
      </c>
      <c r="AA297" s="331"/>
      <c r="AB297" s="331"/>
      <c r="AC297" s="331"/>
      <c r="AD297" s="331"/>
      <c r="AE297" s="331"/>
      <c r="AF297" s="331"/>
      <c r="AG297" s="331"/>
      <c r="AH297" s="241">
        <f t="shared" ca="1" si="13"/>
        <v>46153</v>
      </c>
      <c r="AI297" s="272"/>
      <c r="AJ297" s="222"/>
      <c r="AK297" s="222"/>
    </row>
    <row r="298" spans="1:37" ht="23" hidden="1">
      <c r="A298" s="111">
        <v>212</v>
      </c>
      <c r="B298" s="112">
        <v>14</v>
      </c>
      <c r="C298" s="113" t="s">
        <v>1135</v>
      </c>
      <c r="D298" s="147" t="s">
        <v>1136</v>
      </c>
      <c r="E298" s="114" t="s">
        <v>1137</v>
      </c>
      <c r="F298" s="115" t="s">
        <v>917</v>
      </c>
      <c r="G298" s="115" t="s">
        <v>918</v>
      </c>
      <c r="H298" s="116">
        <v>13.681759</v>
      </c>
      <c r="I298" s="116">
        <v>100.547515</v>
      </c>
      <c r="J298" s="116" t="s">
        <v>890</v>
      </c>
      <c r="K298" s="117" t="s">
        <v>891</v>
      </c>
      <c r="L298" s="117" t="s">
        <v>891</v>
      </c>
      <c r="M298" s="117">
        <v>96888288</v>
      </c>
      <c r="N298" s="117" t="s">
        <v>892</v>
      </c>
      <c r="O298" s="117" t="s">
        <v>918</v>
      </c>
      <c r="P298" s="117" t="s">
        <v>894</v>
      </c>
      <c r="Q298" s="118">
        <v>80057501</v>
      </c>
      <c r="R298" s="119" t="s">
        <v>895</v>
      </c>
      <c r="S298" s="119" t="s">
        <v>895</v>
      </c>
      <c r="T298" s="222"/>
      <c r="U298" s="222"/>
      <c r="V298" s="222"/>
      <c r="W298" s="230"/>
      <c r="X298" s="331">
        <f t="shared" si="14"/>
        <v>0</v>
      </c>
      <c r="Y298" s="222"/>
      <c r="Z298" s="272">
        <f t="shared" si="12"/>
        <v>0</v>
      </c>
      <c r="AA298" s="331"/>
      <c r="AB298" s="331"/>
      <c r="AC298" s="331"/>
      <c r="AD298" s="331"/>
      <c r="AE298" s="331"/>
      <c r="AF298" s="331"/>
      <c r="AG298" s="331"/>
      <c r="AH298" s="241">
        <f t="shared" ca="1" si="13"/>
        <v>46153</v>
      </c>
      <c r="AI298" s="272"/>
      <c r="AJ298" s="222"/>
      <c r="AK298" s="222"/>
    </row>
    <row r="299" spans="1:37" ht="23" hidden="1">
      <c r="A299" s="111">
        <v>288</v>
      </c>
      <c r="B299" s="112">
        <v>16</v>
      </c>
      <c r="C299" s="113" t="s">
        <v>1205</v>
      </c>
      <c r="D299" s="147" t="s">
        <v>1206</v>
      </c>
      <c r="E299" s="114" t="s">
        <v>1207</v>
      </c>
      <c r="F299" s="115" t="s">
        <v>917</v>
      </c>
      <c r="G299" s="115" t="s">
        <v>918</v>
      </c>
      <c r="H299" s="115">
        <v>13.6889197</v>
      </c>
      <c r="I299" s="115">
        <v>100.5475471</v>
      </c>
      <c r="J299" s="116" t="s">
        <v>890</v>
      </c>
      <c r="K299" s="117" t="s">
        <v>891</v>
      </c>
      <c r="L299" s="117" t="s">
        <v>891</v>
      </c>
      <c r="M299" s="117">
        <v>96888294</v>
      </c>
      <c r="N299" s="117" t="s">
        <v>892</v>
      </c>
      <c r="O299" s="117" t="s">
        <v>918</v>
      </c>
      <c r="P299" s="117" t="s">
        <v>894</v>
      </c>
      <c r="Q299" s="118">
        <v>80057501</v>
      </c>
      <c r="R299" s="119" t="s">
        <v>895</v>
      </c>
      <c r="S299" s="119" t="s">
        <v>895</v>
      </c>
      <c r="T299" s="222"/>
      <c r="U299" s="222"/>
      <c r="V299" s="222"/>
      <c r="W299" s="230"/>
      <c r="X299" s="331">
        <f t="shared" si="14"/>
        <v>0</v>
      </c>
      <c r="Y299" s="222"/>
      <c r="Z299" s="272">
        <f t="shared" si="12"/>
        <v>0</v>
      </c>
      <c r="AA299" s="331"/>
      <c r="AB299" s="331"/>
      <c r="AC299" s="331"/>
      <c r="AD299" s="331"/>
      <c r="AE299" s="331"/>
      <c r="AF299" s="331"/>
      <c r="AG299" s="331"/>
      <c r="AH299" s="241">
        <f t="shared" ca="1" si="13"/>
        <v>46153</v>
      </c>
      <c r="AI299" s="272"/>
      <c r="AJ299" s="222"/>
      <c r="AK299" s="222"/>
    </row>
    <row r="300" spans="1:37" ht="23" hidden="1">
      <c r="A300" s="111">
        <v>456</v>
      </c>
      <c r="B300" s="112">
        <v>10</v>
      </c>
      <c r="C300" s="122" t="s">
        <v>1422</v>
      </c>
      <c r="D300" s="147" t="s">
        <v>1423</v>
      </c>
      <c r="E300" s="123" t="s">
        <v>1424</v>
      </c>
      <c r="F300" s="116" t="s">
        <v>917</v>
      </c>
      <c r="G300" s="116" t="s">
        <v>1421</v>
      </c>
      <c r="H300" s="116">
        <v>13.6933764</v>
      </c>
      <c r="I300" s="116">
        <v>100.5007849</v>
      </c>
      <c r="J300" s="116" t="s">
        <v>890</v>
      </c>
      <c r="K300" s="117" t="s">
        <v>891</v>
      </c>
      <c r="L300" s="117" t="s">
        <v>891</v>
      </c>
      <c r="M300" s="117">
        <v>96894579</v>
      </c>
      <c r="N300" s="117" t="s">
        <v>892</v>
      </c>
      <c r="O300" s="117" t="s">
        <v>918</v>
      </c>
      <c r="P300" s="117" t="s">
        <v>894</v>
      </c>
      <c r="Q300" s="118">
        <v>80057501</v>
      </c>
      <c r="R300" s="119" t="s">
        <v>895</v>
      </c>
      <c r="S300" s="119" t="s">
        <v>895</v>
      </c>
      <c r="T300" s="222"/>
      <c r="U300" s="222"/>
      <c r="V300" s="222"/>
      <c r="W300" s="230"/>
      <c r="X300" s="331">
        <f t="shared" si="14"/>
        <v>0</v>
      </c>
      <c r="Y300" s="222"/>
      <c r="Z300" s="272">
        <f t="shared" si="12"/>
        <v>0</v>
      </c>
      <c r="AA300" s="331"/>
      <c r="AB300" s="331"/>
      <c r="AC300" s="331"/>
      <c r="AD300" s="331"/>
      <c r="AE300" s="331"/>
      <c r="AF300" s="331"/>
      <c r="AG300" s="331"/>
      <c r="AH300" s="241">
        <f t="shared" ca="1" si="13"/>
        <v>46153</v>
      </c>
      <c r="AI300" s="272"/>
      <c r="AJ300" s="222"/>
      <c r="AK300" s="222"/>
    </row>
    <row r="301" spans="1:37" ht="23" hidden="1">
      <c r="A301" s="111">
        <v>461</v>
      </c>
      <c r="B301" s="112">
        <v>2</v>
      </c>
      <c r="C301" s="113" t="s">
        <v>1425</v>
      </c>
      <c r="D301" s="147" t="s">
        <v>1426</v>
      </c>
      <c r="E301" s="114" t="s">
        <v>1427</v>
      </c>
      <c r="F301" s="115" t="s">
        <v>917</v>
      </c>
      <c r="G301" s="115" t="s">
        <v>1421</v>
      </c>
      <c r="H301" s="115">
        <v>13.6889831</v>
      </c>
      <c r="I301" s="115">
        <v>100.5134511</v>
      </c>
      <c r="J301" s="116" t="s">
        <v>890</v>
      </c>
      <c r="K301" s="117" t="s">
        <v>891</v>
      </c>
      <c r="L301" s="117" t="s">
        <v>891</v>
      </c>
      <c r="M301" s="117">
        <v>96888310</v>
      </c>
      <c r="N301" s="117" t="s">
        <v>892</v>
      </c>
      <c r="O301" s="117" t="s">
        <v>918</v>
      </c>
      <c r="P301" s="117" t="s">
        <v>894</v>
      </c>
      <c r="Q301" s="118">
        <v>80057501</v>
      </c>
      <c r="R301" s="119" t="s">
        <v>895</v>
      </c>
      <c r="S301" s="119" t="s">
        <v>895</v>
      </c>
      <c r="T301" s="222"/>
      <c r="U301" s="222"/>
      <c r="V301" s="222"/>
      <c r="W301" s="230"/>
      <c r="X301" s="331">
        <f t="shared" si="14"/>
        <v>0</v>
      </c>
      <c r="Y301" s="222"/>
      <c r="Z301" s="272">
        <f t="shared" si="12"/>
        <v>0</v>
      </c>
      <c r="AA301" s="331"/>
      <c r="AB301" s="331"/>
      <c r="AC301" s="331"/>
      <c r="AD301" s="331"/>
      <c r="AE301" s="331"/>
      <c r="AF301" s="331"/>
      <c r="AG301" s="331"/>
      <c r="AH301" s="241">
        <f t="shared" ca="1" si="13"/>
        <v>46153</v>
      </c>
      <c r="AI301" s="272"/>
      <c r="AJ301" s="222"/>
      <c r="AK301" s="222"/>
    </row>
    <row r="302" spans="1:37" ht="23.25" hidden="1" customHeight="1">
      <c r="A302" s="111">
        <v>463</v>
      </c>
      <c r="B302" s="112">
        <v>2</v>
      </c>
      <c r="C302" s="113" t="s">
        <v>1428</v>
      </c>
      <c r="D302" s="147" t="s">
        <v>1429</v>
      </c>
      <c r="E302" s="114" t="s">
        <v>1430</v>
      </c>
      <c r="F302" s="115" t="s">
        <v>917</v>
      </c>
      <c r="G302" s="115" t="s">
        <v>1421</v>
      </c>
      <c r="H302" s="116">
        <v>13.693177</v>
      </c>
      <c r="I302" s="116">
        <v>100.50059400000001</v>
      </c>
      <c r="J302" s="116" t="s">
        <v>890</v>
      </c>
      <c r="K302" s="117" t="s">
        <v>891</v>
      </c>
      <c r="L302" s="117" t="s">
        <v>891</v>
      </c>
      <c r="M302" s="117">
        <v>96894678</v>
      </c>
      <c r="N302" s="117" t="s">
        <v>892</v>
      </c>
      <c r="O302" s="117" t="s">
        <v>918</v>
      </c>
      <c r="P302" s="117" t="s">
        <v>894</v>
      </c>
      <c r="Q302" s="118">
        <v>80057501</v>
      </c>
      <c r="R302" s="119" t="s">
        <v>895</v>
      </c>
      <c r="S302" s="119" t="s">
        <v>895</v>
      </c>
      <c r="T302" s="222"/>
      <c r="U302" s="222"/>
      <c r="V302" s="222"/>
      <c r="W302" s="230"/>
      <c r="X302" s="331">
        <f t="shared" si="14"/>
        <v>0</v>
      </c>
      <c r="Y302" s="222"/>
      <c r="Z302" s="272">
        <f t="shared" si="12"/>
        <v>0</v>
      </c>
      <c r="AA302" s="331"/>
      <c r="AB302" s="331"/>
      <c r="AC302" s="331"/>
      <c r="AD302" s="331"/>
      <c r="AE302" s="331"/>
      <c r="AF302" s="331"/>
      <c r="AG302" s="331"/>
      <c r="AH302" s="241">
        <f t="shared" ca="1" si="13"/>
        <v>46153</v>
      </c>
      <c r="AI302" s="272"/>
      <c r="AJ302" s="222"/>
      <c r="AK302" s="222"/>
    </row>
    <row r="303" spans="1:37" ht="23" hidden="1">
      <c r="A303" s="111">
        <v>473</v>
      </c>
      <c r="B303" s="112">
        <v>10</v>
      </c>
      <c r="C303" s="113" t="s">
        <v>1441</v>
      </c>
      <c r="D303" s="147" t="s">
        <v>1442</v>
      </c>
      <c r="E303" s="114" t="s">
        <v>1443</v>
      </c>
      <c r="F303" s="115" t="s">
        <v>917</v>
      </c>
      <c r="G303" s="115" t="s">
        <v>918</v>
      </c>
      <c r="H303" s="115">
        <v>13.678638299999999</v>
      </c>
      <c r="I303" s="115">
        <v>100.54675039999999</v>
      </c>
      <c r="J303" s="116" t="s">
        <v>890</v>
      </c>
      <c r="K303" s="117" t="s">
        <v>891</v>
      </c>
      <c r="L303" s="117" t="s">
        <v>891</v>
      </c>
      <c r="M303" s="117">
        <v>96894681</v>
      </c>
      <c r="N303" s="117" t="s">
        <v>892</v>
      </c>
      <c r="O303" s="117" t="s">
        <v>918</v>
      </c>
      <c r="P303" s="117" t="s">
        <v>894</v>
      </c>
      <c r="Q303" s="118">
        <v>80057501</v>
      </c>
      <c r="R303" s="119" t="s">
        <v>895</v>
      </c>
      <c r="S303" s="119" t="s">
        <v>895</v>
      </c>
      <c r="T303" s="222"/>
      <c r="U303" s="222"/>
      <c r="V303" s="222"/>
      <c r="W303" s="230"/>
      <c r="X303" s="331">
        <f t="shared" si="14"/>
        <v>0</v>
      </c>
      <c r="Y303" s="222"/>
      <c r="Z303" s="272">
        <f t="shared" si="12"/>
        <v>0</v>
      </c>
      <c r="AA303" s="331"/>
      <c r="AB303" s="331"/>
      <c r="AC303" s="331"/>
      <c r="AD303" s="331"/>
      <c r="AE303" s="331"/>
      <c r="AF303" s="331"/>
      <c r="AG303" s="331"/>
      <c r="AH303" s="241">
        <f t="shared" ca="1" si="13"/>
        <v>46153</v>
      </c>
      <c r="AI303" s="272"/>
      <c r="AJ303" s="222"/>
      <c r="AK303" s="222"/>
    </row>
    <row r="304" spans="1:37" ht="23" hidden="1">
      <c r="A304" s="111">
        <v>522</v>
      </c>
      <c r="B304" s="112">
        <v>11</v>
      </c>
      <c r="C304" s="113" t="s">
        <v>1474</v>
      </c>
      <c r="D304" s="557" t="s">
        <v>1475</v>
      </c>
      <c r="E304" s="114" t="s">
        <v>1476</v>
      </c>
      <c r="F304" s="115" t="s">
        <v>917</v>
      </c>
      <c r="G304" s="115" t="s">
        <v>918</v>
      </c>
      <c r="H304" s="116">
        <v>13.683814999999999</v>
      </c>
      <c r="I304" s="116">
        <v>100.547844</v>
      </c>
      <c r="J304" s="116" t="s">
        <v>890</v>
      </c>
      <c r="K304" s="117" t="s">
        <v>891</v>
      </c>
      <c r="L304" s="117" t="s">
        <v>891</v>
      </c>
      <c r="M304" s="117">
        <v>96888317</v>
      </c>
      <c r="N304" s="117" t="s">
        <v>892</v>
      </c>
      <c r="O304" s="117" t="s">
        <v>918</v>
      </c>
      <c r="P304" s="117" t="s">
        <v>894</v>
      </c>
      <c r="Q304" s="118">
        <v>80057501</v>
      </c>
      <c r="R304" s="119" t="s">
        <v>895</v>
      </c>
      <c r="S304" s="119" t="s">
        <v>895</v>
      </c>
      <c r="T304" s="222"/>
      <c r="U304" s="222"/>
      <c r="V304" s="222"/>
      <c r="W304" s="230"/>
      <c r="X304" s="331">
        <f t="shared" si="14"/>
        <v>0</v>
      </c>
      <c r="Y304" s="222"/>
      <c r="Z304" s="272">
        <f t="shared" si="12"/>
        <v>0</v>
      </c>
      <c r="AA304" s="331"/>
      <c r="AB304" s="331"/>
      <c r="AC304" s="331"/>
      <c r="AD304" s="331"/>
      <c r="AE304" s="331"/>
      <c r="AF304" s="331"/>
      <c r="AG304" s="331"/>
      <c r="AH304" s="241">
        <f t="shared" ca="1" si="13"/>
        <v>46153</v>
      </c>
      <c r="AI304" s="272"/>
      <c r="AJ304" s="222"/>
      <c r="AK304" s="222"/>
    </row>
    <row r="305" spans="1:37" ht="23" hidden="1">
      <c r="A305" s="111">
        <v>615</v>
      </c>
      <c r="B305" s="112">
        <v>16</v>
      </c>
      <c r="C305" s="113" t="s">
        <v>1566</v>
      </c>
      <c r="D305" s="147" t="s">
        <v>1567</v>
      </c>
      <c r="E305" s="114" t="s">
        <v>1568</v>
      </c>
      <c r="F305" s="115" t="s">
        <v>917</v>
      </c>
      <c r="G305" s="115" t="s">
        <v>918</v>
      </c>
      <c r="H305" s="116">
        <v>13.677927</v>
      </c>
      <c r="I305" s="116">
        <v>100.546682</v>
      </c>
      <c r="J305" s="116" t="s">
        <v>890</v>
      </c>
      <c r="K305" s="117" t="s">
        <v>891</v>
      </c>
      <c r="L305" s="117" t="s">
        <v>891</v>
      </c>
      <c r="M305" s="117">
        <v>96894687</v>
      </c>
      <c r="N305" s="117" t="s">
        <v>892</v>
      </c>
      <c r="O305" s="117" t="s">
        <v>918</v>
      </c>
      <c r="P305" s="117" t="s">
        <v>894</v>
      </c>
      <c r="Q305" s="118">
        <v>80057501</v>
      </c>
      <c r="R305" s="119" t="s">
        <v>895</v>
      </c>
      <c r="S305" s="119" t="s">
        <v>895</v>
      </c>
      <c r="T305" s="222"/>
      <c r="U305" s="222"/>
      <c r="V305" s="222"/>
      <c r="W305" s="230"/>
      <c r="X305" s="331">
        <f t="shared" si="14"/>
        <v>0</v>
      </c>
      <c r="Y305" s="222"/>
      <c r="Z305" s="272">
        <f t="shared" si="12"/>
        <v>0</v>
      </c>
      <c r="AA305" s="331"/>
      <c r="AB305" s="331"/>
      <c r="AC305" s="331"/>
      <c r="AD305" s="331"/>
      <c r="AE305" s="331"/>
      <c r="AF305" s="331"/>
      <c r="AG305" s="331"/>
      <c r="AH305" s="241">
        <f t="shared" ca="1" si="13"/>
        <v>46153</v>
      </c>
      <c r="AI305" s="272"/>
      <c r="AJ305" s="222"/>
      <c r="AK305" s="222"/>
    </row>
    <row r="306" spans="1:37" ht="23" hidden="1">
      <c r="A306" s="111">
        <v>759</v>
      </c>
      <c r="B306" s="112">
        <v>1</v>
      </c>
      <c r="C306" s="113" t="s">
        <v>1723</v>
      </c>
      <c r="D306" s="147" t="s">
        <v>1724</v>
      </c>
      <c r="E306" s="114" t="s">
        <v>1725</v>
      </c>
      <c r="F306" s="115" t="s">
        <v>917</v>
      </c>
      <c r="G306" s="115" t="s">
        <v>1421</v>
      </c>
      <c r="H306" s="116">
        <v>13.687411000000001</v>
      </c>
      <c r="I306" s="116">
        <v>100.518173</v>
      </c>
      <c r="J306" s="116" t="s">
        <v>890</v>
      </c>
      <c r="K306" s="117" t="s">
        <v>891</v>
      </c>
      <c r="L306" s="117" t="s">
        <v>891</v>
      </c>
      <c r="M306" s="117">
        <v>96894698</v>
      </c>
      <c r="N306" s="117" t="s">
        <v>892</v>
      </c>
      <c r="O306" s="117" t="s">
        <v>918</v>
      </c>
      <c r="P306" s="117" t="s">
        <v>894</v>
      </c>
      <c r="Q306" s="118">
        <v>80057501</v>
      </c>
      <c r="R306" s="119" t="s">
        <v>895</v>
      </c>
      <c r="S306" s="119" t="s">
        <v>895</v>
      </c>
      <c r="T306" s="222"/>
      <c r="U306" s="222"/>
      <c r="V306" s="222"/>
      <c r="W306" s="230"/>
      <c r="X306" s="331">
        <f t="shared" si="14"/>
        <v>0</v>
      </c>
      <c r="Y306" s="222"/>
      <c r="Z306" s="272">
        <f t="shared" si="12"/>
        <v>0</v>
      </c>
      <c r="AA306" s="331"/>
      <c r="AB306" s="331"/>
      <c r="AC306" s="331"/>
      <c r="AD306" s="331"/>
      <c r="AE306" s="331"/>
      <c r="AF306" s="331"/>
      <c r="AG306" s="331"/>
      <c r="AH306" s="241">
        <f t="shared" ca="1" si="13"/>
        <v>46153</v>
      </c>
      <c r="AI306" s="272"/>
      <c r="AJ306" s="222"/>
      <c r="AK306" s="222"/>
    </row>
    <row r="307" spans="1:37" ht="23.25" hidden="1" customHeight="1">
      <c r="A307" s="111">
        <v>760</v>
      </c>
      <c r="B307" s="112">
        <v>13</v>
      </c>
      <c r="C307" s="113" t="s">
        <v>1726</v>
      </c>
      <c r="D307" s="147" t="s">
        <v>1727</v>
      </c>
      <c r="E307" s="114" t="s">
        <v>1728</v>
      </c>
      <c r="F307" s="115" t="s">
        <v>917</v>
      </c>
      <c r="G307" s="115" t="s">
        <v>1421</v>
      </c>
      <c r="H307" s="116">
        <v>13.686481799999999</v>
      </c>
      <c r="I307" s="116">
        <v>100.51973889999999</v>
      </c>
      <c r="J307" s="116" t="s">
        <v>890</v>
      </c>
      <c r="K307" s="117" t="s">
        <v>891</v>
      </c>
      <c r="L307" s="117" t="s">
        <v>891</v>
      </c>
      <c r="M307" s="117">
        <v>96894705</v>
      </c>
      <c r="N307" s="117" t="s">
        <v>892</v>
      </c>
      <c r="O307" s="117" t="s">
        <v>918</v>
      </c>
      <c r="P307" s="117" t="s">
        <v>894</v>
      </c>
      <c r="Q307" s="118">
        <v>80057501</v>
      </c>
      <c r="R307" s="119" t="s">
        <v>895</v>
      </c>
      <c r="S307" s="119" t="s">
        <v>895</v>
      </c>
      <c r="T307" s="222"/>
      <c r="U307" s="222"/>
      <c r="V307" s="222"/>
      <c r="W307" s="230"/>
      <c r="X307" s="331">
        <f t="shared" si="14"/>
        <v>0</v>
      </c>
      <c r="Y307" s="222"/>
      <c r="Z307" s="272">
        <f t="shared" si="12"/>
        <v>0</v>
      </c>
      <c r="AA307" s="331"/>
      <c r="AB307" s="331"/>
      <c r="AC307" s="331"/>
      <c r="AD307" s="331"/>
      <c r="AE307" s="331"/>
      <c r="AF307" s="331"/>
      <c r="AG307" s="331"/>
      <c r="AH307" s="241">
        <f t="shared" ca="1" si="13"/>
        <v>46153</v>
      </c>
      <c r="AI307" s="272"/>
      <c r="AJ307" s="222"/>
      <c r="AK307" s="222"/>
    </row>
    <row r="308" spans="1:37" ht="23.25" hidden="1" customHeight="1">
      <c r="A308" s="111">
        <v>761</v>
      </c>
      <c r="B308" s="112" t="s">
        <v>1114</v>
      </c>
      <c r="C308" s="113" t="s">
        <v>1729</v>
      </c>
      <c r="D308" s="147" t="s">
        <v>1730</v>
      </c>
      <c r="E308" s="114" t="s">
        <v>1731</v>
      </c>
      <c r="F308" s="115" t="s">
        <v>917</v>
      </c>
      <c r="G308" s="115" t="s">
        <v>918</v>
      </c>
      <c r="H308" s="116">
        <v>13.68098043</v>
      </c>
      <c r="I308" s="116">
        <v>100.52685246999999</v>
      </c>
      <c r="J308" s="116" t="s">
        <v>969</v>
      </c>
      <c r="K308" s="116" t="s">
        <v>970</v>
      </c>
      <c r="L308" s="117" t="s">
        <v>1732</v>
      </c>
      <c r="M308" s="117">
        <v>96894742</v>
      </c>
      <c r="N308" s="121" t="s">
        <v>892</v>
      </c>
      <c r="O308" s="117" t="s">
        <v>918</v>
      </c>
      <c r="P308" s="117" t="s">
        <v>894</v>
      </c>
      <c r="Q308" s="125" t="s">
        <v>972</v>
      </c>
      <c r="R308" s="125" t="s">
        <v>972</v>
      </c>
      <c r="S308" s="125" t="s">
        <v>972</v>
      </c>
      <c r="T308" s="222"/>
      <c r="U308" s="222"/>
      <c r="V308" s="222"/>
      <c r="W308" s="230"/>
      <c r="X308" s="331">
        <f t="shared" si="14"/>
        <v>0</v>
      </c>
      <c r="Y308" s="222"/>
      <c r="Z308" s="272">
        <f t="shared" si="12"/>
        <v>0</v>
      </c>
      <c r="AA308" s="331"/>
      <c r="AB308" s="331"/>
      <c r="AC308" s="331"/>
      <c r="AD308" s="331"/>
      <c r="AE308" s="331"/>
      <c r="AF308" s="331"/>
      <c r="AG308" s="331"/>
      <c r="AH308" s="241">
        <f t="shared" ca="1" si="13"/>
        <v>46153</v>
      </c>
      <c r="AI308" s="272"/>
      <c r="AJ308" s="222"/>
      <c r="AK308" s="222"/>
    </row>
    <row r="309" spans="1:37" ht="23.25" hidden="1" customHeight="1">
      <c r="A309" s="111">
        <v>763</v>
      </c>
      <c r="B309" s="112">
        <v>5</v>
      </c>
      <c r="C309" s="113" t="s">
        <v>1733</v>
      </c>
      <c r="D309" s="147" t="s">
        <v>1734</v>
      </c>
      <c r="E309" s="114" t="s">
        <v>1735</v>
      </c>
      <c r="F309" s="115" t="s">
        <v>917</v>
      </c>
      <c r="G309" s="115" t="s">
        <v>918</v>
      </c>
      <c r="H309" s="116">
        <v>13.6737001</v>
      </c>
      <c r="I309" s="116">
        <v>100.53685</v>
      </c>
      <c r="J309" s="116" t="s">
        <v>890</v>
      </c>
      <c r="K309" s="117" t="s">
        <v>891</v>
      </c>
      <c r="L309" s="117" t="s">
        <v>891</v>
      </c>
      <c r="M309" s="117">
        <v>96894747</v>
      </c>
      <c r="N309" s="117" t="s">
        <v>892</v>
      </c>
      <c r="O309" s="117" t="s">
        <v>918</v>
      </c>
      <c r="P309" s="117" t="s">
        <v>894</v>
      </c>
      <c r="Q309" s="118">
        <v>80057501</v>
      </c>
      <c r="R309" s="119" t="s">
        <v>895</v>
      </c>
      <c r="S309" s="119" t="s">
        <v>895</v>
      </c>
      <c r="T309" s="222"/>
      <c r="U309" s="222"/>
      <c r="V309" s="222"/>
      <c r="W309" s="230"/>
      <c r="X309" s="331">
        <f t="shared" si="14"/>
        <v>0</v>
      </c>
      <c r="Y309" s="222"/>
      <c r="Z309" s="272">
        <f t="shared" si="12"/>
        <v>0</v>
      </c>
      <c r="AA309" s="331"/>
      <c r="AB309" s="331"/>
      <c r="AC309" s="331"/>
      <c r="AD309" s="331"/>
      <c r="AE309" s="331"/>
      <c r="AF309" s="331"/>
      <c r="AG309" s="331"/>
      <c r="AH309" s="241">
        <f t="shared" ca="1" si="13"/>
        <v>46153</v>
      </c>
      <c r="AI309" s="272"/>
      <c r="AJ309" s="222"/>
      <c r="AK309" s="222"/>
    </row>
    <row r="310" spans="1:37" ht="23" hidden="1">
      <c r="A310" s="111">
        <v>765</v>
      </c>
      <c r="B310" s="112">
        <v>4</v>
      </c>
      <c r="C310" s="122" t="s">
        <v>1736</v>
      </c>
      <c r="D310" s="147" t="s">
        <v>1737</v>
      </c>
      <c r="E310" s="123" t="s">
        <v>1738</v>
      </c>
      <c r="F310" s="116" t="s">
        <v>917</v>
      </c>
      <c r="G310" s="116" t="s">
        <v>918</v>
      </c>
      <c r="H310" s="116">
        <v>13.6732508</v>
      </c>
      <c r="I310" s="116">
        <v>100.5402418</v>
      </c>
      <c r="J310" s="116" t="s">
        <v>890</v>
      </c>
      <c r="K310" s="117" t="s">
        <v>891</v>
      </c>
      <c r="L310" s="117" t="s">
        <v>891</v>
      </c>
      <c r="M310" s="117">
        <v>96887706</v>
      </c>
      <c r="N310" s="117" t="s">
        <v>892</v>
      </c>
      <c r="O310" s="117" t="s">
        <v>918</v>
      </c>
      <c r="P310" s="117" t="s">
        <v>894</v>
      </c>
      <c r="Q310" s="118">
        <v>80057501</v>
      </c>
      <c r="R310" s="119" t="s">
        <v>895</v>
      </c>
      <c r="S310" s="119" t="s">
        <v>895</v>
      </c>
      <c r="T310" s="222"/>
      <c r="U310" s="222"/>
      <c r="V310" s="222"/>
      <c r="W310" s="230"/>
      <c r="X310" s="331">
        <f t="shared" si="14"/>
        <v>0</v>
      </c>
      <c r="Y310" s="222"/>
      <c r="Z310" s="272">
        <f t="shared" si="12"/>
        <v>0</v>
      </c>
      <c r="AA310" s="331"/>
      <c r="AB310" s="331"/>
      <c r="AC310" s="331"/>
      <c r="AD310" s="331"/>
      <c r="AE310" s="331"/>
      <c r="AF310" s="331"/>
      <c r="AG310" s="331"/>
      <c r="AH310" s="241">
        <f t="shared" ca="1" si="13"/>
        <v>46153</v>
      </c>
      <c r="AI310" s="272"/>
      <c r="AJ310" s="222"/>
      <c r="AK310" s="222"/>
    </row>
    <row r="311" spans="1:37" ht="23" hidden="1">
      <c r="A311" s="111">
        <v>766</v>
      </c>
      <c r="B311" s="112">
        <v>16</v>
      </c>
      <c r="C311" s="113" t="s">
        <v>1739</v>
      </c>
      <c r="D311" s="147" t="s">
        <v>1740</v>
      </c>
      <c r="E311" s="114" t="s">
        <v>1741</v>
      </c>
      <c r="F311" s="115" t="s">
        <v>917</v>
      </c>
      <c r="G311" s="115" t="s">
        <v>918</v>
      </c>
      <c r="H311" s="116">
        <v>13.680589960000001</v>
      </c>
      <c r="I311" s="116">
        <v>100.52725211000001</v>
      </c>
      <c r="J311" s="116" t="s">
        <v>890</v>
      </c>
      <c r="K311" s="117" t="s">
        <v>891</v>
      </c>
      <c r="L311" s="117" t="s">
        <v>891</v>
      </c>
      <c r="M311" s="117">
        <v>96888329</v>
      </c>
      <c r="N311" s="117" t="s">
        <v>892</v>
      </c>
      <c r="O311" s="117" t="s">
        <v>918</v>
      </c>
      <c r="P311" s="117" t="s">
        <v>894</v>
      </c>
      <c r="Q311" s="118">
        <v>80057501</v>
      </c>
      <c r="R311" s="119" t="s">
        <v>895</v>
      </c>
      <c r="S311" s="119" t="s">
        <v>895</v>
      </c>
      <c r="T311" s="222"/>
      <c r="U311" s="222"/>
      <c r="V311" s="222"/>
      <c r="W311" s="230"/>
      <c r="X311" s="331">
        <f t="shared" si="14"/>
        <v>0</v>
      </c>
      <c r="Y311" s="222"/>
      <c r="Z311" s="272">
        <f t="shared" si="12"/>
        <v>0</v>
      </c>
      <c r="AA311" s="331"/>
      <c r="AB311" s="331"/>
      <c r="AC311" s="331"/>
      <c r="AD311" s="331"/>
      <c r="AE311" s="331"/>
      <c r="AF311" s="331"/>
      <c r="AG311" s="331"/>
      <c r="AH311" s="241">
        <f t="shared" ca="1" si="13"/>
        <v>46153</v>
      </c>
      <c r="AI311" s="272"/>
      <c r="AJ311" s="222"/>
      <c r="AK311" s="222"/>
    </row>
    <row r="312" spans="1:37" ht="23" hidden="1">
      <c r="A312" s="111">
        <v>767</v>
      </c>
      <c r="B312" s="112">
        <v>6</v>
      </c>
      <c r="C312" s="113" t="s">
        <v>1742</v>
      </c>
      <c r="D312" s="147" t="s">
        <v>1743</v>
      </c>
      <c r="E312" s="114" t="s">
        <v>1744</v>
      </c>
      <c r="F312" s="115" t="s">
        <v>917</v>
      </c>
      <c r="G312" s="115" t="s">
        <v>918</v>
      </c>
      <c r="H312" s="116">
        <v>13.681513000000001</v>
      </c>
      <c r="I312" s="116">
        <v>100.526248</v>
      </c>
      <c r="J312" s="116" t="s">
        <v>890</v>
      </c>
      <c r="K312" s="117" t="s">
        <v>891</v>
      </c>
      <c r="L312" s="117" t="s">
        <v>891</v>
      </c>
      <c r="M312" s="117">
        <v>96894742</v>
      </c>
      <c r="N312" s="117" t="s">
        <v>892</v>
      </c>
      <c r="O312" s="117" t="s">
        <v>918</v>
      </c>
      <c r="P312" s="117" t="s">
        <v>894</v>
      </c>
      <c r="Q312" s="118">
        <v>80057501</v>
      </c>
      <c r="R312" s="119" t="s">
        <v>895</v>
      </c>
      <c r="S312" s="119" t="s">
        <v>895</v>
      </c>
      <c r="T312" s="222"/>
      <c r="U312" s="222"/>
      <c r="V312" s="222"/>
      <c r="W312" s="230"/>
      <c r="X312" s="331">
        <f t="shared" si="14"/>
        <v>0</v>
      </c>
      <c r="Y312" s="222"/>
      <c r="Z312" s="272">
        <f t="shared" si="12"/>
        <v>0</v>
      </c>
      <c r="AA312" s="331"/>
      <c r="AB312" s="331"/>
      <c r="AC312" s="331"/>
      <c r="AD312" s="331"/>
      <c r="AE312" s="331"/>
      <c r="AF312" s="331"/>
      <c r="AG312" s="331"/>
      <c r="AH312" s="241">
        <f t="shared" ca="1" si="13"/>
        <v>46153</v>
      </c>
      <c r="AI312" s="272"/>
      <c r="AJ312" s="222"/>
      <c r="AK312" s="222"/>
    </row>
    <row r="313" spans="1:37" ht="23" hidden="1">
      <c r="A313" s="111">
        <v>768</v>
      </c>
      <c r="B313" s="112">
        <v>6</v>
      </c>
      <c r="C313" s="113" t="s">
        <v>1745</v>
      </c>
      <c r="D313" s="147" t="s">
        <v>1746</v>
      </c>
      <c r="E313" s="114" t="s">
        <v>1747</v>
      </c>
      <c r="F313" s="115" t="s">
        <v>917</v>
      </c>
      <c r="G313" s="115" t="s">
        <v>918</v>
      </c>
      <c r="H313" s="116">
        <v>13.67390791</v>
      </c>
      <c r="I313" s="116">
        <v>100.5363935</v>
      </c>
      <c r="J313" s="116" t="s">
        <v>890</v>
      </c>
      <c r="K313" s="117" t="s">
        <v>891</v>
      </c>
      <c r="L313" s="117" t="s">
        <v>891</v>
      </c>
      <c r="M313" s="117">
        <v>96888323</v>
      </c>
      <c r="N313" s="117" t="s">
        <v>892</v>
      </c>
      <c r="O313" s="117" t="s">
        <v>918</v>
      </c>
      <c r="P313" s="117" t="s">
        <v>894</v>
      </c>
      <c r="Q313" s="118">
        <v>80057501</v>
      </c>
      <c r="R313" s="119" t="s">
        <v>895</v>
      </c>
      <c r="S313" s="119" t="s">
        <v>895</v>
      </c>
      <c r="T313" s="222"/>
      <c r="U313" s="222"/>
      <c r="V313" s="222"/>
      <c r="W313" s="230"/>
      <c r="X313" s="331">
        <f t="shared" si="14"/>
        <v>0</v>
      </c>
      <c r="Y313" s="222"/>
      <c r="Z313" s="272">
        <f t="shared" si="12"/>
        <v>0</v>
      </c>
      <c r="AA313" s="331"/>
      <c r="AB313" s="331"/>
      <c r="AC313" s="331"/>
      <c r="AD313" s="331"/>
      <c r="AE313" s="331"/>
      <c r="AF313" s="331"/>
      <c r="AG313" s="331"/>
      <c r="AH313" s="241">
        <f t="shared" ca="1" si="13"/>
        <v>46153</v>
      </c>
      <c r="AI313" s="272"/>
      <c r="AJ313" s="222"/>
      <c r="AK313" s="222"/>
    </row>
    <row r="314" spans="1:37" ht="23" hidden="1">
      <c r="A314" s="111">
        <v>888</v>
      </c>
      <c r="B314" s="112">
        <v>9</v>
      </c>
      <c r="C314" s="122" t="s">
        <v>1851</v>
      </c>
      <c r="D314" s="147" t="s">
        <v>1852</v>
      </c>
      <c r="E314" s="123" t="s">
        <v>1853</v>
      </c>
      <c r="F314" s="116" t="s">
        <v>917</v>
      </c>
      <c r="G314" s="116" t="s">
        <v>918</v>
      </c>
      <c r="H314" s="116">
        <v>13.6804223</v>
      </c>
      <c r="I314" s="116">
        <v>100.54768679999999</v>
      </c>
      <c r="J314" s="116" t="s">
        <v>890</v>
      </c>
      <c r="K314" s="117" t="s">
        <v>891</v>
      </c>
      <c r="L314" s="117" t="s">
        <v>891</v>
      </c>
      <c r="M314" s="117">
        <v>96894753</v>
      </c>
      <c r="N314" s="117" t="s">
        <v>892</v>
      </c>
      <c r="O314" s="117" t="s">
        <v>918</v>
      </c>
      <c r="P314" s="117" t="s">
        <v>894</v>
      </c>
      <c r="Q314" s="118">
        <v>80057501</v>
      </c>
      <c r="R314" s="119" t="s">
        <v>895</v>
      </c>
      <c r="S314" s="119" t="s">
        <v>895</v>
      </c>
      <c r="T314" s="312" t="s">
        <v>5212</v>
      </c>
      <c r="U314" s="312" t="s">
        <v>5184</v>
      </c>
      <c r="V314" s="329">
        <v>45005</v>
      </c>
      <c r="W314" s="326">
        <v>4</v>
      </c>
      <c r="X314" s="331">
        <f t="shared" si="14"/>
        <v>45009</v>
      </c>
      <c r="Y314" s="329">
        <v>45034</v>
      </c>
      <c r="Z314" s="332">
        <f t="shared" si="12"/>
        <v>25</v>
      </c>
      <c r="AA314" s="331"/>
      <c r="AB314" s="331"/>
      <c r="AC314" s="331"/>
      <c r="AD314" s="331"/>
      <c r="AE314" s="331"/>
      <c r="AF314" s="331"/>
      <c r="AG314" s="331"/>
      <c r="AH314" s="329">
        <f t="shared" ca="1" si="13"/>
        <v>46153</v>
      </c>
      <c r="AI314" s="330"/>
      <c r="AJ314" s="312" t="s">
        <v>5143</v>
      </c>
      <c r="AK314" s="312"/>
    </row>
    <row r="315" spans="1:37" ht="23" hidden="1">
      <c r="A315" s="111">
        <v>980</v>
      </c>
      <c r="B315" s="112">
        <v>7</v>
      </c>
      <c r="C315" s="113" t="s">
        <v>1911</v>
      </c>
      <c r="D315" s="147" t="s">
        <v>1912</v>
      </c>
      <c r="E315" s="114" t="s">
        <v>1913</v>
      </c>
      <c r="F315" s="115" t="s">
        <v>917</v>
      </c>
      <c r="G315" s="115" t="s">
        <v>918</v>
      </c>
      <c r="H315" s="116">
        <v>13.681153</v>
      </c>
      <c r="I315" s="116">
        <v>100.54779499999999</v>
      </c>
      <c r="J315" s="116" t="s">
        <v>890</v>
      </c>
      <c r="K315" s="117" t="s">
        <v>891</v>
      </c>
      <c r="L315" s="118" t="s">
        <v>891</v>
      </c>
      <c r="M315" s="117">
        <v>96894763</v>
      </c>
      <c r="N315" s="117" t="s">
        <v>892</v>
      </c>
      <c r="O315" s="117" t="s">
        <v>918</v>
      </c>
      <c r="P315" s="118" t="s">
        <v>894</v>
      </c>
      <c r="Q315" s="118">
        <v>80057501</v>
      </c>
      <c r="R315" s="119" t="s">
        <v>895</v>
      </c>
      <c r="S315" s="119" t="s">
        <v>895</v>
      </c>
      <c r="T315" s="222"/>
      <c r="U315" s="222"/>
      <c r="V315" s="222"/>
      <c r="W315" s="230"/>
      <c r="X315" s="331">
        <f t="shared" si="14"/>
        <v>0</v>
      </c>
      <c r="Y315" s="222"/>
      <c r="Z315" s="272">
        <f t="shared" si="12"/>
        <v>0</v>
      </c>
      <c r="AA315" s="331"/>
      <c r="AB315" s="331"/>
      <c r="AC315" s="331"/>
      <c r="AD315" s="331"/>
      <c r="AE315" s="331"/>
      <c r="AF315" s="331"/>
      <c r="AG315" s="331"/>
      <c r="AH315" s="241">
        <f t="shared" ca="1" si="13"/>
        <v>46153</v>
      </c>
      <c r="AI315" s="272"/>
      <c r="AJ315" s="222"/>
      <c r="AK315" s="222"/>
    </row>
    <row r="316" spans="1:37" ht="23" hidden="1">
      <c r="A316" s="111">
        <v>1078</v>
      </c>
      <c r="B316" s="112">
        <v>11</v>
      </c>
      <c r="C316" s="113" t="s">
        <v>2026</v>
      </c>
      <c r="D316" s="147" t="s">
        <v>2027</v>
      </c>
      <c r="E316" s="114" t="s">
        <v>2028</v>
      </c>
      <c r="F316" s="115" t="s">
        <v>917</v>
      </c>
      <c r="G316" s="115" t="s">
        <v>918</v>
      </c>
      <c r="H316" s="116">
        <v>13.682748999999999</v>
      </c>
      <c r="I316" s="116">
        <v>100.52462800000001</v>
      </c>
      <c r="J316" s="116" t="s">
        <v>890</v>
      </c>
      <c r="K316" s="117" t="s">
        <v>891</v>
      </c>
      <c r="L316" s="117" t="s">
        <v>891</v>
      </c>
      <c r="M316" s="117">
        <v>96888342</v>
      </c>
      <c r="N316" s="117" t="s">
        <v>892</v>
      </c>
      <c r="O316" s="117" t="s">
        <v>918</v>
      </c>
      <c r="P316" s="117" t="s">
        <v>894</v>
      </c>
      <c r="Q316" s="118">
        <v>80057501</v>
      </c>
      <c r="R316" s="119" t="s">
        <v>895</v>
      </c>
      <c r="S316" s="119" t="s">
        <v>895</v>
      </c>
      <c r="T316" s="222"/>
      <c r="U316" s="222"/>
      <c r="V316" s="222"/>
      <c r="W316" s="230"/>
      <c r="X316" s="331">
        <f t="shared" si="14"/>
        <v>0</v>
      </c>
      <c r="Y316" s="222"/>
      <c r="Z316" s="272">
        <f t="shared" si="12"/>
        <v>0</v>
      </c>
      <c r="AA316" s="331"/>
      <c r="AB316" s="331"/>
      <c r="AC316" s="331"/>
      <c r="AD316" s="331"/>
      <c r="AE316" s="331"/>
      <c r="AF316" s="331"/>
      <c r="AG316" s="331"/>
      <c r="AH316" s="241">
        <f t="shared" ca="1" si="13"/>
        <v>46153</v>
      </c>
      <c r="AI316" s="272"/>
      <c r="AJ316" s="222"/>
      <c r="AK316" s="222"/>
    </row>
    <row r="317" spans="1:37" ht="23.25" hidden="1" customHeight="1">
      <c r="A317" s="111">
        <v>460</v>
      </c>
      <c r="B317" s="112">
        <v>15</v>
      </c>
      <c r="C317" s="113" t="s">
        <v>3252</v>
      </c>
      <c r="D317" s="147" t="s">
        <v>3253</v>
      </c>
      <c r="E317" s="114" t="s">
        <v>3254</v>
      </c>
      <c r="F317" s="115" t="s">
        <v>917</v>
      </c>
      <c r="G317" s="115" t="s">
        <v>1421</v>
      </c>
      <c r="H317" s="116">
        <v>13.690386999999999</v>
      </c>
      <c r="I317" s="116">
        <v>100.50367199999999</v>
      </c>
      <c r="J317" s="115" t="s">
        <v>2108</v>
      </c>
      <c r="K317" s="117" t="s">
        <v>2109</v>
      </c>
      <c r="L317" s="117" t="s">
        <v>2110</v>
      </c>
      <c r="M317" s="121" t="s">
        <v>972</v>
      </c>
      <c r="N317" s="121" t="s">
        <v>972</v>
      </c>
      <c r="O317" s="136" t="s">
        <v>918</v>
      </c>
      <c r="P317" s="136" t="s">
        <v>894</v>
      </c>
      <c r="Q317" s="125" t="s">
        <v>972</v>
      </c>
      <c r="R317" s="125" t="s">
        <v>972</v>
      </c>
      <c r="S317" s="125" t="s">
        <v>972</v>
      </c>
      <c r="T317" s="222"/>
      <c r="U317" s="222"/>
      <c r="V317" s="222"/>
      <c r="W317" s="230"/>
      <c r="X317" s="331">
        <f t="shared" si="14"/>
        <v>0</v>
      </c>
      <c r="Y317" s="222"/>
      <c r="Z317" s="272">
        <f t="shared" si="12"/>
        <v>0</v>
      </c>
      <c r="AA317" s="331"/>
      <c r="AB317" s="331"/>
      <c r="AC317" s="331"/>
      <c r="AD317" s="331"/>
      <c r="AE317" s="331"/>
      <c r="AF317" s="331"/>
      <c r="AG317" s="331"/>
      <c r="AH317" s="241">
        <f t="shared" ca="1" si="13"/>
        <v>46153</v>
      </c>
      <c r="AI317" s="272"/>
      <c r="AJ317" s="222"/>
      <c r="AK317" s="222"/>
    </row>
    <row r="318" spans="1:37" ht="23" hidden="1">
      <c r="A318" s="111">
        <v>95</v>
      </c>
      <c r="B318" s="112" t="s">
        <v>985</v>
      </c>
      <c r="C318" s="113" t="s">
        <v>1004</v>
      </c>
      <c r="D318" s="147" t="s">
        <v>1005</v>
      </c>
      <c r="E318" s="114" t="s">
        <v>1006</v>
      </c>
      <c r="F318" s="115" t="s">
        <v>1007</v>
      </c>
      <c r="G318" s="115" t="s">
        <v>990</v>
      </c>
      <c r="H318" s="115">
        <v>13.7273777</v>
      </c>
      <c r="I318" s="115">
        <v>100.5421331</v>
      </c>
      <c r="J318" s="116" t="s">
        <v>890</v>
      </c>
      <c r="K318" s="117" t="s">
        <v>891</v>
      </c>
      <c r="L318" s="118" t="s">
        <v>891</v>
      </c>
      <c r="M318" s="117">
        <v>96887370</v>
      </c>
      <c r="N318" s="117" t="s">
        <v>892</v>
      </c>
      <c r="O318" s="135" t="s">
        <v>984</v>
      </c>
      <c r="P318" s="118" t="s">
        <v>894</v>
      </c>
      <c r="Q318" s="118">
        <v>80057501</v>
      </c>
      <c r="R318" s="119" t="s">
        <v>895</v>
      </c>
      <c r="S318" s="119" t="s">
        <v>895</v>
      </c>
      <c r="T318" s="222"/>
      <c r="U318" s="222"/>
      <c r="V318" s="222"/>
      <c r="W318" s="230"/>
      <c r="X318" s="331">
        <f t="shared" si="14"/>
        <v>0</v>
      </c>
      <c r="Y318" s="222"/>
      <c r="Z318" s="272">
        <f t="shared" si="12"/>
        <v>0</v>
      </c>
      <c r="AA318" s="331"/>
      <c r="AB318" s="331"/>
      <c r="AC318" s="331"/>
      <c r="AD318" s="331"/>
      <c r="AE318" s="331"/>
      <c r="AF318" s="331"/>
      <c r="AG318" s="331"/>
      <c r="AH318" s="241">
        <f t="shared" ca="1" si="13"/>
        <v>46153</v>
      </c>
      <c r="AI318" s="272"/>
      <c r="AJ318" s="222"/>
      <c r="AK318" s="222"/>
    </row>
    <row r="319" spans="1:37" ht="23" hidden="1">
      <c r="A319" s="111">
        <v>114</v>
      </c>
      <c r="B319" s="112">
        <v>4</v>
      </c>
      <c r="C319" s="113" t="s">
        <v>1034</v>
      </c>
      <c r="D319" s="147" t="s">
        <v>1035</v>
      </c>
      <c r="E319" s="114" t="s">
        <v>1036</v>
      </c>
      <c r="F319" s="115" t="s">
        <v>1007</v>
      </c>
      <c r="G319" s="115" t="s">
        <v>984</v>
      </c>
      <c r="H319" s="116">
        <v>13.718023199999999</v>
      </c>
      <c r="I319" s="116">
        <v>100.5691133</v>
      </c>
      <c r="J319" s="116" t="s">
        <v>890</v>
      </c>
      <c r="K319" s="117" t="s">
        <v>891</v>
      </c>
      <c r="L319" s="118" t="s">
        <v>891</v>
      </c>
      <c r="M319" s="117">
        <v>96887376</v>
      </c>
      <c r="N319" s="117" t="s">
        <v>892</v>
      </c>
      <c r="O319" s="135" t="s">
        <v>984</v>
      </c>
      <c r="P319" s="118" t="s">
        <v>894</v>
      </c>
      <c r="Q319" s="118">
        <v>80057501</v>
      </c>
      <c r="R319" s="119" t="s">
        <v>895</v>
      </c>
      <c r="S319" s="119" t="s">
        <v>895</v>
      </c>
      <c r="T319" s="312" t="s">
        <v>5212</v>
      </c>
      <c r="U319" s="312" t="s">
        <v>5181</v>
      </c>
      <c r="V319" s="329">
        <v>44986</v>
      </c>
      <c r="W319" s="326">
        <v>14</v>
      </c>
      <c r="X319" s="331">
        <f t="shared" si="14"/>
        <v>45000</v>
      </c>
      <c r="Y319" s="329">
        <v>45033</v>
      </c>
      <c r="Z319" s="332">
        <f t="shared" si="12"/>
        <v>33</v>
      </c>
      <c r="AA319" s="331"/>
      <c r="AB319" s="331"/>
      <c r="AC319" s="331"/>
      <c r="AD319" s="331"/>
      <c r="AE319" s="331"/>
      <c r="AF319" s="331"/>
      <c r="AG319" s="331"/>
      <c r="AH319" s="329">
        <f t="shared" ca="1" si="13"/>
        <v>46153</v>
      </c>
      <c r="AI319" s="330"/>
      <c r="AJ319" s="312" t="s">
        <v>5143</v>
      </c>
      <c r="AK319" s="312"/>
    </row>
    <row r="320" spans="1:37" ht="23" hidden="1">
      <c r="A320" s="111">
        <v>135</v>
      </c>
      <c r="B320" s="112">
        <v>14</v>
      </c>
      <c r="C320" s="113" t="s">
        <v>1051</v>
      </c>
      <c r="D320" s="147" t="s">
        <v>1052</v>
      </c>
      <c r="E320" s="114" t="s">
        <v>1053</v>
      </c>
      <c r="F320" s="115" t="s">
        <v>1007</v>
      </c>
      <c r="G320" s="115" t="s">
        <v>990</v>
      </c>
      <c r="H320" s="116">
        <v>13.734095999999999</v>
      </c>
      <c r="I320" s="116">
        <v>100.525965</v>
      </c>
      <c r="J320" s="116" t="s">
        <v>890</v>
      </c>
      <c r="K320" s="117" t="s">
        <v>891</v>
      </c>
      <c r="L320" s="117" t="s">
        <v>891</v>
      </c>
      <c r="M320" s="117">
        <v>96887377</v>
      </c>
      <c r="N320" s="117" t="s">
        <v>892</v>
      </c>
      <c r="O320" s="135" t="s">
        <v>984</v>
      </c>
      <c r="P320" s="117" t="s">
        <v>894</v>
      </c>
      <c r="Q320" s="118">
        <v>80057501</v>
      </c>
      <c r="R320" s="119" t="s">
        <v>895</v>
      </c>
      <c r="S320" s="119" t="s">
        <v>895</v>
      </c>
      <c r="T320" s="222"/>
      <c r="U320" s="222"/>
      <c r="V320" s="222"/>
      <c r="W320" s="230"/>
      <c r="X320" s="331">
        <f t="shared" si="14"/>
        <v>0</v>
      </c>
      <c r="Y320" s="222"/>
      <c r="Z320" s="272">
        <f t="shared" si="12"/>
        <v>0</v>
      </c>
      <c r="AA320" s="331"/>
      <c r="AB320" s="331"/>
      <c r="AC320" s="331"/>
      <c r="AD320" s="331"/>
      <c r="AE320" s="331"/>
      <c r="AF320" s="331"/>
      <c r="AG320" s="331"/>
      <c r="AH320" s="241">
        <f t="shared" ca="1" si="13"/>
        <v>46153</v>
      </c>
      <c r="AI320" s="272"/>
      <c r="AJ320" s="222"/>
      <c r="AK320" s="222"/>
    </row>
    <row r="321" spans="1:37" ht="23" hidden="1">
      <c r="A321" s="111">
        <v>299</v>
      </c>
      <c r="B321" s="112">
        <v>6</v>
      </c>
      <c r="C321" s="113" t="s">
        <v>1228</v>
      </c>
      <c r="D321" s="147" t="s">
        <v>1229</v>
      </c>
      <c r="E321" s="114" t="s">
        <v>1230</v>
      </c>
      <c r="F321" s="115" t="s">
        <v>1007</v>
      </c>
      <c r="G321" s="115" t="s">
        <v>984</v>
      </c>
      <c r="H321" s="116">
        <v>13.7128532</v>
      </c>
      <c r="I321" s="116">
        <v>100.5889301</v>
      </c>
      <c r="J321" s="116" t="s">
        <v>890</v>
      </c>
      <c r="K321" s="117" t="s">
        <v>891</v>
      </c>
      <c r="L321" s="117" t="s">
        <v>891</v>
      </c>
      <c r="M321" s="117">
        <v>96887378</v>
      </c>
      <c r="N321" s="117" t="s">
        <v>892</v>
      </c>
      <c r="O321" s="135" t="s">
        <v>984</v>
      </c>
      <c r="P321" s="117" t="s">
        <v>894</v>
      </c>
      <c r="Q321" s="118">
        <v>80057501</v>
      </c>
      <c r="R321" s="119" t="s">
        <v>895</v>
      </c>
      <c r="S321" s="119" t="s">
        <v>895</v>
      </c>
      <c r="T321" s="222"/>
      <c r="U321" s="222"/>
      <c r="V321" s="222"/>
      <c r="W321" s="230"/>
      <c r="X321" s="331">
        <f t="shared" si="14"/>
        <v>0</v>
      </c>
      <c r="Y321" s="222"/>
      <c r="Z321" s="272">
        <f t="shared" si="12"/>
        <v>0</v>
      </c>
      <c r="AA321" s="331"/>
      <c r="AB321" s="331"/>
      <c r="AC321" s="331"/>
      <c r="AD321" s="331"/>
      <c r="AE321" s="331"/>
      <c r="AF321" s="331"/>
      <c r="AG321" s="331"/>
      <c r="AH321" s="241">
        <f t="shared" ca="1" si="13"/>
        <v>46153</v>
      </c>
      <c r="AI321" s="272"/>
      <c r="AJ321" s="222"/>
      <c r="AK321" s="222"/>
    </row>
    <row r="322" spans="1:37" ht="23" hidden="1">
      <c r="A322" s="111">
        <v>450</v>
      </c>
      <c r="B322" s="112">
        <v>11</v>
      </c>
      <c r="C322" s="113" t="s">
        <v>1414</v>
      </c>
      <c r="D322" s="147" t="s">
        <v>1415</v>
      </c>
      <c r="E322" s="114" t="s">
        <v>1416</v>
      </c>
      <c r="F322" s="115" t="s">
        <v>1007</v>
      </c>
      <c r="G322" s="115" t="s">
        <v>984</v>
      </c>
      <c r="H322" s="116">
        <v>13.71975123</v>
      </c>
      <c r="I322" s="116">
        <v>100.56524766</v>
      </c>
      <c r="J322" s="116" t="s">
        <v>890</v>
      </c>
      <c r="K322" s="117" t="s">
        <v>891</v>
      </c>
      <c r="L322" s="117" t="s">
        <v>891</v>
      </c>
      <c r="M322" s="118">
        <v>96887706</v>
      </c>
      <c r="N322" s="117" t="s">
        <v>892</v>
      </c>
      <c r="O322" s="135" t="s">
        <v>984</v>
      </c>
      <c r="P322" s="117" t="s">
        <v>894</v>
      </c>
      <c r="Q322" s="118">
        <v>80057501</v>
      </c>
      <c r="R322" s="119" t="s">
        <v>895</v>
      </c>
      <c r="S322" s="119" t="s">
        <v>895</v>
      </c>
      <c r="T322" s="222"/>
      <c r="U322" s="222"/>
      <c r="V322" s="222"/>
      <c r="W322" s="230"/>
      <c r="X322" s="331">
        <f t="shared" si="14"/>
        <v>0</v>
      </c>
      <c r="Y322" s="222"/>
      <c r="Z322" s="272">
        <f t="shared" si="12"/>
        <v>0</v>
      </c>
      <c r="AA322" s="331"/>
      <c r="AB322" s="331"/>
      <c r="AC322" s="331"/>
      <c r="AD322" s="331"/>
      <c r="AE322" s="331"/>
      <c r="AF322" s="331"/>
      <c r="AG322" s="331"/>
      <c r="AH322" s="241">
        <f t="shared" ca="1" si="13"/>
        <v>46153</v>
      </c>
      <c r="AI322" s="272"/>
      <c r="AJ322" s="222"/>
      <c r="AK322" s="222"/>
    </row>
    <row r="323" spans="1:37" ht="23.25" hidden="1" customHeight="1">
      <c r="A323" s="111">
        <v>549</v>
      </c>
      <c r="B323" s="112">
        <v>7</v>
      </c>
      <c r="C323" s="113" t="s">
        <v>1512</v>
      </c>
      <c r="D323" s="147" t="s">
        <v>1513</v>
      </c>
      <c r="E323" s="114" t="s">
        <v>1514</v>
      </c>
      <c r="F323" s="115" t="s">
        <v>1007</v>
      </c>
      <c r="G323" s="115" t="s">
        <v>990</v>
      </c>
      <c r="H323" s="116">
        <v>13.729195000000001</v>
      </c>
      <c r="I323" s="116">
        <v>100.537848</v>
      </c>
      <c r="J323" s="116" t="s">
        <v>969</v>
      </c>
      <c r="K323" s="116" t="s">
        <v>970</v>
      </c>
      <c r="L323" s="117" t="s">
        <v>1515</v>
      </c>
      <c r="M323" s="117">
        <v>96887693</v>
      </c>
      <c r="N323" s="121" t="s">
        <v>892</v>
      </c>
      <c r="O323" s="135" t="s">
        <v>984</v>
      </c>
      <c r="P323" s="117" t="s">
        <v>894</v>
      </c>
      <c r="Q323" s="125" t="s">
        <v>972</v>
      </c>
      <c r="R323" s="125" t="s">
        <v>972</v>
      </c>
      <c r="S323" s="125" t="s">
        <v>972</v>
      </c>
      <c r="T323" s="274" t="s">
        <v>5212</v>
      </c>
      <c r="U323" s="312" t="s">
        <v>5184</v>
      </c>
      <c r="V323" s="329">
        <v>45005</v>
      </c>
      <c r="W323" s="326">
        <v>4</v>
      </c>
      <c r="X323" s="331">
        <f t="shared" si="14"/>
        <v>45009</v>
      </c>
      <c r="Y323" s="329">
        <v>45035</v>
      </c>
      <c r="Z323" s="332">
        <f t="shared" ref="Z323:Z386" si="15">DATEDIF(X323,Y323,"d")</f>
        <v>26</v>
      </c>
      <c r="AA323" s="331"/>
      <c r="AB323" s="331"/>
      <c r="AC323" s="331"/>
      <c r="AD323" s="331"/>
      <c r="AE323" s="331"/>
      <c r="AF323" s="331"/>
      <c r="AG323" s="331"/>
      <c r="AH323" s="329">
        <f t="shared" ref="AH323:AH386" ca="1" si="16">TODAY()</f>
        <v>46153</v>
      </c>
      <c r="AI323" s="330"/>
      <c r="AJ323" s="312" t="s">
        <v>5143</v>
      </c>
      <c r="AK323" s="312"/>
    </row>
    <row r="324" spans="1:37" ht="23" hidden="1">
      <c r="A324" s="111">
        <v>659</v>
      </c>
      <c r="B324" s="112" t="s">
        <v>919</v>
      </c>
      <c r="C324" s="113" t="s">
        <v>1611</v>
      </c>
      <c r="D324" s="147" t="s">
        <v>1612</v>
      </c>
      <c r="E324" s="114" t="s">
        <v>1613</v>
      </c>
      <c r="F324" s="115" t="s">
        <v>1007</v>
      </c>
      <c r="G324" s="115" t="s">
        <v>990</v>
      </c>
      <c r="H324" s="116">
        <v>13.723299600000001</v>
      </c>
      <c r="I324" s="116">
        <v>100.5512605</v>
      </c>
      <c r="J324" s="116" t="s">
        <v>890</v>
      </c>
      <c r="K324" s="117" t="s">
        <v>891</v>
      </c>
      <c r="L324" s="118" t="s">
        <v>891</v>
      </c>
      <c r="M324" s="118">
        <v>96887386</v>
      </c>
      <c r="N324" s="117" t="s">
        <v>892</v>
      </c>
      <c r="O324" s="135" t="s">
        <v>984</v>
      </c>
      <c r="P324" s="118" t="s">
        <v>894</v>
      </c>
      <c r="Q324" s="118">
        <v>80057501</v>
      </c>
      <c r="R324" s="119" t="s">
        <v>895</v>
      </c>
      <c r="S324" s="119" t="s">
        <v>895</v>
      </c>
      <c r="T324" s="222"/>
      <c r="U324" s="222"/>
      <c r="V324" s="222"/>
      <c r="W324" s="230"/>
      <c r="X324" s="331">
        <f t="shared" ref="X324:X387" si="17">V324+(W324)</f>
        <v>0</v>
      </c>
      <c r="Y324" s="222"/>
      <c r="Z324" s="272">
        <f t="shared" si="15"/>
        <v>0</v>
      </c>
      <c r="AA324" s="331"/>
      <c r="AB324" s="331"/>
      <c r="AC324" s="331"/>
      <c r="AD324" s="331"/>
      <c r="AE324" s="331"/>
      <c r="AF324" s="331"/>
      <c r="AG324" s="331"/>
      <c r="AH324" s="241">
        <f t="shared" ca="1" si="16"/>
        <v>46153</v>
      </c>
      <c r="AI324" s="272"/>
      <c r="AJ324" s="222"/>
      <c r="AK324" s="222"/>
    </row>
    <row r="325" spans="1:37" ht="23" hidden="1">
      <c r="A325" s="111">
        <v>663</v>
      </c>
      <c r="B325" s="112" t="s">
        <v>1071</v>
      </c>
      <c r="C325" s="122" t="s">
        <v>1614</v>
      </c>
      <c r="D325" s="147" t="s">
        <v>1615</v>
      </c>
      <c r="E325" s="123" t="s">
        <v>1616</v>
      </c>
      <c r="F325" s="116" t="s">
        <v>1007</v>
      </c>
      <c r="G325" s="116" t="s">
        <v>1542</v>
      </c>
      <c r="H325" s="118">
        <v>13.7292656</v>
      </c>
      <c r="I325" s="118">
        <v>100.5369702</v>
      </c>
      <c r="J325" s="121" t="s">
        <v>890</v>
      </c>
      <c r="K325" s="121" t="s">
        <v>891</v>
      </c>
      <c r="L325" s="121" t="s">
        <v>891</v>
      </c>
      <c r="M325" s="124">
        <v>96894787</v>
      </c>
      <c r="N325" s="117" t="s">
        <v>892</v>
      </c>
      <c r="O325" s="135"/>
      <c r="P325" s="127" t="s">
        <v>1076</v>
      </c>
      <c r="Q325" s="118">
        <v>80057501</v>
      </c>
      <c r="R325" s="119" t="s">
        <v>895</v>
      </c>
      <c r="S325" s="119" t="s">
        <v>895</v>
      </c>
      <c r="T325" s="222"/>
      <c r="U325" s="222"/>
      <c r="V325" s="222"/>
      <c r="W325" s="230"/>
      <c r="X325" s="331">
        <f t="shared" si="17"/>
        <v>0</v>
      </c>
      <c r="Y325" s="222"/>
      <c r="Z325" s="272">
        <f t="shared" si="15"/>
        <v>0</v>
      </c>
      <c r="AA325" s="331"/>
      <c r="AB325" s="331"/>
      <c r="AC325" s="331"/>
      <c r="AD325" s="331"/>
      <c r="AE325" s="331"/>
      <c r="AF325" s="331"/>
      <c r="AG325" s="331"/>
      <c r="AH325" s="241">
        <f t="shared" ca="1" si="16"/>
        <v>46153</v>
      </c>
      <c r="AI325" s="272"/>
      <c r="AJ325" s="222"/>
      <c r="AK325" s="222"/>
    </row>
    <row r="326" spans="1:37" ht="23" hidden="1">
      <c r="A326" s="111">
        <v>675</v>
      </c>
      <c r="B326" s="112">
        <v>16</v>
      </c>
      <c r="C326" s="122" t="s">
        <v>1633</v>
      </c>
      <c r="D326" s="147" t="s">
        <v>1634</v>
      </c>
      <c r="E326" s="123" t="s">
        <v>1635</v>
      </c>
      <c r="F326" s="116" t="s">
        <v>1007</v>
      </c>
      <c r="G326" s="116" t="s">
        <v>984</v>
      </c>
      <c r="H326" s="116">
        <v>13.714720399999999</v>
      </c>
      <c r="I326" s="116">
        <v>100.5769294</v>
      </c>
      <c r="J326" s="116" t="s">
        <v>890</v>
      </c>
      <c r="K326" s="117" t="s">
        <v>891</v>
      </c>
      <c r="L326" s="117" t="s">
        <v>891</v>
      </c>
      <c r="M326" s="117">
        <v>96887387</v>
      </c>
      <c r="N326" s="117" t="s">
        <v>892</v>
      </c>
      <c r="O326" s="135" t="s">
        <v>984</v>
      </c>
      <c r="P326" s="118" t="s">
        <v>894</v>
      </c>
      <c r="Q326" s="118">
        <v>80057501</v>
      </c>
      <c r="R326" s="119" t="s">
        <v>895</v>
      </c>
      <c r="S326" s="119" t="s">
        <v>895</v>
      </c>
      <c r="T326" s="222"/>
      <c r="U326" s="222"/>
      <c r="V326" s="222"/>
      <c r="W326" s="230"/>
      <c r="X326" s="331">
        <f t="shared" si="17"/>
        <v>0</v>
      </c>
      <c r="Y326" s="222"/>
      <c r="Z326" s="272">
        <f t="shared" si="15"/>
        <v>0</v>
      </c>
      <c r="AA326" s="331"/>
      <c r="AB326" s="331"/>
      <c r="AC326" s="331"/>
      <c r="AD326" s="331"/>
      <c r="AE326" s="331"/>
      <c r="AF326" s="331"/>
      <c r="AG326" s="331"/>
      <c r="AH326" s="241">
        <f t="shared" ca="1" si="16"/>
        <v>46153</v>
      </c>
      <c r="AI326" s="272"/>
      <c r="AJ326" s="222"/>
      <c r="AK326" s="222"/>
    </row>
    <row r="327" spans="1:37" ht="23.25" hidden="1" customHeight="1">
      <c r="A327" s="111">
        <v>679</v>
      </c>
      <c r="B327" s="112">
        <v>12</v>
      </c>
      <c r="C327" s="113" t="s">
        <v>1639</v>
      </c>
      <c r="D327" s="147" t="s">
        <v>1640</v>
      </c>
      <c r="E327" s="114" t="s">
        <v>1641</v>
      </c>
      <c r="F327" s="115" t="s">
        <v>1007</v>
      </c>
      <c r="G327" s="115" t="s">
        <v>984</v>
      </c>
      <c r="H327" s="116">
        <v>13.7166382</v>
      </c>
      <c r="I327" s="116">
        <v>100.5728136</v>
      </c>
      <c r="J327" s="116" t="s">
        <v>969</v>
      </c>
      <c r="K327" s="116" t="s">
        <v>970</v>
      </c>
      <c r="L327" s="117" t="s">
        <v>1642</v>
      </c>
      <c r="M327" s="117">
        <v>96887393</v>
      </c>
      <c r="N327" s="121" t="s">
        <v>892</v>
      </c>
      <c r="O327" s="135" t="s">
        <v>984</v>
      </c>
      <c r="P327" s="117" t="s">
        <v>894</v>
      </c>
      <c r="Q327" s="125" t="s">
        <v>972</v>
      </c>
      <c r="R327" s="125" t="s">
        <v>972</v>
      </c>
      <c r="S327" s="125" t="s">
        <v>972</v>
      </c>
      <c r="T327" s="222"/>
      <c r="U327" s="222"/>
      <c r="V327" s="222"/>
      <c r="W327" s="230"/>
      <c r="X327" s="331">
        <f t="shared" si="17"/>
        <v>0</v>
      </c>
      <c r="Y327" s="222"/>
      <c r="Z327" s="272">
        <f t="shared" si="15"/>
        <v>0</v>
      </c>
      <c r="AA327" s="331"/>
      <c r="AB327" s="331"/>
      <c r="AC327" s="331"/>
      <c r="AD327" s="331"/>
      <c r="AE327" s="331"/>
      <c r="AF327" s="331"/>
      <c r="AG327" s="331"/>
      <c r="AH327" s="241">
        <f t="shared" ca="1" si="16"/>
        <v>46153</v>
      </c>
      <c r="AI327" s="272"/>
      <c r="AJ327" s="222"/>
      <c r="AK327" s="222"/>
    </row>
    <row r="328" spans="1:37" ht="23" hidden="1">
      <c r="A328" s="111">
        <v>826</v>
      </c>
      <c r="B328" s="112" t="s">
        <v>1071</v>
      </c>
      <c r="C328" s="113" t="s">
        <v>1797</v>
      </c>
      <c r="D328" s="147" t="s">
        <v>1798</v>
      </c>
      <c r="E328" s="114" t="s">
        <v>1799</v>
      </c>
      <c r="F328" s="115" t="s">
        <v>1007</v>
      </c>
      <c r="G328" s="115" t="s">
        <v>990</v>
      </c>
      <c r="H328" s="116">
        <v>13.726694</v>
      </c>
      <c r="I328" s="116">
        <v>100.54382</v>
      </c>
      <c r="J328" s="121" t="s">
        <v>890</v>
      </c>
      <c r="K328" s="121" t="s">
        <v>891</v>
      </c>
      <c r="L328" s="121" t="s">
        <v>891</v>
      </c>
      <c r="M328" s="121">
        <v>96890616</v>
      </c>
      <c r="N328" s="117" t="s">
        <v>892</v>
      </c>
      <c r="O328" s="135"/>
      <c r="P328" s="127" t="s">
        <v>1076</v>
      </c>
      <c r="Q328" s="118">
        <v>80057501</v>
      </c>
      <c r="R328" s="119" t="s">
        <v>895</v>
      </c>
      <c r="S328" s="119" t="s">
        <v>895</v>
      </c>
      <c r="T328" s="222"/>
      <c r="U328" s="222"/>
      <c r="V328" s="222"/>
      <c r="W328" s="230"/>
      <c r="X328" s="331">
        <f t="shared" si="17"/>
        <v>0</v>
      </c>
      <c r="Y328" s="222"/>
      <c r="Z328" s="272">
        <f t="shared" si="15"/>
        <v>0</v>
      </c>
      <c r="AA328" s="331"/>
      <c r="AB328" s="331"/>
      <c r="AC328" s="331"/>
      <c r="AD328" s="331"/>
      <c r="AE328" s="331"/>
      <c r="AF328" s="331"/>
      <c r="AG328" s="331"/>
      <c r="AH328" s="241">
        <f t="shared" ca="1" si="16"/>
        <v>46153</v>
      </c>
      <c r="AI328" s="272"/>
      <c r="AJ328" s="222"/>
      <c r="AK328" s="222"/>
    </row>
    <row r="329" spans="1:37" ht="23" hidden="1">
      <c r="A329" s="111">
        <v>827</v>
      </c>
      <c r="B329" s="112" t="s">
        <v>1459</v>
      </c>
      <c r="C329" s="113" t="s">
        <v>1800</v>
      </c>
      <c r="D329" s="147" t="s">
        <v>1801</v>
      </c>
      <c r="E329" s="114" t="s">
        <v>1802</v>
      </c>
      <c r="F329" s="115" t="s">
        <v>1007</v>
      </c>
      <c r="G329" s="115" t="s">
        <v>1542</v>
      </c>
      <c r="H329" s="116">
        <v>13.726751999999999</v>
      </c>
      <c r="I329" s="116">
        <v>100.542501</v>
      </c>
      <c r="J329" s="116" t="s">
        <v>890</v>
      </c>
      <c r="K329" s="117" t="s">
        <v>891</v>
      </c>
      <c r="L329" s="118" t="s">
        <v>891</v>
      </c>
      <c r="M329" s="118">
        <v>96887390</v>
      </c>
      <c r="N329" s="117" t="s">
        <v>892</v>
      </c>
      <c r="O329" s="135" t="s">
        <v>984</v>
      </c>
      <c r="P329" s="118" t="s">
        <v>894</v>
      </c>
      <c r="Q329" s="118">
        <v>80057501</v>
      </c>
      <c r="R329" s="119" t="s">
        <v>895</v>
      </c>
      <c r="S329" s="119" t="s">
        <v>895</v>
      </c>
      <c r="T329" s="222"/>
      <c r="U329" s="222"/>
      <c r="V329" s="222"/>
      <c r="W329" s="230"/>
      <c r="X329" s="331">
        <f t="shared" si="17"/>
        <v>0</v>
      </c>
      <c r="Y329" s="222"/>
      <c r="Z329" s="272">
        <f t="shared" si="15"/>
        <v>0</v>
      </c>
      <c r="AA329" s="331"/>
      <c r="AB329" s="331"/>
      <c r="AC329" s="331"/>
      <c r="AD329" s="331"/>
      <c r="AE329" s="331"/>
      <c r="AF329" s="331"/>
      <c r="AG329" s="331"/>
      <c r="AH329" s="241">
        <f t="shared" ca="1" si="16"/>
        <v>46153</v>
      </c>
      <c r="AI329" s="272"/>
      <c r="AJ329" s="222"/>
      <c r="AK329" s="222"/>
    </row>
    <row r="330" spans="1:37" ht="23.25" hidden="1" customHeight="1">
      <c r="A330" s="111">
        <v>832</v>
      </c>
      <c r="B330" s="112" t="s">
        <v>979</v>
      </c>
      <c r="C330" s="113" t="s">
        <v>1803</v>
      </c>
      <c r="D330" s="147" t="s">
        <v>1804</v>
      </c>
      <c r="E330" s="114" t="s">
        <v>1805</v>
      </c>
      <c r="F330" s="115" t="s">
        <v>1007</v>
      </c>
      <c r="G330" s="115" t="s">
        <v>984</v>
      </c>
      <c r="H330" s="116">
        <v>13.712661000000001</v>
      </c>
      <c r="I330" s="116">
        <v>100.589563</v>
      </c>
      <c r="J330" s="116" t="s">
        <v>890</v>
      </c>
      <c r="K330" s="117" t="s">
        <v>891</v>
      </c>
      <c r="L330" s="117" t="s">
        <v>891</v>
      </c>
      <c r="M330" s="118">
        <v>96887391</v>
      </c>
      <c r="N330" s="117" t="s">
        <v>892</v>
      </c>
      <c r="O330" s="135" t="s">
        <v>984</v>
      </c>
      <c r="P330" s="118" t="s">
        <v>894</v>
      </c>
      <c r="Q330" s="118">
        <v>80057501</v>
      </c>
      <c r="R330" s="119" t="s">
        <v>895</v>
      </c>
      <c r="S330" s="119" t="s">
        <v>895</v>
      </c>
      <c r="T330" s="222"/>
      <c r="U330" s="222"/>
      <c r="V330" s="222"/>
      <c r="W330" s="230"/>
      <c r="X330" s="331">
        <f t="shared" si="17"/>
        <v>0</v>
      </c>
      <c r="Y330" s="222"/>
      <c r="Z330" s="272">
        <f t="shared" si="15"/>
        <v>0</v>
      </c>
      <c r="AA330" s="331"/>
      <c r="AB330" s="331"/>
      <c r="AC330" s="331"/>
      <c r="AD330" s="331"/>
      <c r="AE330" s="331"/>
      <c r="AF330" s="331"/>
      <c r="AG330" s="331"/>
      <c r="AH330" s="241">
        <f t="shared" ca="1" si="16"/>
        <v>46153</v>
      </c>
      <c r="AI330" s="272"/>
      <c r="AJ330" s="222"/>
      <c r="AK330" s="222"/>
    </row>
    <row r="331" spans="1:37" s="345" customFormat="1" ht="23" hidden="1">
      <c r="A331" s="111">
        <v>833</v>
      </c>
      <c r="B331" s="112">
        <v>15</v>
      </c>
      <c r="C331" s="113" t="s">
        <v>1806</v>
      </c>
      <c r="D331" s="147" t="s">
        <v>1807</v>
      </c>
      <c r="E331" s="114" t="s">
        <v>1808</v>
      </c>
      <c r="F331" s="115" t="s">
        <v>1007</v>
      </c>
      <c r="G331" s="115" t="s">
        <v>984</v>
      </c>
      <c r="H331" s="116">
        <v>13.714764000000001</v>
      </c>
      <c r="I331" s="116">
        <v>100.57724899999999</v>
      </c>
      <c r="J331" s="121" t="s">
        <v>890</v>
      </c>
      <c r="K331" s="117" t="s">
        <v>891</v>
      </c>
      <c r="L331" s="117" t="s">
        <v>891</v>
      </c>
      <c r="M331" s="124">
        <v>96887392</v>
      </c>
      <c r="N331" s="121" t="s">
        <v>892</v>
      </c>
      <c r="O331" s="135" t="s">
        <v>984</v>
      </c>
      <c r="P331" s="121" t="s">
        <v>972</v>
      </c>
      <c r="Q331" s="118">
        <v>80057501</v>
      </c>
      <c r="R331" s="119" t="s">
        <v>895</v>
      </c>
      <c r="S331" s="119" t="s">
        <v>895</v>
      </c>
      <c r="T331" s="222"/>
      <c r="U331" s="222"/>
      <c r="V331" s="222"/>
      <c r="W331" s="230"/>
      <c r="X331" s="331">
        <f t="shared" si="17"/>
        <v>0</v>
      </c>
      <c r="Y331" s="222"/>
      <c r="Z331" s="272">
        <f t="shared" si="15"/>
        <v>0</v>
      </c>
      <c r="AA331" s="331"/>
      <c r="AB331" s="331"/>
      <c r="AC331" s="331"/>
      <c r="AD331" s="331"/>
      <c r="AE331" s="331"/>
      <c r="AF331" s="331"/>
      <c r="AG331" s="331"/>
      <c r="AH331" s="241">
        <f t="shared" ca="1" si="16"/>
        <v>46153</v>
      </c>
      <c r="AI331" s="272"/>
      <c r="AJ331" s="222"/>
      <c r="AK331" s="222"/>
    </row>
    <row r="332" spans="1:37" ht="23" hidden="1">
      <c r="A332" s="111">
        <v>834</v>
      </c>
      <c r="B332" s="112">
        <v>11</v>
      </c>
      <c r="C332" s="113" t="s">
        <v>1809</v>
      </c>
      <c r="D332" s="147" t="s">
        <v>1810</v>
      </c>
      <c r="E332" s="114" t="s">
        <v>1811</v>
      </c>
      <c r="F332" s="115" t="s">
        <v>1007</v>
      </c>
      <c r="G332" s="115" t="s">
        <v>984</v>
      </c>
      <c r="H332" s="116">
        <v>13.716875999999999</v>
      </c>
      <c r="I332" s="116">
        <v>100.57225</v>
      </c>
      <c r="J332" s="116" t="s">
        <v>890</v>
      </c>
      <c r="K332" s="117" t="s">
        <v>891</v>
      </c>
      <c r="L332" s="117" t="s">
        <v>891</v>
      </c>
      <c r="M332" s="117">
        <v>96887393</v>
      </c>
      <c r="N332" s="117" t="s">
        <v>892</v>
      </c>
      <c r="O332" s="135" t="s">
        <v>984</v>
      </c>
      <c r="P332" s="117" t="s">
        <v>894</v>
      </c>
      <c r="Q332" s="118">
        <v>80057501</v>
      </c>
      <c r="R332" s="119" t="s">
        <v>895</v>
      </c>
      <c r="S332" s="119" t="s">
        <v>895</v>
      </c>
      <c r="T332" s="222"/>
      <c r="U332" s="222"/>
      <c r="V332" s="222"/>
      <c r="W332" s="230"/>
      <c r="X332" s="331">
        <f t="shared" si="17"/>
        <v>0</v>
      </c>
      <c r="Y332" s="222"/>
      <c r="Z332" s="272">
        <f t="shared" si="15"/>
        <v>0</v>
      </c>
      <c r="AA332" s="331"/>
      <c r="AB332" s="331"/>
      <c r="AC332" s="331"/>
      <c r="AD332" s="331"/>
      <c r="AE332" s="331"/>
      <c r="AF332" s="331"/>
      <c r="AG332" s="331"/>
      <c r="AH332" s="241">
        <f t="shared" ca="1" si="16"/>
        <v>46153</v>
      </c>
      <c r="AI332" s="272"/>
      <c r="AJ332" s="222"/>
      <c r="AK332" s="222"/>
    </row>
    <row r="333" spans="1:37" ht="23.25" hidden="1" customHeight="1">
      <c r="A333" s="111">
        <v>860</v>
      </c>
      <c r="B333" s="112" t="s">
        <v>1013</v>
      </c>
      <c r="C333" s="122" t="s">
        <v>1832</v>
      </c>
      <c r="D333" s="147" t="s">
        <v>1833</v>
      </c>
      <c r="E333" s="123" t="s">
        <v>1834</v>
      </c>
      <c r="F333" s="116" t="s">
        <v>1007</v>
      </c>
      <c r="G333" s="116" t="s">
        <v>1451</v>
      </c>
      <c r="H333" s="116">
        <v>13.725542000000001</v>
      </c>
      <c r="I333" s="116">
        <v>100.545648</v>
      </c>
      <c r="J333" s="116" t="s">
        <v>969</v>
      </c>
      <c r="K333" s="116" t="s">
        <v>970</v>
      </c>
      <c r="L333" s="117" t="s">
        <v>1835</v>
      </c>
      <c r="M333" s="118">
        <v>96893566</v>
      </c>
      <c r="N333" s="121" t="s">
        <v>892</v>
      </c>
      <c r="O333" s="135" t="s">
        <v>984</v>
      </c>
      <c r="P333" s="125" t="s">
        <v>894</v>
      </c>
      <c r="Q333" s="125" t="s">
        <v>972</v>
      </c>
      <c r="R333" s="125" t="s">
        <v>972</v>
      </c>
      <c r="S333" s="125" t="s">
        <v>972</v>
      </c>
      <c r="T333" s="222"/>
      <c r="U333" s="222"/>
      <c r="V333" s="222"/>
      <c r="W333" s="230"/>
      <c r="X333" s="331">
        <f t="shared" si="17"/>
        <v>0</v>
      </c>
      <c r="Y333" s="222"/>
      <c r="Z333" s="272">
        <f t="shared" si="15"/>
        <v>0</v>
      </c>
      <c r="AA333" s="331"/>
      <c r="AB333" s="331"/>
      <c r="AC333" s="331"/>
      <c r="AD333" s="331"/>
      <c r="AE333" s="331"/>
      <c r="AF333" s="331"/>
      <c r="AG333" s="331"/>
      <c r="AH333" s="241">
        <f t="shared" ca="1" si="16"/>
        <v>46153</v>
      </c>
      <c r="AI333" s="272"/>
      <c r="AJ333" s="222"/>
      <c r="AK333" s="222"/>
    </row>
    <row r="334" spans="1:37" ht="23" hidden="1">
      <c r="A334" s="111">
        <v>882</v>
      </c>
      <c r="B334" s="112" t="s">
        <v>1553</v>
      </c>
      <c r="C334" s="113" t="s">
        <v>1845</v>
      </c>
      <c r="D334" s="147" t="s">
        <v>1846</v>
      </c>
      <c r="E334" s="114" t="s">
        <v>1847</v>
      </c>
      <c r="F334" s="115" t="s">
        <v>1007</v>
      </c>
      <c r="G334" s="115" t="s">
        <v>1542</v>
      </c>
      <c r="H334" s="116">
        <v>13.7336466</v>
      </c>
      <c r="I334" s="116">
        <v>100.5263666</v>
      </c>
      <c r="J334" s="116" t="s">
        <v>890</v>
      </c>
      <c r="K334" s="117" t="s">
        <v>891</v>
      </c>
      <c r="L334" s="117" t="s">
        <v>891</v>
      </c>
      <c r="M334" s="118">
        <v>96887653</v>
      </c>
      <c r="N334" s="117" t="s">
        <v>892</v>
      </c>
      <c r="O334" s="135" t="s">
        <v>984</v>
      </c>
      <c r="P334" s="117" t="s">
        <v>894</v>
      </c>
      <c r="Q334" s="118">
        <v>80057501</v>
      </c>
      <c r="R334" s="119" t="s">
        <v>895</v>
      </c>
      <c r="S334" s="119" t="s">
        <v>895</v>
      </c>
      <c r="T334" s="222"/>
      <c r="U334" s="222"/>
      <c r="V334" s="222"/>
      <c r="W334" s="230"/>
      <c r="X334" s="331">
        <f t="shared" si="17"/>
        <v>0</v>
      </c>
      <c r="Y334" s="222"/>
      <c r="Z334" s="272">
        <f t="shared" si="15"/>
        <v>0</v>
      </c>
      <c r="AA334" s="331"/>
      <c r="AB334" s="331"/>
      <c r="AC334" s="331"/>
      <c r="AD334" s="331"/>
      <c r="AE334" s="331"/>
      <c r="AF334" s="331"/>
      <c r="AG334" s="331"/>
      <c r="AH334" s="241">
        <f t="shared" ca="1" si="16"/>
        <v>46153</v>
      </c>
      <c r="AI334" s="272"/>
      <c r="AJ334" s="222"/>
      <c r="AK334" s="222"/>
    </row>
    <row r="335" spans="1:37" ht="23" hidden="1">
      <c r="A335" s="111">
        <v>885</v>
      </c>
      <c r="B335" s="112">
        <v>7</v>
      </c>
      <c r="C335" s="113" t="s">
        <v>1848</v>
      </c>
      <c r="D335" s="147" t="s">
        <v>1849</v>
      </c>
      <c r="E335" s="114" t="s">
        <v>1850</v>
      </c>
      <c r="F335" s="115" t="s">
        <v>1007</v>
      </c>
      <c r="G335" s="115" t="s">
        <v>1451</v>
      </c>
      <c r="H335" s="116">
        <v>13.725562999999999</v>
      </c>
      <c r="I335" s="116">
        <v>100.54587100000001</v>
      </c>
      <c r="J335" s="116" t="s">
        <v>890</v>
      </c>
      <c r="K335" s="117" t="s">
        <v>891</v>
      </c>
      <c r="L335" s="117" t="s">
        <v>891</v>
      </c>
      <c r="M335" s="118">
        <v>96893566</v>
      </c>
      <c r="N335" s="117" t="s">
        <v>892</v>
      </c>
      <c r="O335" s="135" t="s">
        <v>984</v>
      </c>
      <c r="P335" s="117" t="s">
        <v>894</v>
      </c>
      <c r="Q335" s="118">
        <v>80057501</v>
      </c>
      <c r="R335" s="119" t="s">
        <v>895</v>
      </c>
      <c r="S335" s="119" t="s">
        <v>895</v>
      </c>
      <c r="T335" s="222"/>
      <c r="U335" s="222"/>
      <c r="V335" s="222"/>
      <c r="W335" s="230"/>
      <c r="X335" s="331">
        <f t="shared" si="17"/>
        <v>0</v>
      </c>
      <c r="Y335" s="222"/>
      <c r="Z335" s="272">
        <f t="shared" si="15"/>
        <v>0</v>
      </c>
      <c r="AA335" s="331"/>
      <c r="AB335" s="331"/>
      <c r="AC335" s="331"/>
      <c r="AD335" s="331"/>
      <c r="AE335" s="331"/>
      <c r="AF335" s="331"/>
      <c r="AG335" s="331"/>
      <c r="AH335" s="241">
        <f t="shared" ca="1" si="16"/>
        <v>46153</v>
      </c>
      <c r="AI335" s="272"/>
      <c r="AJ335" s="222"/>
      <c r="AK335" s="222"/>
    </row>
    <row r="336" spans="1:37" ht="23" hidden="1">
      <c r="A336" s="111">
        <v>986</v>
      </c>
      <c r="B336" s="112">
        <v>5</v>
      </c>
      <c r="C336" s="113" t="s">
        <v>1917</v>
      </c>
      <c r="D336" s="147" t="s">
        <v>1918</v>
      </c>
      <c r="E336" s="114" t="s">
        <v>1919</v>
      </c>
      <c r="F336" s="115" t="s">
        <v>1007</v>
      </c>
      <c r="G336" s="115" t="s">
        <v>984</v>
      </c>
      <c r="H336" s="115">
        <v>13.7188576</v>
      </c>
      <c r="I336" s="115">
        <v>100.56298169999999</v>
      </c>
      <c r="J336" s="116" t="s">
        <v>890</v>
      </c>
      <c r="K336" s="117" t="s">
        <v>891</v>
      </c>
      <c r="L336" s="117" t="s">
        <v>891</v>
      </c>
      <c r="M336" s="117">
        <v>96887395</v>
      </c>
      <c r="N336" s="117" t="s">
        <v>892</v>
      </c>
      <c r="O336" s="135" t="s">
        <v>984</v>
      </c>
      <c r="P336" s="117" t="s">
        <v>894</v>
      </c>
      <c r="Q336" s="118">
        <v>80057501</v>
      </c>
      <c r="R336" s="119" t="s">
        <v>895</v>
      </c>
      <c r="S336" s="119" t="s">
        <v>895</v>
      </c>
      <c r="T336" s="222"/>
      <c r="U336" s="222"/>
      <c r="V336" s="222"/>
      <c r="W336" s="230"/>
      <c r="X336" s="331">
        <f t="shared" si="17"/>
        <v>0</v>
      </c>
      <c r="Y336" s="222"/>
      <c r="Z336" s="272">
        <f t="shared" si="15"/>
        <v>0</v>
      </c>
      <c r="AA336" s="331"/>
      <c r="AB336" s="331"/>
      <c r="AC336" s="331"/>
      <c r="AD336" s="331"/>
      <c r="AE336" s="331"/>
      <c r="AF336" s="331"/>
      <c r="AG336" s="331"/>
      <c r="AH336" s="241">
        <f t="shared" ca="1" si="16"/>
        <v>46153</v>
      </c>
      <c r="AI336" s="272"/>
      <c r="AJ336" s="222"/>
      <c r="AK336" s="222"/>
    </row>
    <row r="337" spans="1:37" ht="23" hidden="1">
      <c r="A337" s="111">
        <v>1092</v>
      </c>
      <c r="B337" s="112" t="s">
        <v>1013</v>
      </c>
      <c r="C337" s="122" t="s">
        <v>2035</v>
      </c>
      <c r="D337" s="147" t="s">
        <v>2036</v>
      </c>
      <c r="E337" s="123" t="s">
        <v>2037</v>
      </c>
      <c r="F337" s="116" t="s">
        <v>1007</v>
      </c>
      <c r="G337" s="116" t="s">
        <v>990</v>
      </c>
      <c r="H337" s="116">
        <v>13.728941000000001</v>
      </c>
      <c r="I337" s="116">
        <v>100.538461</v>
      </c>
      <c r="J337" s="116" t="s">
        <v>890</v>
      </c>
      <c r="K337" s="117" t="s">
        <v>891</v>
      </c>
      <c r="L337" s="117" t="s">
        <v>891</v>
      </c>
      <c r="M337" s="117">
        <v>96887693</v>
      </c>
      <c r="N337" s="117" t="s">
        <v>892</v>
      </c>
      <c r="O337" s="135" t="s">
        <v>984</v>
      </c>
      <c r="P337" s="117" t="s">
        <v>894</v>
      </c>
      <c r="Q337" s="118">
        <v>80057501</v>
      </c>
      <c r="R337" s="119" t="s">
        <v>895</v>
      </c>
      <c r="S337" s="119" t="s">
        <v>895</v>
      </c>
      <c r="T337" s="222"/>
      <c r="U337" s="222"/>
      <c r="V337" s="222"/>
      <c r="W337" s="230"/>
      <c r="X337" s="331">
        <f t="shared" si="17"/>
        <v>0</v>
      </c>
      <c r="Y337" s="222"/>
      <c r="Z337" s="272">
        <f t="shared" si="15"/>
        <v>0</v>
      </c>
      <c r="AA337" s="331"/>
      <c r="AB337" s="331"/>
      <c r="AC337" s="331"/>
      <c r="AD337" s="331"/>
      <c r="AE337" s="331"/>
      <c r="AF337" s="331"/>
      <c r="AG337" s="331"/>
      <c r="AH337" s="241">
        <f t="shared" ca="1" si="16"/>
        <v>46153</v>
      </c>
      <c r="AI337" s="272"/>
      <c r="AJ337" s="222"/>
      <c r="AK337" s="222"/>
    </row>
    <row r="338" spans="1:37" ht="23" hidden="1">
      <c r="A338" s="111">
        <v>86</v>
      </c>
      <c r="B338" s="112">
        <v>8</v>
      </c>
      <c r="C338" s="113" t="s">
        <v>2323</v>
      </c>
      <c r="D338" s="147" t="s">
        <v>2324</v>
      </c>
      <c r="E338" s="114" t="s">
        <v>2325</v>
      </c>
      <c r="F338" s="115" t="s">
        <v>1007</v>
      </c>
      <c r="G338" s="115" t="s">
        <v>984</v>
      </c>
      <c r="H338" s="116">
        <v>13.712853000000001</v>
      </c>
      <c r="I338" s="116">
        <v>100.584447</v>
      </c>
      <c r="J338" s="116" t="s">
        <v>2097</v>
      </c>
      <c r="K338" s="116" t="s">
        <v>2097</v>
      </c>
      <c r="L338" s="117" t="s">
        <v>2326</v>
      </c>
      <c r="M338" s="121" t="s">
        <v>972</v>
      </c>
      <c r="N338" s="121" t="s">
        <v>892</v>
      </c>
      <c r="O338" s="135" t="s">
        <v>984</v>
      </c>
      <c r="P338" s="117" t="s">
        <v>894</v>
      </c>
      <c r="Q338" s="125" t="s">
        <v>972</v>
      </c>
      <c r="R338" s="125" t="s">
        <v>972</v>
      </c>
      <c r="S338" s="125" t="s">
        <v>972</v>
      </c>
      <c r="T338" s="222"/>
      <c r="U338" s="222"/>
      <c r="V338" s="222"/>
      <c r="W338" s="230"/>
      <c r="X338" s="331">
        <f t="shared" si="17"/>
        <v>0</v>
      </c>
      <c r="Y338" s="222"/>
      <c r="Z338" s="272">
        <f t="shared" si="15"/>
        <v>0</v>
      </c>
      <c r="AA338" s="331"/>
      <c r="AB338" s="331"/>
      <c r="AC338" s="331"/>
      <c r="AD338" s="331"/>
      <c r="AE338" s="331"/>
      <c r="AF338" s="331"/>
      <c r="AG338" s="331"/>
      <c r="AH338" s="241">
        <f t="shared" ca="1" si="16"/>
        <v>46153</v>
      </c>
      <c r="AI338" s="272"/>
      <c r="AJ338" s="222"/>
      <c r="AK338" s="222"/>
    </row>
    <row r="339" spans="1:37" ht="23.25" hidden="1" customHeight="1">
      <c r="A339" s="111">
        <v>113</v>
      </c>
      <c r="B339" s="112">
        <v>3</v>
      </c>
      <c r="C339" s="122" t="s">
        <v>2384</v>
      </c>
      <c r="D339" s="147" t="s">
        <v>2385</v>
      </c>
      <c r="E339" s="123" t="s">
        <v>2386</v>
      </c>
      <c r="F339" s="115" t="s">
        <v>1007</v>
      </c>
      <c r="G339" s="115" t="s">
        <v>984</v>
      </c>
      <c r="H339" s="116">
        <v>13.717449999999999</v>
      </c>
      <c r="I339" s="116">
        <v>100.570357</v>
      </c>
      <c r="J339" s="116" t="s">
        <v>2097</v>
      </c>
      <c r="K339" s="116" t="s">
        <v>2097</v>
      </c>
      <c r="L339" s="117" t="s">
        <v>2098</v>
      </c>
      <c r="M339" s="121" t="s">
        <v>972</v>
      </c>
      <c r="N339" s="121" t="s">
        <v>892</v>
      </c>
      <c r="O339" s="135" t="s">
        <v>984</v>
      </c>
      <c r="P339" s="117" t="s">
        <v>894</v>
      </c>
      <c r="Q339" s="125" t="s">
        <v>972</v>
      </c>
      <c r="R339" s="125" t="s">
        <v>972</v>
      </c>
      <c r="S339" s="125" t="s">
        <v>972</v>
      </c>
      <c r="T339" s="222"/>
      <c r="U339" s="222"/>
      <c r="V339" s="222"/>
      <c r="W339" s="230"/>
      <c r="X339" s="331">
        <f t="shared" si="17"/>
        <v>0</v>
      </c>
      <c r="Y339" s="222"/>
      <c r="Z339" s="272">
        <f t="shared" si="15"/>
        <v>0</v>
      </c>
      <c r="AA339" s="331"/>
      <c r="AB339" s="331"/>
      <c r="AC339" s="331"/>
      <c r="AD339" s="331"/>
      <c r="AE339" s="331"/>
      <c r="AF339" s="331"/>
      <c r="AG339" s="331"/>
      <c r="AH339" s="241">
        <f t="shared" ca="1" si="16"/>
        <v>46153</v>
      </c>
      <c r="AI339" s="272"/>
      <c r="AJ339" s="222"/>
      <c r="AK339" s="222"/>
    </row>
    <row r="340" spans="1:37" ht="23.25" hidden="1" customHeight="1">
      <c r="A340" s="111">
        <v>157</v>
      </c>
      <c r="B340" s="112">
        <v>7</v>
      </c>
      <c r="C340" s="113" t="s">
        <v>2517</v>
      </c>
      <c r="D340" s="147" t="s">
        <v>2518</v>
      </c>
      <c r="E340" s="114" t="s">
        <v>2519</v>
      </c>
      <c r="F340" s="115" t="s">
        <v>1007</v>
      </c>
      <c r="G340" s="115" t="s">
        <v>1542</v>
      </c>
      <c r="H340" s="116">
        <v>13.731982</v>
      </c>
      <c r="I340" s="116">
        <v>100.530417</v>
      </c>
      <c r="J340" s="116" t="s">
        <v>969</v>
      </c>
      <c r="K340" s="115" t="s">
        <v>1048</v>
      </c>
      <c r="L340" s="117" t="s">
        <v>2520</v>
      </c>
      <c r="M340" s="117">
        <v>96937721</v>
      </c>
      <c r="N340" s="121" t="s">
        <v>892</v>
      </c>
      <c r="O340" s="135" t="s">
        <v>984</v>
      </c>
      <c r="P340" s="117" t="s">
        <v>894</v>
      </c>
      <c r="Q340" s="125" t="s">
        <v>972</v>
      </c>
      <c r="R340" s="125" t="s">
        <v>972</v>
      </c>
      <c r="S340" s="125" t="s">
        <v>972</v>
      </c>
      <c r="T340" s="222"/>
      <c r="U340" s="222"/>
      <c r="V340" s="222"/>
      <c r="W340" s="230"/>
      <c r="X340" s="331">
        <f t="shared" si="17"/>
        <v>0</v>
      </c>
      <c r="Y340" s="222"/>
      <c r="Z340" s="272">
        <f t="shared" si="15"/>
        <v>0</v>
      </c>
      <c r="AA340" s="331"/>
      <c r="AB340" s="331"/>
      <c r="AC340" s="331"/>
      <c r="AD340" s="331"/>
      <c r="AE340" s="331"/>
      <c r="AF340" s="331"/>
      <c r="AG340" s="331"/>
      <c r="AH340" s="241">
        <f t="shared" ca="1" si="16"/>
        <v>46153</v>
      </c>
      <c r="AI340" s="272"/>
      <c r="AJ340" s="222"/>
      <c r="AK340" s="222"/>
    </row>
    <row r="341" spans="1:37" ht="23.25" hidden="1" customHeight="1">
      <c r="A341" s="111">
        <v>193</v>
      </c>
      <c r="B341" s="112">
        <v>15</v>
      </c>
      <c r="C341" s="113" t="s">
        <v>2607</v>
      </c>
      <c r="D341" s="147" t="s">
        <v>2608</v>
      </c>
      <c r="E341" s="114" t="s">
        <v>2609</v>
      </c>
      <c r="F341" s="115" t="s">
        <v>1007</v>
      </c>
      <c r="G341" s="115" t="s">
        <v>1451</v>
      </c>
      <c r="H341" s="117">
        <v>13.7240035</v>
      </c>
      <c r="I341" s="117">
        <v>100.5496572</v>
      </c>
      <c r="J341" s="116" t="s">
        <v>969</v>
      </c>
      <c r="K341" s="115" t="s">
        <v>1048</v>
      </c>
      <c r="L341" s="117" t="s">
        <v>2610</v>
      </c>
      <c r="M341" s="121">
        <v>96937749</v>
      </c>
      <c r="N341" s="121" t="s">
        <v>892</v>
      </c>
      <c r="O341" s="121" t="s">
        <v>984</v>
      </c>
      <c r="P341" s="117" t="s">
        <v>894</v>
      </c>
      <c r="Q341" s="125" t="s">
        <v>972</v>
      </c>
      <c r="R341" s="125" t="s">
        <v>972</v>
      </c>
      <c r="S341" s="125" t="s">
        <v>972</v>
      </c>
      <c r="T341" s="222"/>
      <c r="U341" s="222"/>
      <c r="V341" s="222"/>
      <c r="W341" s="230"/>
      <c r="X341" s="331">
        <f t="shared" si="17"/>
        <v>0</v>
      </c>
      <c r="Y341" s="222"/>
      <c r="Z341" s="272">
        <f t="shared" si="15"/>
        <v>0</v>
      </c>
      <c r="AA341" s="331"/>
      <c r="AB341" s="331"/>
      <c r="AC341" s="331"/>
      <c r="AD341" s="331"/>
      <c r="AE341" s="331"/>
      <c r="AF341" s="331"/>
      <c r="AG341" s="331"/>
      <c r="AH341" s="241">
        <f t="shared" ca="1" si="16"/>
        <v>46153</v>
      </c>
      <c r="AI341" s="272"/>
      <c r="AJ341" s="222"/>
      <c r="AK341" s="222"/>
    </row>
    <row r="342" spans="1:37" ht="23" hidden="1">
      <c r="A342" s="111">
        <v>200</v>
      </c>
      <c r="B342" s="112">
        <v>16</v>
      </c>
      <c r="C342" s="122" t="s">
        <v>2631</v>
      </c>
      <c r="D342" s="147" t="s">
        <v>2632</v>
      </c>
      <c r="E342" s="123" t="s">
        <v>2633</v>
      </c>
      <c r="F342" s="116" t="s">
        <v>1007</v>
      </c>
      <c r="G342" s="116" t="s">
        <v>1451</v>
      </c>
      <c r="H342" s="116">
        <v>13.7237262</v>
      </c>
      <c r="I342" s="116">
        <v>100.55022510000001</v>
      </c>
      <c r="J342" s="116" t="s">
        <v>969</v>
      </c>
      <c r="K342" s="116" t="s">
        <v>970</v>
      </c>
      <c r="L342" s="117" t="s">
        <v>2634</v>
      </c>
      <c r="M342" s="121">
        <v>96937749</v>
      </c>
      <c r="N342" s="121" t="s">
        <v>892</v>
      </c>
      <c r="O342" s="121" t="s">
        <v>984</v>
      </c>
      <c r="P342" s="117" t="s">
        <v>894</v>
      </c>
      <c r="Q342" s="125" t="s">
        <v>972</v>
      </c>
      <c r="R342" s="125" t="s">
        <v>972</v>
      </c>
      <c r="S342" s="125" t="s">
        <v>972</v>
      </c>
      <c r="T342" s="222"/>
      <c r="U342" s="222"/>
      <c r="V342" s="222"/>
      <c r="W342" s="230"/>
      <c r="X342" s="331">
        <f t="shared" si="17"/>
        <v>0</v>
      </c>
      <c r="Y342" s="222"/>
      <c r="Z342" s="272">
        <f t="shared" si="15"/>
        <v>0</v>
      </c>
      <c r="AA342" s="331"/>
      <c r="AB342" s="331"/>
      <c r="AC342" s="331"/>
      <c r="AD342" s="331"/>
      <c r="AE342" s="331"/>
      <c r="AF342" s="331"/>
      <c r="AG342" s="331"/>
      <c r="AH342" s="241">
        <f t="shared" ca="1" si="16"/>
        <v>46153</v>
      </c>
      <c r="AI342" s="272"/>
      <c r="AJ342" s="222"/>
      <c r="AK342" s="222"/>
    </row>
    <row r="343" spans="1:37" ht="23" hidden="1">
      <c r="A343" s="111">
        <v>226</v>
      </c>
      <c r="B343" s="112">
        <v>14</v>
      </c>
      <c r="C343" s="113" t="s">
        <v>2696</v>
      </c>
      <c r="D343" s="147" t="s">
        <v>2697</v>
      </c>
      <c r="E343" s="114" t="s">
        <v>2698</v>
      </c>
      <c r="F343" s="115" t="s">
        <v>1007</v>
      </c>
      <c r="G343" s="115" t="s">
        <v>984</v>
      </c>
      <c r="H343" s="116">
        <v>13.717750000000001</v>
      </c>
      <c r="I343" s="116">
        <v>100.569914</v>
      </c>
      <c r="J343" s="116" t="s">
        <v>969</v>
      </c>
      <c r="K343" s="116" t="s">
        <v>970</v>
      </c>
      <c r="L343" s="117" t="s">
        <v>2699</v>
      </c>
      <c r="M343" s="116" t="s">
        <v>1347</v>
      </c>
      <c r="N343" s="121" t="s">
        <v>892</v>
      </c>
      <c r="O343" s="121" t="s">
        <v>984</v>
      </c>
      <c r="P343" s="117" t="s">
        <v>894</v>
      </c>
      <c r="Q343" s="125" t="s">
        <v>972</v>
      </c>
      <c r="R343" s="125" t="s">
        <v>972</v>
      </c>
      <c r="S343" s="130" t="s">
        <v>972</v>
      </c>
      <c r="T343" s="222"/>
      <c r="U343" s="222"/>
      <c r="V343" s="222"/>
      <c r="W343" s="230"/>
      <c r="X343" s="331">
        <f t="shared" si="17"/>
        <v>0</v>
      </c>
      <c r="Y343" s="222"/>
      <c r="Z343" s="272">
        <f t="shared" si="15"/>
        <v>0</v>
      </c>
      <c r="AA343" s="331"/>
      <c r="AB343" s="331"/>
      <c r="AC343" s="331"/>
      <c r="AD343" s="331"/>
      <c r="AE343" s="331"/>
      <c r="AF343" s="331"/>
      <c r="AG343" s="331"/>
      <c r="AH343" s="241">
        <f t="shared" ca="1" si="16"/>
        <v>46153</v>
      </c>
      <c r="AI343" s="272"/>
      <c r="AJ343" s="222"/>
      <c r="AK343" s="222"/>
    </row>
    <row r="344" spans="1:37" ht="23.25" hidden="1" customHeight="1">
      <c r="A344" s="111">
        <v>228</v>
      </c>
      <c r="B344" s="112">
        <v>7</v>
      </c>
      <c r="C344" s="113" t="s">
        <v>2704</v>
      </c>
      <c r="D344" s="147" t="s">
        <v>2705</v>
      </c>
      <c r="E344" s="114" t="s">
        <v>2706</v>
      </c>
      <c r="F344" s="115" t="s">
        <v>1007</v>
      </c>
      <c r="G344" s="115" t="s">
        <v>984</v>
      </c>
      <c r="H344" s="116">
        <v>13.722289999999999</v>
      </c>
      <c r="I344" s="116">
        <v>100.553675</v>
      </c>
      <c r="J344" s="116" t="s">
        <v>2097</v>
      </c>
      <c r="K344" s="116" t="s">
        <v>2097</v>
      </c>
      <c r="L344" s="117" t="s">
        <v>2707</v>
      </c>
      <c r="M344" s="121" t="s">
        <v>972</v>
      </c>
      <c r="N344" s="121" t="s">
        <v>892</v>
      </c>
      <c r="O344" s="121" t="s">
        <v>984</v>
      </c>
      <c r="P344" s="117" t="s">
        <v>894</v>
      </c>
      <c r="Q344" s="125" t="s">
        <v>972</v>
      </c>
      <c r="R344" s="125" t="s">
        <v>972</v>
      </c>
      <c r="S344" s="125" t="s">
        <v>972</v>
      </c>
      <c r="T344" s="222"/>
      <c r="U344" s="222"/>
      <c r="V344" s="222"/>
      <c r="W344" s="230"/>
      <c r="X344" s="331">
        <f t="shared" si="17"/>
        <v>0</v>
      </c>
      <c r="Y344" s="222"/>
      <c r="Z344" s="272">
        <f t="shared" si="15"/>
        <v>0</v>
      </c>
      <c r="AA344" s="331"/>
      <c r="AB344" s="331"/>
      <c r="AC344" s="331"/>
      <c r="AD344" s="331"/>
      <c r="AE344" s="331"/>
      <c r="AF344" s="331"/>
      <c r="AG344" s="331"/>
      <c r="AH344" s="241">
        <f t="shared" ca="1" si="16"/>
        <v>46153</v>
      </c>
      <c r="AI344" s="272"/>
      <c r="AJ344" s="222"/>
      <c r="AK344" s="222"/>
    </row>
    <row r="345" spans="1:37" ht="23.25" hidden="1" customHeight="1">
      <c r="A345" s="111">
        <v>229</v>
      </c>
      <c r="B345" s="112">
        <v>16</v>
      </c>
      <c r="C345" s="122" t="s">
        <v>2708</v>
      </c>
      <c r="D345" s="147" t="s">
        <v>2709</v>
      </c>
      <c r="E345" s="123" t="s">
        <v>2710</v>
      </c>
      <c r="F345" s="116" t="s">
        <v>1007</v>
      </c>
      <c r="G345" s="116" t="s">
        <v>990</v>
      </c>
      <c r="H345" s="117">
        <v>13.7269246</v>
      </c>
      <c r="I345" s="117">
        <v>100.54326349999999</v>
      </c>
      <c r="J345" s="116" t="s">
        <v>969</v>
      </c>
      <c r="K345" s="117" t="s">
        <v>2711</v>
      </c>
      <c r="L345" s="117" t="s">
        <v>2711</v>
      </c>
      <c r="M345" s="121" t="s">
        <v>972</v>
      </c>
      <c r="N345" s="121" t="s">
        <v>892</v>
      </c>
      <c r="O345" s="121" t="s">
        <v>984</v>
      </c>
      <c r="P345" s="117" t="s">
        <v>894</v>
      </c>
      <c r="Q345" s="125" t="s">
        <v>972</v>
      </c>
      <c r="R345" s="125" t="s">
        <v>972</v>
      </c>
      <c r="S345" s="125" t="s">
        <v>972</v>
      </c>
      <c r="T345" s="222"/>
      <c r="U345" s="222"/>
      <c r="V345" s="222"/>
      <c r="W345" s="230"/>
      <c r="X345" s="331">
        <f t="shared" si="17"/>
        <v>0</v>
      </c>
      <c r="Y345" s="222"/>
      <c r="Z345" s="272">
        <f t="shared" si="15"/>
        <v>0</v>
      </c>
      <c r="AA345" s="331"/>
      <c r="AB345" s="331"/>
      <c r="AC345" s="331"/>
      <c r="AD345" s="331"/>
      <c r="AE345" s="331"/>
      <c r="AF345" s="331"/>
      <c r="AG345" s="331"/>
      <c r="AH345" s="241">
        <f t="shared" ca="1" si="16"/>
        <v>46153</v>
      </c>
      <c r="AI345" s="272"/>
      <c r="AJ345" s="222"/>
      <c r="AK345" s="222"/>
    </row>
    <row r="346" spans="1:37" ht="23.25" hidden="1" customHeight="1">
      <c r="A346" s="111">
        <v>269</v>
      </c>
      <c r="B346" s="112">
        <v>1</v>
      </c>
      <c r="C346" s="113" t="s">
        <v>2818</v>
      </c>
      <c r="D346" s="147" t="s">
        <v>2819</v>
      </c>
      <c r="E346" s="114" t="s">
        <v>2820</v>
      </c>
      <c r="F346" s="115" t="s">
        <v>1007</v>
      </c>
      <c r="G346" s="115" t="s">
        <v>990</v>
      </c>
      <c r="H346" s="116">
        <v>13.732326</v>
      </c>
      <c r="I346" s="116">
        <v>100.529608</v>
      </c>
      <c r="J346" s="116" t="s">
        <v>2097</v>
      </c>
      <c r="K346" s="116" t="s">
        <v>2097</v>
      </c>
      <c r="L346" s="117" t="s">
        <v>2821</v>
      </c>
      <c r="M346" s="121" t="s">
        <v>972</v>
      </c>
      <c r="N346" s="121" t="s">
        <v>892</v>
      </c>
      <c r="O346" s="121" t="s">
        <v>984</v>
      </c>
      <c r="P346" s="117" t="s">
        <v>894</v>
      </c>
      <c r="Q346" s="125" t="s">
        <v>972</v>
      </c>
      <c r="R346" s="125" t="s">
        <v>972</v>
      </c>
      <c r="S346" s="125" t="s">
        <v>972</v>
      </c>
      <c r="T346" s="222"/>
      <c r="U346" s="222"/>
      <c r="V346" s="222"/>
      <c r="W346" s="230"/>
      <c r="X346" s="331">
        <f t="shared" si="17"/>
        <v>0</v>
      </c>
      <c r="Y346" s="222"/>
      <c r="Z346" s="272">
        <f t="shared" si="15"/>
        <v>0</v>
      </c>
      <c r="AA346" s="331"/>
      <c r="AB346" s="331"/>
      <c r="AC346" s="331"/>
      <c r="AD346" s="331"/>
      <c r="AE346" s="331"/>
      <c r="AF346" s="331"/>
      <c r="AG346" s="331"/>
      <c r="AH346" s="241">
        <f t="shared" ca="1" si="16"/>
        <v>46153</v>
      </c>
      <c r="AI346" s="272"/>
      <c r="AJ346" s="222"/>
      <c r="AK346" s="222"/>
    </row>
    <row r="347" spans="1:37" ht="23" hidden="1">
      <c r="A347" s="111">
        <v>585</v>
      </c>
      <c r="B347" s="112">
        <v>6</v>
      </c>
      <c r="C347" s="113" t="s">
        <v>2922</v>
      </c>
      <c r="D347" s="147" t="s">
        <v>2923</v>
      </c>
      <c r="E347" s="114" t="s">
        <v>2924</v>
      </c>
      <c r="F347" s="115" t="s">
        <v>1007</v>
      </c>
      <c r="G347" s="115" t="s">
        <v>990</v>
      </c>
      <c r="H347" s="116">
        <v>13.7345048</v>
      </c>
      <c r="I347" s="116">
        <v>100.52491019999999</v>
      </c>
      <c r="J347" s="116" t="s">
        <v>890</v>
      </c>
      <c r="K347" s="117" t="s">
        <v>891</v>
      </c>
      <c r="L347" s="117" t="s">
        <v>891</v>
      </c>
      <c r="M347" s="118">
        <v>96887384</v>
      </c>
      <c r="N347" s="117" t="s">
        <v>892</v>
      </c>
      <c r="O347" s="121" t="s">
        <v>984</v>
      </c>
      <c r="P347" s="117" t="s">
        <v>894</v>
      </c>
      <c r="Q347" s="118">
        <v>80057501</v>
      </c>
      <c r="R347" s="119" t="s">
        <v>895</v>
      </c>
      <c r="S347" s="119" t="s">
        <v>895</v>
      </c>
      <c r="T347" s="222"/>
      <c r="U347" s="222"/>
      <c r="V347" s="222"/>
      <c r="W347" s="230"/>
      <c r="X347" s="331">
        <f t="shared" si="17"/>
        <v>0</v>
      </c>
      <c r="Y347" s="222"/>
      <c r="Z347" s="272">
        <f t="shared" si="15"/>
        <v>0</v>
      </c>
      <c r="AA347" s="331"/>
      <c r="AB347" s="331"/>
      <c r="AC347" s="331"/>
      <c r="AD347" s="331"/>
      <c r="AE347" s="331"/>
      <c r="AF347" s="331"/>
      <c r="AG347" s="331"/>
      <c r="AH347" s="241">
        <f t="shared" ca="1" si="16"/>
        <v>46153</v>
      </c>
      <c r="AI347" s="272"/>
      <c r="AJ347" s="222"/>
      <c r="AK347" s="222"/>
    </row>
    <row r="348" spans="1:37" ht="23" hidden="1">
      <c r="A348" s="111">
        <v>349</v>
      </c>
      <c r="B348" s="112">
        <v>3</v>
      </c>
      <c r="C348" s="122" t="s">
        <v>2988</v>
      </c>
      <c r="D348" s="147" t="s">
        <v>2989</v>
      </c>
      <c r="E348" s="123" t="s">
        <v>2990</v>
      </c>
      <c r="F348" s="115" t="s">
        <v>1007</v>
      </c>
      <c r="G348" s="115" t="s">
        <v>990</v>
      </c>
      <c r="H348" s="116">
        <v>13.732492000000001</v>
      </c>
      <c r="I348" s="116">
        <v>100.52995</v>
      </c>
      <c r="J348" s="116" t="s">
        <v>969</v>
      </c>
      <c r="K348" s="116" t="s">
        <v>970</v>
      </c>
      <c r="L348" s="117" t="s">
        <v>2991</v>
      </c>
      <c r="M348" s="121">
        <v>96961075</v>
      </c>
      <c r="N348" s="121" t="s">
        <v>892</v>
      </c>
      <c r="O348" s="121" t="s">
        <v>984</v>
      </c>
      <c r="P348" s="117" t="s">
        <v>894</v>
      </c>
      <c r="Q348" s="125" t="s">
        <v>972</v>
      </c>
      <c r="R348" s="125" t="s">
        <v>972</v>
      </c>
      <c r="S348" s="125" t="s">
        <v>972</v>
      </c>
      <c r="T348" s="222"/>
      <c r="U348" s="222"/>
      <c r="V348" s="222"/>
      <c r="W348" s="230"/>
      <c r="X348" s="331">
        <f t="shared" si="17"/>
        <v>0</v>
      </c>
      <c r="Y348" s="222"/>
      <c r="Z348" s="272">
        <f t="shared" si="15"/>
        <v>0</v>
      </c>
      <c r="AA348" s="331"/>
      <c r="AB348" s="331"/>
      <c r="AC348" s="331"/>
      <c r="AD348" s="331"/>
      <c r="AE348" s="331"/>
      <c r="AF348" s="331"/>
      <c r="AG348" s="331"/>
      <c r="AH348" s="241">
        <f t="shared" ca="1" si="16"/>
        <v>46153</v>
      </c>
      <c r="AI348" s="272"/>
      <c r="AJ348" s="222"/>
      <c r="AK348" s="222"/>
    </row>
    <row r="349" spans="1:37" ht="23.25" hidden="1" customHeight="1">
      <c r="A349" s="111">
        <v>408</v>
      </c>
      <c r="B349" s="112" t="s">
        <v>1082</v>
      </c>
      <c r="C349" s="122" t="s">
        <v>3126</v>
      </c>
      <c r="D349" s="147" t="s">
        <v>3127</v>
      </c>
      <c r="E349" s="114" t="s">
        <v>3128</v>
      </c>
      <c r="F349" s="115" t="s">
        <v>1007</v>
      </c>
      <c r="G349" s="115" t="s">
        <v>990</v>
      </c>
      <c r="H349" s="115">
        <v>13.733494</v>
      </c>
      <c r="I349" s="115">
        <v>100.527441</v>
      </c>
      <c r="J349" s="116" t="s">
        <v>2097</v>
      </c>
      <c r="K349" s="116" t="s">
        <v>2097</v>
      </c>
      <c r="L349" s="117" t="s">
        <v>3129</v>
      </c>
      <c r="M349" s="116" t="s">
        <v>1347</v>
      </c>
      <c r="N349" s="121" t="s">
        <v>892</v>
      </c>
      <c r="O349" s="121" t="s">
        <v>984</v>
      </c>
      <c r="P349" s="117" t="s">
        <v>894</v>
      </c>
      <c r="Q349" s="125" t="s">
        <v>972</v>
      </c>
      <c r="R349" s="125" t="s">
        <v>972</v>
      </c>
      <c r="S349" s="125" t="s">
        <v>972</v>
      </c>
      <c r="T349" s="222"/>
      <c r="U349" s="222"/>
      <c r="V349" s="222"/>
      <c r="W349" s="230"/>
      <c r="X349" s="331">
        <f t="shared" si="17"/>
        <v>0</v>
      </c>
      <c r="Y349" s="222"/>
      <c r="Z349" s="272">
        <f t="shared" si="15"/>
        <v>0</v>
      </c>
      <c r="AA349" s="331"/>
      <c r="AB349" s="331"/>
      <c r="AC349" s="331"/>
      <c r="AD349" s="331"/>
      <c r="AE349" s="331"/>
      <c r="AF349" s="331"/>
      <c r="AG349" s="331"/>
      <c r="AH349" s="241">
        <f t="shared" ca="1" si="16"/>
        <v>46153</v>
      </c>
      <c r="AI349" s="272"/>
      <c r="AJ349" s="222"/>
      <c r="AK349" s="222"/>
    </row>
    <row r="350" spans="1:37" ht="23" hidden="1">
      <c r="A350" s="111">
        <v>414</v>
      </c>
      <c r="B350" s="112" t="s">
        <v>1071</v>
      </c>
      <c r="C350" s="122" t="s">
        <v>3137</v>
      </c>
      <c r="D350" s="147" t="s">
        <v>3138</v>
      </c>
      <c r="E350" s="123" t="s">
        <v>3139</v>
      </c>
      <c r="F350" s="116" t="s">
        <v>1007</v>
      </c>
      <c r="G350" s="116" t="s">
        <v>990</v>
      </c>
      <c r="H350" s="117">
        <v>13.729941</v>
      </c>
      <c r="I350" s="117">
        <v>100.5360161</v>
      </c>
      <c r="J350" s="116" t="s">
        <v>2097</v>
      </c>
      <c r="K350" s="121" t="s">
        <v>2097</v>
      </c>
      <c r="L350" s="121" t="s">
        <v>3140</v>
      </c>
      <c r="M350" s="116" t="s">
        <v>1347</v>
      </c>
      <c r="N350" s="121" t="s">
        <v>972</v>
      </c>
      <c r="O350" s="121"/>
      <c r="P350" s="127" t="s">
        <v>1076</v>
      </c>
      <c r="Q350" s="129" t="s">
        <v>972</v>
      </c>
      <c r="R350" s="119" t="s">
        <v>972</v>
      </c>
      <c r="S350" s="119" t="s">
        <v>972</v>
      </c>
      <c r="T350" s="222"/>
      <c r="U350" s="222"/>
      <c r="V350" s="222"/>
      <c r="W350" s="230"/>
      <c r="X350" s="331">
        <f t="shared" si="17"/>
        <v>0</v>
      </c>
      <c r="Y350" s="222"/>
      <c r="Z350" s="272">
        <f t="shared" si="15"/>
        <v>0</v>
      </c>
      <c r="AA350" s="331"/>
      <c r="AB350" s="331"/>
      <c r="AC350" s="331"/>
      <c r="AD350" s="331"/>
      <c r="AE350" s="331"/>
      <c r="AF350" s="331"/>
      <c r="AG350" s="331"/>
      <c r="AH350" s="241">
        <f t="shared" ca="1" si="16"/>
        <v>46153</v>
      </c>
      <c r="AI350" s="272"/>
      <c r="AJ350" s="222"/>
      <c r="AK350" s="222"/>
    </row>
    <row r="351" spans="1:37" ht="23" hidden="1">
      <c r="A351" s="111">
        <v>438</v>
      </c>
      <c r="B351" s="112">
        <v>8</v>
      </c>
      <c r="C351" s="113" t="s">
        <v>3204</v>
      </c>
      <c r="D351" s="147" t="s">
        <v>3205</v>
      </c>
      <c r="E351" s="114" t="s">
        <v>3206</v>
      </c>
      <c r="F351" s="115" t="s">
        <v>1007</v>
      </c>
      <c r="G351" s="115" t="s">
        <v>984</v>
      </c>
      <c r="H351" s="116">
        <v>13.713022</v>
      </c>
      <c r="I351" s="116">
        <v>100.58096399999999</v>
      </c>
      <c r="J351" s="116" t="s">
        <v>2097</v>
      </c>
      <c r="K351" s="116" t="s">
        <v>2097</v>
      </c>
      <c r="L351" s="117" t="s">
        <v>3207</v>
      </c>
      <c r="M351" s="116" t="s">
        <v>1347</v>
      </c>
      <c r="N351" s="121" t="s">
        <v>892</v>
      </c>
      <c r="O351" s="121" t="s">
        <v>984</v>
      </c>
      <c r="P351" s="117" t="s">
        <v>894</v>
      </c>
      <c r="Q351" s="125" t="s">
        <v>972</v>
      </c>
      <c r="R351" s="125" t="s">
        <v>972</v>
      </c>
      <c r="S351" s="125" t="s">
        <v>972</v>
      </c>
      <c r="T351" s="222"/>
      <c r="U351" s="222"/>
      <c r="V351" s="222"/>
      <c r="W351" s="230"/>
      <c r="X351" s="331">
        <f t="shared" si="17"/>
        <v>0</v>
      </c>
      <c r="Y351" s="222"/>
      <c r="Z351" s="272">
        <f t="shared" si="15"/>
        <v>0</v>
      </c>
      <c r="AA351" s="331"/>
      <c r="AB351" s="331"/>
      <c r="AC351" s="331"/>
      <c r="AD351" s="331"/>
      <c r="AE351" s="331"/>
      <c r="AF351" s="331"/>
      <c r="AG351" s="331"/>
      <c r="AH351" s="241">
        <f t="shared" ca="1" si="16"/>
        <v>46153</v>
      </c>
      <c r="AI351" s="272"/>
      <c r="AJ351" s="222"/>
      <c r="AK351" s="222"/>
    </row>
    <row r="352" spans="1:37" ht="23.25" hidden="1" customHeight="1">
      <c r="A352" s="111">
        <v>743</v>
      </c>
      <c r="B352" s="112">
        <v>9</v>
      </c>
      <c r="C352" s="122" t="s">
        <v>3341</v>
      </c>
      <c r="D352" s="147" t="s">
        <v>3342</v>
      </c>
      <c r="E352" s="123" t="s">
        <v>3343</v>
      </c>
      <c r="F352" s="116" t="s">
        <v>1007</v>
      </c>
      <c r="G352" s="116" t="s">
        <v>984</v>
      </c>
      <c r="H352" s="116">
        <v>13.712836100000001</v>
      </c>
      <c r="I352" s="116">
        <v>100.5900121</v>
      </c>
      <c r="J352" s="116" t="s">
        <v>890</v>
      </c>
      <c r="K352" s="117" t="s">
        <v>891</v>
      </c>
      <c r="L352" s="117" t="s">
        <v>891</v>
      </c>
      <c r="M352" s="117">
        <v>96929052</v>
      </c>
      <c r="N352" s="117" t="s">
        <v>892</v>
      </c>
      <c r="O352" s="121" t="s">
        <v>984</v>
      </c>
      <c r="P352" s="117" t="s">
        <v>894</v>
      </c>
      <c r="Q352" s="125" t="s">
        <v>972</v>
      </c>
      <c r="R352" s="119" t="s">
        <v>895</v>
      </c>
      <c r="S352" s="119" t="s">
        <v>895</v>
      </c>
      <c r="T352" s="222"/>
      <c r="U352" s="222"/>
      <c r="V352" s="222"/>
      <c r="W352" s="230"/>
      <c r="X352" s="331">
        <f t="shared" si="17"/>
        <v>0</v>
      </c>
      <c r="Y352" s="222"/>
      <c r="Z352" s="272">
        <f t="shared" si="15"/>
        <v>0</v>
      </c>
      <c r="AA352" s="331"/>
      <c r="AB352" s="331"/>
      <c r="AC352" s="331"/>
      <c r="AD352" s="331"/>
      <c r="AE352" s="331"/>
      <c r="AF352" s="331"/>
      <c r="AG352" s="331"/>
      <c r="AH352" s="241">
        <f t="shared" ca="1" si="16"/>
        <v>46153</v>
      </c>
      <c r="AI352" s="272"/>
      <c r="AJ352" s="222"/>
      <c r="AK352" s="222"/>
    </row>
    <row r="353" spans="1:37" ht="23.25" hidden="1" customHeight="1">
      <c r="A353" s="111">
        <v>660</v>
      </c>
      <c r="B353" s="112" t="s">
        <v>1086</v>
      </c>
      <c r="C353" s="113" t="s">
        <v>3769</v>
      </c>
      <c r="D353" s="147" t="s">
        <v>3770</v>
      </c>
      <c r="E353" s="114" t="s">
        <v>3771</v>
      </c>
      <c r="F353" s="115" t="s">
        <v>1007</v>
      </c>
      <c r="G353" s="115" t="s">
        <v>990</v>
      </c>
      <c r="H353" s="116">
        <v>13.7306297</v>
      </c>
      <c r="I353" s="116">
        <v>100.5342811</v>
      </c>
      <c r="J353" s="116" t="s">
        <v>969</v>
      </c>
      <c r="K353" s="115" t="s">
        <v>1048</v>
      </c>
      <c r="L353" s="117" t="s">
        <v>3772</v>
      </c>
      <c r="M353" s="117">
        <v>96937743</v>
      </c>
      <c r="N353" s="121" t="s">
        <v>1050</v>
      </c>
      <c r="O353" s="121" t="s">
        <v>984</v>
      </c>
      <c r="P353" s="117" t="s">
        <v>1876</v>
      </c>
      <c r="Q353" s="125" t="s">
        <v>972</v>
      </c>
      <c r="R353" s="125" t="s">
        <v>972</v>
      </c>
      <c r="S353" s="125" t="s">
        <v>972</v>
      </c>
      <c r="T353" s="222"/>
      <c r="U353" s="222"/>
      <c r="V353" s="222"/>
      <c r="W353" s="230"/>
      <c r="X353" s="331">
        <f t="shared" si="17"/>
        <v>0</v>
      </c>
      <c r="Y353" s="222"/>
      <c r="Z353" s="272">
        <f t="shared" si="15"/>
        <v>0</v>
      </c>
      <c r="AA353" s="331"/>
      <c r="AB353" s="331"/>
      <c r="AC353" s="331"/>
      <c r="AD353" s="331"/>
      <c r="AE353" s="331"/>
      <c r="AF353" s="331"/>
      <c r="AG353" s="331"/>
      <c r="AH353" s="241">
        <f t="shared" ca="1" si="16"/>
        <v>46153</v>
      </c>
      <c r="AI353" s="272"/>
      <c r="AJ353" s="222"/>
      <c r="AK353" s="222"/>
    </row>
    <row r="354" spans="1:37" ht="36" hidden="1" customHeight="1">
      <c r="A354" s="111">
        <v>661</v>
      </c>
      <c r="B354" s="112">
        <v>8</v>
      </c>
      <c r="C354" s="122" t="s">
        <v>3773</v>
      </c>
      <c r="D354" s="147" t="s">
        <v>3774</v>
      </c>
      <c r="E354" s="123" t="s">
        <v>3775</v>
      </c>
      <c r="F354" s="116" t="s">
        <v>1007</v>
      </c>
      <c r="G354" s="116" t="s">
        <v>990</v>
      </c>
      <c r="H354" s="116">
        <v>13.730178499999999</v>
      </c>
      <c r="I354" s="116">
        <v>100.5353842</v>
      </c>
      <c r="J354" s="116" t="s">
        <v>969</v>
      </c>
      <c r="K354" s="115" t="s">
        <v>1048</v>
      </c>
      <c r="L354" s="117" t="s">
        <v>3772</v>
      </c>
      <c r="M354" s="117">
        <v>96937743</v>
      </c>
      <c r="N354" s="121" t="s">
        <v>1050</v>
      </c>
      <c r="O354" s="121" t="s">
        <v>984</v>
      </c>
      <c r="P354" s="117" t="s">
        <v>894</v>
      </c>
      <c r="Q354" s="125" t="s">
        <v>972</v>
      </c>
      <c r="R354" s="125" t="s">
        <v>972</v>
      </c>
      <c r="S354" s="125" t="s">
        <v>972</v>
      </c>
      <c r="T354" s="222"/>
      <c r="U354" s="222"/>
      <c r="V354" s="222"/>
      <c r="W354" s="230"/>
      <c r="X354" s="331">
        <f t="shared" si="17"/>
        <v>0</v>
      </c>
      <c r="Y354" s="222"/>
      <c r="Z354" s="272">
        <f t="shared" si="15"/>
        <v>0</v>
      </c>
      <c r="AA354" s="331"/>
      <c r="AB354" s="331"/>
      <c r="AC354" s="331"/>
      <c r="AD354" s="331"/>
      <c r="AE354" s="331"/>
      <c r="AF354" s="331"/>
      <c r="AG354" s="331"/>
      <c r="AH354" s="241">
        <f t="shared" ca="1" si="16"/>
        <v>46153</v>
      </c>
      <c r="AI354" s="272"/>
      <c r="AJ354" s="222"/>
      <c r="AK354" s="222"/>
    </row>
    <row r="355" spans="1:37" ht="23" hidden="1">
      <c r="A355" s="111">
        <v>681</v>
      </c>
      <c r="B355" s="112">
        <v>10</v>
      </c>
      <c r="C355" s="122" t="s">
        <v>3808</v>
      </c>
      <c r="D355" s="147" t="s">
        <v>3809</v>
      </c>
      <c r="E355" s="114" t="s">
        <v>3810</v>
      </c>
      <c r="F355" s="115" t="s">
        <v>1007</v>
      </c>
      <c r="G355" s="115" t="s">
        <v>984</v>
      </c>
      <c r="H355" s="116">
        <v>13.717911000000001</v>
      </c>
      <c r="I355" s="116">
        <v>100.569745</v>
      </c>
      <c r="J355" s="116" t="s">
        <v>2097</v>
      </c>
      <c r="K355" s="116" t="s">
        <v>2097</v>
      </c>
      <c r="L355" s="117" t="s">
        <v>2098</v>
      </c>
      <c r="M355" s="116" t="s">
        <v>1347</v>
      </c>
      <c r="N355" s="121" t="s">
        <v>892</v>
      </c>
      <c r="O355" s="121" t="s">
        <v>984</v>
      </c>
      <c r="P355" s="117" t="s">
        <v>894</v>
      </c>
      <c r="Q355" s="125" t="s">
        <v>972</v>
      </c>
      <c r="R355" s="125" t="s">
        <v>972</v>
      </c>
      <c r="S355" s="125" t="s">
        <v>972</v>
      </c>
      <c r="T355" s="222"/>
      <c r="U355" s="222"/>
      <c r="V355" s="222"/>
      <c r="W355" s="230"/>
      <c r="X355" s="331">
        <f t="shared" si="17"/>
        <v>0</v>
      </c>
      <c r="Y355" s="222"/>
      <c r="Z355" s="272">
        <f t="shared" si="15"/>
        <v>0</v>
      </c>
      <c r="AA355" s="331"/>
      <c r="AB355" s="331"/>
      <c r="AC355" s="331"/>
      <c r="AD355" s="331"/>
      <c r="AE355" s="331"/>
      <c r="AF355" s="331"/>
      <c r="AG355" s="331"/>
      <c r="AH355" s="241">
        <f t="shared" ca="1" si="16"/>
        <v>46153</v>
      </c>
      <c r="AI355" s="272"/>
      <c r="AJ355" s="222"/>
      <c r="AK355" s="222"/>
    </row>
    <row r="356" spans="1:37" ht="23.25" hidden="1" customHeight="1">
      <c r="A356" s="111">
        <v>1094</v>
      </c>
      <c r="B356" s="112">
        <v>12</v>
      </c>
      <c r="C356" s="113" t="s">
        <v>3886</v>
      </c>
      <c r="D356" s="147" t="s">
        <v>3887</v>
      </c>
      <c r="E356" s="114" t="s">
        <v>3888</v>
      </c>
      <c r="F356" s="115" t="s">
        <v>1007</v>
      </c>
      <c r="G356" s="115" t="s">
        <v>1542</v>
      </c>
      <c r="H356" s="116">
        <v>13.728998900000001</v>
      </c>
      <c r="I356" s="116">
        <v>100.5375851</v>
      </c>
      <c r="J356" s="116" t="s">
        <v>890</v>
      </c>
      <c r="K356" s="115" t="s">
        <v>1212</v>
      </c>
      <c r="L356" s="117" t="s">
        <v>1213</v>
      </c>
      <c r="M356" s="117">
        <v>96522972</v>
      </c>
      <c r="N356" s="118" t="s">
        <v>892</v>
      </c>
      <c r="O356" s="121" t="s">
        <v>984</v>
      </c>
      <c r="P356" s="117" t="s">
        <v>894</v>
      </c>
      <c r="Q356" s="118">
        <v>80057501</v>
      </c>
      <c r="R356" s="125" t="s">
        <v>972</v>
      </c>
      <c r="S356" s="125" t="s">
        <v>895</v>
      </c>
      <c r="T356" s="222"/>
      <c r="U356" s="222"/>
      <c r="V356" s="222"/>
      <c r="W356" s="230"/>
      <c r="X356" s="331">
        <f t="shared" si="17"/>
        <v>0</v>
      </c>
      <c r="Y356" s="222"/>
      <c r="Z356" s="272">
        <f t="shared" si="15"/>
        <v>0</v>
      </c>
      <c r="AA356" s="331"/>
      <c r="AB356" s="331"/>
      <c r="AC356" s="331"/>
      <c r="AD356" s="331"/>
      <c r="AE356" s="331"/>
      <c r="AF356" s="331"/>
      <c r="AG356" s="331"/>
      <c r="AH356" s="241">
        <f t="shared" ca="1" si="16"/>
        <v>46153</v>
      </c>
      <c r="AI356" s="272"/>
      <c r="AJ356" s="222"/>
      <c r="AK356" s="222"/>
    </row>
    <row r="357" spans="1:37" ht="23" hidden="1">
      <c r="A357" s="111">
        <v>737</v>
      </c>
      <c r="B357" s="112">
        <v>13</v>
      </c>
      <c r="C357" s="113" t="s">
        <v>3955</v>
      </c>
      <c r="D357" s="147" t="s">
        <v>3956</v>
      </c>
      <c r="E357" s="114" t="s">
        <v>3957</v>
      </c>
      <c r="F357" s="115" t="s">
        <v>1007</v>
      </c>
      <c r="G357" s="115" t="s">
        <v>1542</v>
      </c>
      <c r="H357" s="116">
        <v>13.729901</v>
      </c>
      <c r="I357" s="116">
        <v>100.53541250000001</v>
      </c>
      <c r="J357" s="116" t="s">
        <v>969</v>
      </c>
      <c r="K357" s="115" t="s">
        <v>1048</v>
      </c>
      <c r="L357" s="117" t="s">
        <v>3958</v>
      </c>
      <c r="M357" s="117">
        <v>96937715</v>
      </c>
      <c r="N357" s="121" t="s">
        <v>892</v>
      </c>
      <c r="O357" s="121" t="s">
        <v>984</v>
      </c>
      <c r="P357" s="117" t="s">
        <v>894</v>
      </c>
      <c r="Q357" s="125" t="s">
        <v>972</v>
      </c>
      <c r="R357" s="125" t="s">
        <v>972</v>
      </c>
      <c r="S357" s="125" t="s">
        <v>972</v>
      </c>
      <c r="T357" s="222"/>
      <c r="U357" s="222"/>
      <c r="V357" s="222"/>
      <c r="W357" s="230"/>
      <c r="X357" s="331">
        <f t="shared" si="17"/>
        <v>0</v>
      </c>
      <c r="Y357" s="222"/>
      <c r="Z357" s="272">
        <f t="shared" si="15"/>
        <v>0</v>
      </c>
      <c r="AA357" s="331"/>
      <c r="AB357" s="331"/>
      <c r="AC357" s="331"/>
      <c r="AD357" s="331"/>
      <c r="AE357" s="331"/>
      <c r="AF357" s="331"/>
      <c r="AG357" s="331"/>
      <c r="AH357" s="241">
        <f t="shared" ca="1" si="16"/>
        <v>46153</v>
      </c>
      <c r="AI357" s="272"/>
      <c r="AJ357" s="222"/>
      <c r="AK357" s="222"/>
    </row>
    <row r="358" spans="1:37" ht="23.25" hidden="1" customHeight="1">
      <c r="A358" s="111">
        <v>707</v>
      </c>
      <c r="B358" s="112">
        <v>12</v>
      </c>
      <c r="C358" s="113" t="s">
        <v>4364</v>
      </c>
      <c r="D358" s="147" t="s">
        <v>4365</v>
      </c>
      <c r="E358" s="114" t="s">
        <v>4366</v>
      </c>
      <c r="F358" s="115" t="s">
        <v>1007</v>
      </c>
      <c r="G358" s="115" t="s">
        <v>990</v>
      </c>
      <c r="H358" s="116">
        <v>13.7372666</v>
      </c>
      <c r="I358" s="116">
        <v>100.51831559999999</v>
      </c>
      <c r="J358" s="116" t="s">
        <v>890</v>
      </c>
      <c r="K358" s="115" t="s">
        <v>1212</v>
      </c>
      <c r="L358" s="117" t="s">
        <v>1213</v>
      </c>
      <c r="M358" s="117" t="s">
        <v>4367</v>
      </c>
      <c r="N358" s="118" t="s">
        <v>892</v>
      </c>
      <c r="O358" s="121" t="s">
        <v>984</v>
      </c>
      <c r="P358" s="121" t="s">
        <v>894</v>
      </c>
      <c r="Q358" s="125" t="s">
        <v>972</v>
      </c>
      <c r="R358" s="130" t="s">
        <v>972</v>
      </c>
      <c r="S358" s="119" t="s">
        <v>895</v>
      </c>
      <c r="T358" s="222"/>
      <c r="U358" s="222"/>
      <c r="V358" s="222"/>
      <c r="W358" s="230"/>
      <c r="X358" s="331">
        <f t="shared" si="17"/>
        <v>0</v>
      </c>
      <c r="Y358" s="222"/>
      <c r="Z358" s="272">
        <f t="shared" si="15"/>
        <v>0</v>
      </c>
      <c r="AA358" s="331"/>
      <c r="AB358" s="331"/>
      <c r="AC358" s="331"/>
      <c r="AD358" s="331"/>
      <c r="AE358" s="331"/>
      <c r="AF358" s="331"/>
      <c r="AG358" s="331"/>
      <c r="AH358" s="241">
        <f t="shared" ca="1" si="16"/>
        <v>46153</v>
      </c>
      <c r="AI358" s="272"/>
      <c r="AJ358" s="222"/>
      <c r="AK358" s="222"/>
    </row>
    <row r="359" spans="1:37" ht="23.25" hidden="1" customHeight="1">
      <c r="A359" s="111">
        <v>928</v>
      </c>
      <c r="B359" s="112" t="s">
        <v>1071</v>
      </c>
      <c r="C359" s="122" t="s">
        <v>4445</v>
      </c>
      <c r="D359" s="147" t="s">
        <v>4446</v>
      </c>
      <c r="E359" s="123" t="s">
        <v>4447</v>
      </c>
      <c r="F359" s="116" t="s">
        <v>1007</v>
      </c>
      <c r="G359" s="116" t="s">
        <v>1542</v>
      </c>
      <c r="H359" s="116">
        <v>13.7274464</v>
      </c>
      <c r="I359" s="116">
        <v>100.5413527</v>
      </c>
      <c r="J359" s="116" t="s">
        <v>969</v>
      </c>
      <c r="K359" s="121" t="s">
        <v>1048</v>
      </c>
      <c r="L359" s="121" t="s">
        <v>4448</v>
      </c>
      <c r="M359" s="121">
        <v>96937730</v>
      </c>
      <c r="N359" s="121" t="s">
        <v>892</v>
      </c>
      <c r="O359" s="121"/>
      <c r="P359" s="127" t="s">
        <v>1076</v>
      </c>
      <c r="Q359" s="129" t="s">
        <v>972</v>
      </c>
      <c r="R359" s="119" t="s">
        <v>972</v>
      </c>
      <c r="S359" s="119" t="s">
        <v>972</v>
      </c>
      <c r="T359" s="222"/>
      <c r="U359" s="222"/>
      <c r="V359" s="222"/>
      <c r="W359" s="230"/>
      <c r="X359" s="331">
        <f t="shared" si="17"/>
        <v>0</v>
      </c>
      <c r="Y359" s="222"/>
      <c r="Z359" s="272">
        <f t="shared" si="15"/>
        <v>0</v>
      </c>
      <c r="AA359" s="331"/>
      <c r="AB359" s="331"/>
      <c r="AC359" s="331"/>
      <c r="AD359" s="331"/>
      <c r="AE359" s="331"/>
      <c r="AF359" s="331"/>
      <c r="AG359" s="331"/>
      <c r="AH359" s="241">
        <f t="shared" ca="1" si="16"/>
        <v>46153</v>
      </c>
      <c r="AI359" s="272"/>
      <c r="AJ359" s="222"/>
      <c r="AK359" s="222"/>
    </row>
    <row r="360" spans="1:37" ht="23.25" hidden="1" customHeight="1">
      <c r="A360" s="111">
        <v>929</v>
      </c>
      <c r="B360" s="112" t="s">
        <v>1071</v>
      </c>
      <c r="C360" s="122" t="s">
        <v>4449</v>
      </c>
      <c r="D360" s="147" t="s">
        <v>4450</v>
      </c>
      <c r="E360" s="123" t="s">
        <v>4451</v>
      </c>
      <c r="F360" s="116" t="s">
        <v>1007</v>
      </c>
      <c r="G360" s="116" t="s">
        <v>990</v>
      </c>
      <c r="H360" s="117">
        <v>13.7278752</v>
      </c>
      <c r="I360" s="117">
        <v>100.540942</v>
      </c>
      <c r="J360" s="116" t="s">
        <v>2097</v>
      </c>
      <c r="K360" s="121" t="s">
        <v>2097</v>
      </c>
      <c r="L360" s="121" t="s">
        <v>2494</v>
      </c>
      <c r="M360" s="116" t="s">
        <v>1347</v>
      </c>
      <c r="N360" s="121" t="s">
        <v>972</v>
      </c>
      <c r="O360" s="121"/>
      <c r="P360" s="127" t="s">
        <v>1076</v>
      </c>
      <c r="Q360" s="129" t="s">
        <v>972</v>
      </c>
      <c r="R360" s="119" t="s">
        <v>972</v>
      </c>
      <c r="S360" s="119" t="s">
        <v>972</v>
      </c>
      <c r="T360" s="222"/>
      <c r="U360" s="222"/>
      <c r="V360" s="222"/>
      <c r="W360" s="230"/>
      <c r="X360" s="331">
        <f t="shared" si="17"/>
        <v>0</v>
      </c>
      <c r="Y360" s="222"/>
      <c r="Z360" s="272">
        <f t="shared" si="15"/>
        <v>0</v>
      </c>
      <c r="AA360" s="331"/>
      <c r="AB360" s="331"/>
      <c r="AC360" s="331"/>
      <c r="AD360" s="331"/>
      <c r="AE360" s="331"/>
      <c r="AF360" s="331"/>
      <c r="AG360" s="331"/>
      <c r="AH360" s="241">
        <f t="shared" ca="1" si="16"/>
        <v>46153</v>
      </c>
      <c r="AI360" s="272"/>
      <c r="AJ360" s="222"/>
      <c r="AK360" s="222"/>
    </row>
    <row r="361" spans="1:37" ht="23" hidden="1">
      <c r="A361" s="111">
        <v>974</v>
      </c>
      <c r="B361" s="112" t="s">
        <v>1114</v>
      </c>
      <c r="C361" s="113" t="s">
        <v>4560</v>
      </c>
      <c r="D361" s="147" t="s">
        <v>4561</v>
      </c>
      <c r="E361" s="114" t="s">
        <v>4562</v>
      </c>
      <c r="F361" s="115" t="s">
        <v>1007</v>
      </c>
      <c r="G361" s="115" t="s">
        <v>990</v>
      </c>
      <c r="H361" s="116">
        <v>13.737754000000001</v>
      </c>
      <c r="I361" s="116">
        <v>100.516954</v>
      </c>
      <c r="J361" s="116" t="s">
        <v>2097</v>
      </c>
      <c r="K361" s="116" t="s">
        <v>2097</v>
      </c>
      <c r="L361" s="117" t="s">
        <v>4563</v>
      </c>
      <c r="M361" s="116" t="s">
        <v>1347</v>
      </c>
      <c r="N361" s="121" t="s">
        <v>892</v>
      </c>
      <c r="O361" s="121" t="s">
        <v>984</v>
      </c>
      <c r="P361" s="118" t="s">
        <v>894</v>
      </c>
      <c r="Q361" s="125" t="s">
        <v>972</v>
      </c>
      <c r="R361" s="125" t="s">
        <v>972</v>
      </c>
      <c r="S361" s="125" t="s">
        <v>972</v>
      </c>
      <c r="T361" s="222"/>
      <c r="U361" s="222"/>
      <c r="V361" s="222"/>
      <c r="W361" s="230"/>
      <c r="X361" s="331">
        <f t="shared" si="17"/>
        <v>0</v>
      </c>
      <c r="Y361" s="222"/>
      <c r="Z361" s="272">
        <f t="shared" si="15"/>
        <v>0</v>
      </c>
      <c r="AA361" s="331"/>
      <c r="AB361" s="331"/>
      <c r="AC361" s="331"/>
      <c r="AD361" s="331"/>
      <c r="AE361" s="331"/>
      <c r="AF361" s="331"/>
      <c r="AG361" s="331"/>
      <c r="AH361" s="241">
        <f t="shared" ca="1" si="16"/>
        <v>46153</v>
      </c>
      <c r="AI361" s="272"/>
      <c r="AJ361" s="222"/>
      <c r="AK361" s="222"/>
    </row>
    <row r="362" spans="1:37" ht="23" hidden="1">
      <c r="A362" s="111">
        <v>999</v>
      </c>
      <c r="B362" s="112" t="s">
        <v>1569</v>
      </c>
      <c r="C362" s="122" t="s">
        <v>4622</v>
      </c>
      <c r="D362" s="147" t="s">
        <v>4623</v>
      </c>
      <c r="E362" s="114" t="s">
        <v>4624</v>
      </c>
      <c r="F362" s="115" t="s">
        <v>1007</v>
      </c>
      <c r="G362" s="115" t="s">
        <v>990</v>
      </c>
      <c r="H362" s="115">
        <v>13.7319561</v>
      </c>
      <c r="I362" s="115">
        <v>100.5312467</v>
      </c>
      <c r="J362" s="116" t="s">
        <v>969</v>
      </c>
      <c r="K362" s="115" t="s">
        <v>1048</v>
      </c>
      <c r="L362" s="117" t="s">
        <v>4625</v>
      </c>
      <c r="M362" s="117">
        <v>96961075</v>
      </c>
      <c r="N362" s="121" t="s">
        <v>892</v>
      </c>
      <c r="O362" s="121" t="s">
        <v>984</v>
      </c>
      <c r="P362" s="117" t="s">
        <v>894</v>
      </c>
      <c r="Q362" s="125" t="s">
        <v>972</v>
      </c>
      <c r="R362" s="125" t="s">
        <v>972</v>
      </c>
      <c r="S362" s="125" t="s">
        <v>972</v>
      </c>
      <c r="T362" s="222"/>
      <c r="U362" s="222"/>
      <c r="V362" s="222"/>
      <c r="W362" s="230"/>
      <c r="X362" s="331">
        <f t="shared" si="17"/>
        <v>0</v>
      </c>
      <c r="Y362" s="222"/>
      <c r="Z362" s="272">
        <f t="shared" si="15"/>
        <v>0</v>
      </c>
      <c r="AA362" s="331"/>
      <c r="AB362" s="331"/>
      <c r="AC362" s="331"/>
      <c r="AD362" s="331"/>
      <c r="AE362" s="331"/>
      <c r="AF362" s="331"/>
      <c r="AG362" s="331"/>
      <c r="AH362" s="241">
        <f t="shared" ca="1" si="16"/>
        <v>46153</v>
      </c>
      <c r="AI362" s="272"/>
      <c r="AJ362" s="222"/>
      <c r="AK362" s="222"/>
    </row>
    <row r="363" spans="1:37" ht="23.25" hidden="1" customHeight="1">
      <c r="A363" s="111">
        <v>1166</v>
      </c>
      <c r="B363" s="112">
        <v>4</v>
      </c>
      <c r="C363" s="113" t="s">
        <v>5033</v>
      </c>
      <c r="D363" s="147" t="s">
        <v>5034</v>
      </c>
      <c r="E363" s="114" t="s">
        <v>5035</v>
      </c>
      <c r="F363" s="115" t="s">
        <v>1007</v>
      </c>
      <c r="G363" s="115" t="s">
        <v>990</v>
      </c>
      <c r="H363" s="115">
        <v>13.7322495</v>
      </c>
      <c r="I363" s="115">
        <v>100.53054969999999</v>
      </c>
      <c r="J363" s="116" t="s">
        <v>969</v>
      </c>
      <c r="K363" s="115" t="s">
        <v>1048</v>
      </c>
      <c r="L363" s="117" t="s">
        <v>5036</v>
      </c>
      <c r="M363" s="117">
        <v>96961075</v>
      </c>
      <c r="N363" s="121" t="s">
        <v>892</v>
      </c>
      <c r="O363" s="121" t="s">
        <v>984</v>
      </c>
      <c r="P363" s="117" t="s">
        <v>1876</v>
      </c>
      <c r="Q363" s="119" t="s">
        <v>972</v>
      </c>
      <c r="R363" s="125" t="s">
        <v>972</v>
      </c>
      <c r="S363" s="125" t="s">
        <v>972</v>
      </c>
      <c r="T363" s="222"/>
      <c r="U363" s="222"/>
      <c r="V363" s="222"/>
      <c r="W363" s="230"/>
      <c r="X363" s="331">
        <f t="shared" si="17"/>
        <v>0</v>
      </c>
      <c r="Y363" s="222"/>
      <c r="Z363" s="272">
        <f t="shared" si="15"/>
        <v>0</v>
      </c>
      <c r="AA363" s="331"/>
      <c r="AB363" s="331"/>
      <c r="AC363" s="331"/>
      <c r="AD363" s="331"/>
      <c r="AE363" s="331"/>
      <c r="AF363" s="331"/>
      <c r="AG363" s="331"/>
      <c r="AH363" s="241">
        <f t="shared" ca="1" si="16"/>
        <v>46153</v>
      </c>
      <c r="AI363" s="272"/>
      <c r="AJ363" s="222"/>
      <c r="AK363" s="222"/>
    </row>
    <row r="364" spans="1:37" ht="23" hidden="1">
      <c r="A364" s="111">
        <v>91</v>
      </c>
      <c r="B364" s="112">
        <v>7</v>
      </c>
      <c r="C364" s="113" t="s">
        <v>996</v>
      </c>
      <c r="D364" s="147" t="s">
        <v>997</v>
      </c>
      <c r="E364" s="114" t="s">
        <v>998</v>
      </c>
      <c r="F364" s="115" t="s">
        <v>999</v>
      </c>
      <c r="G364" s="115" t="s">
        <v>1000</v>
      </c>
      <c r="H364" s="116">
        <v>13.7928351</v>
      </c>
      <c r="I364" s="116">
        <v>100.5296326</v>
      </c>
      <c r="J364" s="116" t="s">
        <v>890</v>
      </c>
      <c r="K364" s="117" t="s">
        <v>891</v>
      </c>
      <c r="L364" s="117" t="s">
        <v>891</v>
      </c>
      <c r="M364" s="117">
        <v>96899331</v>
      </c>
      <c r="N364" s="117" t="s">
        <v>892</v>
      </c>
      <c r="O364" s="121" t="s">
        <v>958</v>
      </c>
      <c r="P364" s="117" t="s">
        <v>952</v>
      </c>
      <c r="Q364" s="118">
        <v>80057501</v>
      </c>
      <c r="R364" s="119" t="s">
        <v>895</v>
      </c>
      <c r="S364" s="119" t="s">
        <v>895</v>
      </c>
      <c r="T364" s="222"/>
      <c r="U364" s="222"/>
      <c r="V364" s="222"/>
      <c r="W364" s="230"/>
      <c r="X364" s="331">
        <f t="shared" si="17"/>
        <v>0</v>
      </c>
      <c r="Y364" s="222"/>
      <c r="Z364" s="272">
        <f t="shared" si="15"/>
        <v>0</v>
      </c>
      <c r="AA364" s="331"/>
      <c r="AB364" s="331"/>
      <c r="AC364" s="331"/>
      <c r="AD364" s="331"/>
      <c r="AE364" s="331"/>
      <c r="AF364" s="331"/>
      <c r="AG364" s="331"/>
      <c r="AH364" s="241">
        <f t="shared" ca="1" si="16"/>
        <v>46153</v>
      </c>
      <c r="AI364" s="272"/>
      <c r="AJ364" s="222"/>
      <c r="AK364" s="222"/>
    </row>
    <row r="365" spans="1:37" ht="23" hidden="1">
      <c r="A365" s="111">
        <v>103</v>
      </c>
      <c r="B365" s="112">
        <v>2</v>
      </c>
      <c r="C365" s="113" t="s">
        <v>2356</v>
      </c>
      <c r="D365" s="147" t="s">
        <v>2357</v>
      </c>
      <c r="E365" s="114" t="s">
        <v>2358</v>
      </c>
      <c r="F365" s="115" t="s">
        <v>999</v>
      </c>
      <c r="G365" s="115" t="s">
        <v>1000</v>
      </c>
      <c r="H365" s="116">
        <v>13.780749</v>
      </c>
      <c r="I365" s="116">
        <v>100.523076</v>
      </c>
      <c r="J365" s="115" t="s">
        <v>2108</v>
      </c>
      <c r="K365" s="115" t="s">
        <v>2136</v>
      </c>
      <c r="L365" s="117" t="s">
        <v>2359</v>
      </c>
      <c r="M365" s="121" t="s">
        <v>972</v>
      </c>
      <c r="N365" s="121" t="s">
        <v>972</v>
      </c>
      <c r="O365" s="121" t="s">
        <v>958</v>
      </c>
      <c r="P365" s="117" t="s">
        <v>1876</v>
      </c>
      <c r="Q365" s="125" t="s">
        <v>972</v>
      </c>
      <c r="R365" s="130" t="s">
        <v>972</v>
      </c>
      <c r="S365" s="125" t="s">
        <v>972</v>
      </c>
      <c r="T365" s="222"/>
      <c r="U365" s="222"/>
      <c r="V365" s="222"/>
      <c r="W365" s="230"/>
      <c r="X365" s="331">
        <f t="shared" si="17"/>
        <v>0</v>
      </c>
      <c r="Y365" s="222"/>
      <c r="Z365" s="272">
        <f t="shared" si="15"/>
        <v>0</v>
      </c>
      <c r="AA365" s="331"/>
      <c r="AB365" s="331"/>
      <c r="AC365" s="331"/>
      <c r="AD365" s="331"/>
      <c r="AE365" s="331"/>
      <c r="AF365" s="331"/>
      <c r="AG365" s="331"/>
      <c r="AH365" s="241">
        <f t="shared" ca="1" si="16"/>
        <v>46153</v>
      </c>
      <c r="AI365" s="272"/>
      <c r="AJ365" s="222"/>
      <c r="AK365" s="222"/>
    </row>
    <row r="366" spans="1:37" ht="14.5" hidden="1">
      <c r="A366" s="111">
        <v>1181</v>
      </c>
      <c r="B366" s="150" t="s">
        <v>2209</v>
      </c>
      <c r="C366" s="150" t="s">
        <v>2209</v>
      </c>
      <c r="D366" s="150" t="s">
        <v>4123</v>
      </c>
      <c r="E366" s="152" t="s">
        <v>4124</v>
      </c>
      <c r="F366" s="113" t="s">
        <v>999</v>
      </c>
      <c r="G366" s="153" t="s">
        <v>1000</v>
      </c>
      <c r="H366" s="117">
        <v>13.775183</v>
      </c>
      <c r="I366" s="117">
        <v>100.520025</v>
      </c>
      <c r="J366" s="117" t="s">
        <v>890</v>
      </c>
      <c r="K366" s="117" t="s">
        <v>891</v>
      </c>
      <c r="L366" s="117" t="s">
        <v>891</v>
      </c>
      <c r="M366" s="117">
        <v>97046988</v>
      </c>
      <c r="N366" s="117" t="s">
        <v>892</v>
      </c>
      <c r="O366" s="117" t="s">
        <v>958</v>
      </c>
      <c r="P366" s="117" t="s">
        <v>902</v>
      </c>
      <c r="Q366" s="119"/>
      <c r="R366" s="138" t="s">
        <v>895</v>
      </c>
      <c r="S366" s="119" t="s">
        <v>895</v>
      </c>
      <c r="T366" s="222"/>
      <c r="U366" s="222"/>
      <c r="V366" s="222"/>
      <c r="W366" s="230"/>
      <c r="X366" s="331">
        <f t="shared" si="17"/>
        <v>0</v>
      </c>
      <c r="Y366" s="222"/>
      <c r="Z366" s="272">
        <f t="shared" si="15"/>
        <v>0</v>
      </c>
      <c r="AA366" s="331"/>
      <c r="AB366" s="331"/>
      <c r="AC366" s="331"/>
      <c r="AD366" s="331"/>
      <c r="AE366" s="331"/>
      <c r="AF366" s="331"/>
      <c r="AG366" s="331"/>
      <c r="AH366" s="241">
        <f t="shared" ca="1" si="16"/>
        <v>46153</v>
      </c>
      <c r="AI366" s="272"/>
      <c r="AJ366" s="222"/>
      <c r="AK366" s="222"/>
    </row>
    <row r="367" spans="1:37" ht="14.5" hidden="1">
      <c r="A367" s="111">
        <v>1183</v>
      </c>
      <c r="B367" s="150" t="s">
        <v>2209</v>
      </c>
      <c r="C367" s="150" t="s">
        <v>2209</v>
      </c>
      <c r="D367" s="150" t="s">
        <v>5079</v>
      </c>
      <c r="E367" s="152" t="s">
        <v>5080</v>
      </c>
      <c r="F367" s="113" t="s">
        <v>999</v>
      </c>
      <c r="G367" s="153" t="s">
        <v>1000</v>
      </c>
      <c r="H367" s="117">
        <v>13.775786999999999</v>
      </c>
      <c r="I367" s="117">
        <v>100.520353</v>
      </c>
      <c r="J367" s="116" t="s">
        <v>890</v>
      </c>
      <c r="K367" s="117" t="s">
        <v>891</v>
      </c>
      <c r="L367" s="117" t="s">
        <v>891</v>
      </c>
      <c r="M367" s="117">
        <v>97156147</v>
      </c>
      <c r="N367" s="117" t="s">
        <v>892</v>
      </c>
      <c r="O367" s="117" t="s">
        <v>5074</v>
      </c>
      <c r="P367" s="117" t="s">
        <v>5074</v>
      </c>
      <c r="Q367" s="119"/>
      <c r="R367" s="119"/>
      <c r="S367" s="119"/>
      <c r="T367" s="222"/>
      <c r="U367" s="222"/>
      <c r="V367" s="222"/>
      <c r="W367" s="230"/>
      <c r="X367" s="331">
        <f t="shared" si="17"/>
        <v>0</v>
      </c>
      <c r="Y367" s="222"/>
      <c r="Z367" s="272">
        <f t="shared" si="15"/>
        <v>0</v>
      </c>
      <c r="AA367" s="331"/>
      <c r="AB367" s="331"/>
      <c r="AC367" s="331"/>
      <c r="AD367" s="331"/>
      <c r="AE367" s="331"/>
      <c r="AF367" s="331"/>
      <c r="AG367" s="331"/>
      <c r="AH367" s="241">
        <f t="shared" ca="1" si="16"/>
        <v>46153</v>
      </c>
      <c r="AI367" s="272"/>
      <c r="AJ367" s="222"/>
      <c r="AK367" s="222"/>
    </row>
    <row r="368" spans="1:37" ht="23.25" hidden="1" customHeight="1">
      <c r="A368" s="111">
        <v>979</v>
      </c>
      <c r="B368" s="112">
        <v>4</v>
      </c>
      <c r="C368" s="113" t="s">
        <v>1907</v>
      </c>
      <c r="D368" s="147" t="s">
        <v>1908</v>
      </c>
      <c r="E368" s="114" t="s">
        <v>1909</v>
      </c>
      <c r="F368" s="115" t="s">
        <v>1910</v>
      </c>
      <c r="G368" s="115" t="s">
        <v>983</v>
      </c>
      <c r="H368" s="116">
        <v>13.7821421</v>
      </c>
      <c r="I368" s="116">
        <v>100.5338869</v>
      </c>
      <c r="J368" s="116" t="s">
        <v>890</v>
      </c>
      <c r="K368" s="117" t="s">
        <v>891</v>
      </c>
      <c r="L368" s="117" t="s">
        <v>891</v>
      </c>
      <c r="M368" s="117">
        <v>96887904</v>
      </c>
      <c r="N368" s="117" t="s">
        <v>892</v>
      </c>
      <c r="O368" s="121" t="s">
        <v>958</v>
      </c>
      <c r="P368" s="117" t="s">
        <v>952</v>
      </c>
      <c r="Q368" s="118">
        <v>80057501</v>
      </c>
      <c r="R368" s="119" t="s">
        <v>895</v>
      </c>
      <c r="S368" s="119" t="s">
        <v>895</v>
      </c>
      <c r="T368" s="222"/>
      <c r="U368" s="222"/>
      <c r="V368" s="222"/>
      <c r="W368" s="230"/>
      <c r="X368" s="331">
        <f t="shared" si="17"/>
        <v>0</v>
      </c>
      <c r="Y368" s="222"/>
      <c r="Z368" s="272">
        <f t="shared" si="15"/>
        <v>0</v>
      </c>
      <c r="AA368" s="331"/>
      <c r="AB368" s="331"/>
      <c r="AC368" s="331"/>
      <c r="AD368" s="331"/>
      <c r="AE368" s="331"/>
      <c r="AF368" s="331"/>
      <c r="AG368" s="331"/>
      <c r="AH368" s="241">
        <f t="shared" ca="1" si="16"/>
        <v>46153</v>
      </c>
      <c r="AI368" s="272"/>
      <c r="AJ368" s="222"/>
      <c r="AK368" s="222"/>
    </row>
    <row r="369" spans="1:37" ht="23" hidden="1">
      <c r="A369" s="111">
        <v>115</v>
      </c>
      <c r="B369" s="112">
        <v>12</v>
      </c>
      <c r="C369" s="122" t="s">
        <v>2387</v>
      </c>
      <c r="D369" s="147" t="s">
        <v>2388</v>
      </c>
      <c r="E369" s="123" t="s">
        <v>2389</v>
      </c>
      <c r="F369" s="116" t="s">
        <v>1910</v>
      </c>
      <c r="G369" s="116" t="s">
        <v>983</v>
      </c>
      <c r="H369" s="116">
        <v>13.7795682</v>
      </c>
      <c r="I369" s="116">
        <v>100.5328401</v>
      </c>
      <c r="J369" s="115" t="s">
        <v>2108</v>
      </c>
      <c r="K369" s="117" t="s">
        <v>2109</v>
      </c>
      <c r="L369" s="117" t="s">
        <v>2110</v>
      </c>
      <c r="M369" s="121" t="s">
        <v>972</v>
      </c>
      <c r="N369" s="121" t="s">
        <v>972</v>
      </c>
      <c r="O369" s="121" t="s">
        <v>958</v>
      </c>
      <c r="P369" s="117" t="s">
        <v>952</v>
      </c>
      <c r="Q369" s="125" t="s">
        <v>972</v>
      </c>
      <c r="R369" s="125" t="s">
        <v>972</v>
      </c>
      <c r="S369" s="125" t="s">
        <v>972</v>
      </c>
      <c r="T369" s="222"/>
      <c r="U369" s="222"/>
      <c r="V369" s="222"/>
      <c r="W369" s="230"/>
      <c r="X369" s="331">
        <f t="shared" si="17"/>
        <v>0</v>
      </c>
      <c r="Y369" s="222"/>
      <c r="Z369" s="272">
        <f t="shared" si="15"/>
        <v>0</v>
      </c>
      <c r="AA369" s="331"/>
      <c r="AB369" s="331"/>
      <c r="AC369" s="331"/>
      <c r="AD369" s="331"/>
      <c r="AE369" s="331"/>
      <c r="AF369" s="331"/>
      <c r="AG369" s="331"/>
      <c r="AH369" s="241">
        <f t="shared" ca="1" si="16"/>
        <v>46153</v>
      </c>
      <c r="AI369" s="272"/>
      <c r="AJ369" s="222"/>
      <c r="AK369" s="222"/>
    </row>
    <row r="370" spans="1:37" ht="23" hidden="1">
      <c r="A370" s="111">
        <v>258</v>
      </c>
      <c r="B370" s="112">
        <v>9</v>
      </c>
      <c r="C370" s="113" t="s">
        <v>2484</v>
      </c>
      <c r="D370" s="147" t="s">
        <v>2485</v>
      </c>
      <c r="E370" s="114" t="s">
        <v>2486</v>
      </c>
      <c r="F370" s="115" t="s">
        <v>1910</v>
      </c>
      <c r="G370" s="115" t="s">
        <v>983</v>
      </c>
      <c r="H370" s="116">
        <v>13.777756999999999</v>
      </c>
      <c r="I370" s="116">
        <v>100.532111</v>
      </c>
      <c r="J370" s="115" t="s">
        <v>890</v>
      </c>
      <c r="K370" s="115" t="s">
        <v>891</v>
      </c>
      <c r="L370" s="118" t="s">
        <v>891</v>
      </c>
      <c r="M370" s="121">
        <v>96974451</v>
      </c>
      <c r="N370" s="121" t="s">
        <v>892</v>
      </c>
      <c r="O370" s="121" t="s">
        <v>958</v>
      </c>
      <c r="P370" s="118" t="s">
        <v>952</v>
      </c>
      <c r="Q370" s="125" t="s">
        <v>972</v>
      </c>
      <c r="R370" s="119" t="s">
        <v>895</v>
      </c>
      <c r="S370" s="119" t="s">
        <v>895</v>
      </c>
      <c r="T370" s="222"/>
      <c r="U370" s="222"/>
      <c r="V370" s="222"/>
      <c r="W370" s="230"/>
      <c r="X370" s="331">
        <f t="shared" si="17"/>
        <v>0</v>
      </c>
      <c r="Y370" s="222"/>
      <c r="Z370" s="272">
        <f t="shared" si="15"/>
        <v>0</v>
      </c>
      <c r="AA370" s="331"/>
      <c r="AB370" s="331"/>
      <c r="AC370" s="331"/>
      <c r="AD370" s="331"/>
      <c r="AE370" s="331"/>
      <c r="AF370" s="331"/>
      <c r="AG370" s="331"/>
      <c r="AH370" s="241">
        <f t="shared" ca="1" si="16"/>
        <v>46153</v>
      </c>
      <c r="AI370" s="272"/>
      <c r="AJ370" s="222"/>
      <c r="AK370" s="222"/>
    </row>
    <row r="371" spans="1:37" ht="23" hidden="1">
      <c r="A371" s="111">
        <v>166</v>
      </c>
      <c r="B371" s="112">
        <v>13</v>
      </c>
      <c r="C371" s="113" t="s">
        <v>2532</v>
      </c>
      <c r="D371" s="147" t="s">
        <v>2533</v>
      </c>
      <c r="E371" s="114" t="s">
        <v>2534</v>
      </c>
      <c r="F371" s="115" t="s">
        <v>1910</v>
      </c>
      <c r="G371" s="115" t="s">
        <v>983</v>
      </c>
      <c r="H371" s="116">
        <v>13.789453</v>
      </c>
      <c r="I371" s="116">
        <v>100.536856</v>
      </c>
      <c r="J371" s="116" t="s">
        <v>969</v>
      </c>
      <c r="K371" s="115" t="s">
        <v>1048</v>
      </c>
      <c r="L371" s="117" t="s">
        <v>2535</v>
      </c>
      <c r="M371" s="117">
        <v>96939874</v>
      </c>
      <c r="N371" s="121" t="s">
        <v>892</v>
      </c>
      <c r="O371" s="121" t="s">
        <v>958</v>
      </c>
      <c r="P371" s="117" t="s">
        <v>952</v>
      </c>
      <c r="Q371" s="125" t="s">
        <v>972</v>
      </c>
      <c r="R371" s="125" t="s">
        <v>972</v>
      </c>
      <c r="S371" s="125" t="s">
        <v>972</v>
      </c>
      <c r="T371" s="222"/>
      <c r="U371" s="222"/>
      <c r="V371" s="222"/>
      <c r="W371" s="230"/>
      <c r="X371" s="331">
        <f t="shared" si="17"/>
        <v>0</v>
      </c>
      <c r="Y371" s="222"/>
      <c r="Z371" s="272">
        <f t="shared" si="15"/>
        <v>0</v>
      </c>
      <c r="AA371" s="331"/>
      <c r="AB371" s="331"/>
      <c r="AC371" s="331"/>
      <c r="AD371" s="331"/>
      <c r="AE371" s="331"/>
      <c r="AF371" s="331"/>
      <c r="AG371" s="331"/>
      <c r="AH371" s="241">
        <f t="shared" ca="1" si="16"/>
        <v>46153</v>
      </c>
      <c r="AI371" s="272"/>
      <c r="AJ371" s="222"/>
      <c r="AK371" s="222"/>
    </row>
    <row r="372" spans="1:37" ht="23" hidden="1">
      <c r="A372" s="111">
        <v>211</v>
      </c>
      <c r="B372" s="112" t="s">
        <v>1553</v>
      </c>
      <c r="C372" s="113" t="s">
        <v>2659</v>
      </c>
      <c r="D372" s="147" t="s">
        <v>2660</v>
      </c>
      <c r="E372" s="114" t="s">
        <v>2661</v>
      </c>
      <c r="F372" s="115" t="s">
        <v>1910</v>
      </c>
      <c r="G372" s="115" t="s">
        <v>957</v>
      </c>
      <c r="H372" s="116">
        <v>13.767946</v>
      </c>
      <c r="I372" s="116">
        <v>100.528378</v>
      </c>
      <c r="J372" s="116" t="s">
        <v>969</v>
      </c>
      <c r="K372" s="116" t="s">
        <v>970</v>
      </c>
      <c r="L372" s="117" t="s">
        <v>2662</v>
      </c>
      <c r="M372" s="117">
        <v>97000733</v>
      </c>
      <c r="N372" s="121" t="s">
        <v>1050</v>
      </c>
      <c r="O372" s="121" t="s">
        <v>958</v>
      </c>
      <c r="P372" s="117" t="s">
        <v>952</v>
      </c>
      <c r="Q372" s="125" t="s">
        <v>972</v>
      </c>
      <c r="R372" s="125" t="s">
        <v>972</v>
      </c>
      <c r="S372" s="125" t="s">
        <v>972</v>
      </c>
      <c r="T372" s="222"/>
      <c r="U372" s="222"/>
      <c r="V372" s="222"/>
      <c r="W372" s="230"/>
      <c r="X372" s="331">
        <f t="shared" si="17"/>
        <v>0</v>
      </c>
      <c r="Y372" s="222"/>
      <c r="Z372" s="272">
        <f t="shared" si="15"/>
        <v>0</v>
      </c>
      <c r="AA372" s="331"/>
      <c r="AB372" s="331"/>
      <c r="AC372" s="331"/>
      <c r="AD372" s="331"/>
      <c r="AE372" s="331"/>
      <c r="AF372" s="331"/>
      <c r="AG372" s="331"/>
      <c r="AH372" s="241">
        <f t="shared" ca="1" si="16"/>
        <v>46153</v>
      </c>
      <c r="AI372" s="272"/>
      <c r="AJ372" s="222"/>
      <c r="AK372" s="222"/>
    </row>
    <row r="373" spans="1:37" ht="23.25" hidden="1" customHeight="1">
      <c r="A373" s="111">
        <v>259</v>
      </c>
      <c r="B373" s="112" t="s">
        <v>1082</v>
      </c>
      <c r="C373" s="113" t="s">
        <v>2791</v>
      </c>
      <c r="D373" s="147" t="s">
        <v>2792</v>
      </c>
      <c r="E373" s="114" t="s">
        <v>2793</v>
      </c>
      <c r="F373" s="115" t="s">
        <v>1910</v>
      </c>
      <c r="G373" s="115" t="s">
        <v>957</v>
      </c>
      <c r="H373" s="116">
        <v>13.756929</v>
      </c>
      <c r="I373" s="116">
        <v>100.52388000000001</v>
      </c>
      <c r="J373" s="116" t="s">
        <v>969</v>
      </c>
      <c r="K373" s="116" t="s">
        <v>970</v>
      </c>
      <c r="L373" s="117" t="s">
        <v>2794</v>
      </c>
      <c r="M373" s="116" t="s">
        <v>1347</v>
      </c>
      <c r="N373" s="121" t="s">
        <v>1050</v>
      </c>
      <c r="O373" s="121" t="s">
        <v>958</v>
      </c>
      <c r="P373" s="117" t="s">
        <v>952</v>
      </c>
      <c r="Q373" s="125" t="s">
        <v>972</v>
      </c>
      <c r="R373" s="125" t="s">
        <v>972</v>
      </c>
      <c r="S373" s="125" t="s">
        <v>972</v>
      </c>
      <c r="T373" s="222"/>
      <c r="U373" s="222"/>
      <c r="V373" s="222"/>
      <c r="W373" s="230"/>
      <c r="X373" s="331">
        <f t="shared" si="17"/>
        <v>0</v>
      </c>
      <c r="Y373" s="222"/>
      <c r="Z373" s="272">
        <f t="shared" si="15"/>
        <v>0</v>
      </c>
      <c r="AA373" s="331"/>
      <c r="AB373" s="331"/>
      <c r="AC373" s="331"/>
      <c r="AD373" s="331"/>
      <c r="AE373" s="331"/>
      <c r="AF373" s="331"/>
      <c r="AG373" s="331"/>
      <c r="AH373" s="241">
        <f t="shared" ca="1" si="16"/>
        <v>46153</v>
      </c>
      <c r="AI373" s="272"/>
      <c r="AJ373" s="222"/>
      <c r="AK373" s="222"/>
    </row>
    <row r="374" spans="1:37" ht="23" hidden="1">
      <c r="A374" s="111">
        <v>430</v>
      </c>
      <c r="B374" s="112">
        <v>15</v>
      </c>
      <c r="C374" s="113" t="s">
        <v>3181</v>
      </c>
      <c r="D374" s="147" t="s">
        <v>3182</v>
      </c>
      <c r="E374" s="114" t="s">
        <v>3183</v>
      </c>
      <c r="F374" s="115" t="s">
        <v>1910</v>
      </c>
      <c r="G374" s="115" t="s">
        <v>983</v>
      </c>
      <c r="H374" s="116">
        <v>13.787672000000001</v>
      </c>
      <c r="I374" s="116">
        <v>100.536137</v>
      </c>
      <c r="J374" s="115" t="s">
        <v>2108</v>
      </c>
      <c r="K374" s="115" t="s">
        <v>2136</v>
      </c>
      <c r="L374" s="117" t="s">
        <v>3184</v>
      </c>
      <c r="M374" s="121" t="s">
        <v>972</v>
      </c>
      <c r="N374" s="121" t="s">
        <v>972</v>
      </c>
      <c r="O374" s="121" t="s">
        <v>958</v>
      </c>
      <c r="P374" s="118" t="s">
        <v>1876</v>
      </c>
      <c r="Q374" s="125" t="s">
        <v>972</v>
      </c>
      <c r="R374" s="125" t="s">
        <v>972</v>
      </c>
      <c r="S374" s="125" t="s">
        <v>972</v>
      </c>
      <c r="T374" s="222"/>
      <c r="U374" s="222"/>
      <c r="V374" s="222"/>
      <c r="W374" s="230"/>
      <c r="X374" s="331">
        <f t="shared" si="17"/>
        <v>0</v>
      </c>
      <c r="Y374" s="222"/>
      <c r="Z374" s="272">
        <f t="shared" si="15"/>
        <v>0</v>
      </c>
      <c r="AA374" s="331"/>
      <c r="AB374" s="331"/>
      <c r="AC374" s="331"/>
      <c r="AD374" s="331"/>
      <c r="AE374" s="331"/>
      <c r="AF374" s="331"/>
      <c r="AG374" s="331"/>
      <c r="AH374" s="241">
        <f t="shared" ca="1" si="16"/>
        <v>46153</v>
      </c>
      <c r="AI374" s="272"/>
      <c r="AJ374" s="222"/>
      <c r="AK374" s="222"/>
    </row>
    <row r="375" spans="1:37" ht="23.25" hidden="1" customHeight="1">
      <c r="A375" s="111">
        <v>432</v>
      </c>
      <c r="B375" s="112" t="s">
        <v>985</v>
      </c>
      <c r="C375" s="113" t="s">
        <v>3189</v>
      </c>
      <c r="D375" s="147" t="s">
        <v>3190</v>
      </c>
      <c r="E375" s="114" t="s">
        <v>3191</v>
      </c>
      <c r="F375" s="115" t="s">
        <v>1910</v>
      </c>
      <c r="G375" s="115" t="s">
        <v>957</v>
      </c>
      <c r="H375" s="116">
        <v>13.763224599999999</v>
      </c>
      <c r="I375" s="116">
        <v>100.5261893</v>
      </c>
      <c r="J375" s="116" t="s">
        <v>969</v>
      </c>
      <c r="K375" s="115" t="s">
        <v>1048</v>
      </c>
      <c r="L375" s="117" t="s">
        <v>3192</v>
      </c>
      <c r="M375" s="117">
        <v>96950743</v>
      </c>
      <c r="N375" s="121" t="s">
        <v>1050</v>
      </c>
      <c r="O375" s="121" t="s">
        <v>958</v>
      </c>
      <c r="P375" s="117" t="s">
        <v>952</v>
      </c>
      <c r="Q375" s="125" t="s">
        <v>972</v>
      </c>
      <c r="R375" s="125" t="s">
        <v>972</v>
      </c>
      <c r="S375" s="125" t="s">
        <v>972</v>
      </c>
      <c r="T375" s="305" t="s">
        <v>5212</v>
      </c>
      <c r="U375" s="305" t="s">
        <v>5117</v>
      </c>
      <c r="V375" s="331">
        <v>45101</v>
      </c>
      <c r="W375" s="326">
        <v>4</v>
      </c>
      <c r="X375" s="331">
        <f t="shared" si="17"/>
        <v>45105</v>
      </c>
      <c r="Y375" s="331">
        <v>45116</v>
      </c>
      <c r="Z375" s="332">
        <f t="shared" si="15"/>
        <v>11</v>
      </c>
      <c r="AA375" s="331"/>
      <c r="AB375" s="331"/>
      <c r="AC375" s="331"/>
      <c r="AD375" s="331"/>
      <c r="AE375" s="331"/>
      <c r="AF375" s="331"/>
      <c r="AG375" s="331"/>
      <c r="AH375" s="331">
        <f t="shared" ca="1" si="16"/>
        <v>46153</v>
      </c>
      <c r="AI375" s="332"/>
      <c r="AJ375" s="312" t="s">
        <v>5143</v>
      </c>
      <c r="AK375" s="312" t="s">
        <v>5149</v>
      </c>
    </row>
    <row r="376" spans="1:37" s="570" customFormat="1" ht="23">
      <c r="A376" s="558">
        <v>464</v>
      </c>
      <c r="B376" s="559">
        <v>4</v>
      </c>
      <c r="C376" s="560" t="s">
        <v>3259</v>
      </c>
      <c r="D376" s="557" t="s">
        <v>3260</v>
      </c>
      <c r="E376" s="561" t="s">
        <v>3261</v>
      </c>
      <c r="F376" s="562" t="s">
        <v>1910</v>
      </c>
      <c r="G376" s="562" t="s">
        <v>983</v>
      </c>
      <c r="H376" s="562">
        <v>13.7871381</v>
      </c>
      <c r="I376" s="562">
        <v>100.5358883</v>
      </c>
      <c r="J376" s="563" t="s">
        <v>2108</v>
      </c>
      <c r="K376" s="563" t="s">
        <v>2136</v>
      </c>
      <c r="L376" s="564" t="s">
        <v>3184</v>
      </c>
      <c r="M376" s="565" t="s">
        <v>972</v>
      </c>
      <c r="N376" s="565" t="s">
        <v>972</v>
      </c>
      <c r="O376" s="565" t="s">
        <v>958</v>
      </c>
      <c r="P376" s="564" t="s">
        <v>952</v>
      </c>
      <c r="Q376" s="125" t="s">
        <v>972</v>
      </c>
      <c r="R376" s="125" t="s">
        <v>972</v>
      </c>
      <c r="S376" s="125" t="s">
        <v>972</v>
      </c>
      <c r="T376" s="566"/>
      <c r="U376" s="566"/>
      <c r="V376" s="566"/>
      <c r="W376" s="567"/>
      <c r="X376" s="568">
        <f t="shared" si="17"/>
        <v>0</v>
      </c>
      <c r="Y376" s="566"/>
      <c r="Z376" s="569">
        <f t="shared" si="15"/>
        <v>0</v>
      </c>
      <c r="AA376" s="568"/>
      <c r="AB376" s="568"/>
      <c r="AC376" s="568"/>
      <c r="AD376" s="568"/>
      <c r="AE376" s="568"/>
      <c r="AF376" s="568"/>
      <c r="AG376" s="568"/>
      <c r="AH376" s="568">
        <f t="shared" ca="1" si="16"/>
        <v>46153</v>
      </c>
      <c r="AI376" s="569"/>
      <c r="AJ376" s="566"/>
      <c r="AK376" s="566"/>
    </row>
    <row r="377" spans="1:37" ht="23" hidden="1">
      <c r="A377" s="111">
        <v>465</v>
      </c>
      <c r="B377" s="112">
        <v>15</v>
      </c>
      <c r="C377" s="113" t="s">
        <v>3262</v>
      </c>
      <c r="D377" s="147" t="s">
        <v>3263</v>
      </c>
      <c r="E377" s="114" t="s">
        <v>3264</v>
      </c>
      <c r="F377" s="115" t="s">
        <v>1910</v>
      </c>
      <c r="G377" s="115" t="s">
        <v>983</v>
      </c>
      <c r="H377" s="116">
        <v>13.786801000000001</v>
      </c>
      <c r="I377" s="116">
        <v>100.535747</v>
      </c>
      <c r="J377" s="116" t="s">
        <v>2108</v>
      </c>
      <c r="K377" s="116" t="s">
        <v>970</v>
      </c>
      <c r="L377" s="117" t="s">
        <v>3265</v>
      </c>
      <c r="M377" s="121" t="s">
        <v>972</v>
      </c>
      <c r="N377" s="121" t="s">
        <v>972</v>
      </c>
      <c r="O377" s="121" t="s">
        <v>958</v>
      </c>
      <c r="P377" s="117" t="s">
        <v>952</v>
      </c>
      <c r="Q377" s="125" t="s">
        <v>972</v>
      </c>
      <c r="R377" s="125" t="s">
        <v>972</v>
      </c>
      <c r="S377" s="125" t="s">
        <v>972</v>
      </c>
      <c r="T377" s="222"/>
      <c r="U377" s="222"/>
      <c r="V377" s="222"/>
      <c r="W377" s="230"/>
      <c r="X377" s="331">
        <f t="shared" si="17"/>
        <v>0</v>
      </c>
      <c r="Y377" s="222"/>
      <c r="Z377" s="272">
        <f t="shared" si="15"/>
        <v>0</v>
      </c>
      <c r="AA377" s="331"/>
      <c r="AB377" s="331"/>
      <c r="AC377" s="331"/>
      <c r="AD377" s="331"/>
      <c r="AE377" s="331"/>
      <c r="AF377" s="331"/>
      <c r="AG377" s="331"/>
      <c r="AH377" s="241">
        <f t="shared" ca="1" si="16"/>
        <v>46153</v>
      </c>
      <c r="AI377" s="272"/>
      <c r="AJ377" s="222"/>
      <c r="AK377" s="222"/>
    </row>
    <row r="378" spans="1:37" ht="23" hidden="1">
      <c r="A378" s="111">
        <v>651</v>
      </c>
      <c r="B378" s="112" t="s">
        <v>1098</v>
      </c>
      <c r="C378" s="122" t="s">
        <v>3749</v>
      </c>
      <c r="D378" s="147" t="s">
        <v>3750</v>
      </c>
      <c r="E378" s="114" t="s">
        <v>3751</v>
      </c>
      <c r="F378" s="115" t="s">
        <v>1910</v>
      </c>
      <c r="G378" s="115" t="s">
        <v>983</v>
      </c>
      <c r="H378" s="115">
        <v>13.794535399999999</v>
      </c>
      <c r="I378" s="115">
        <v>100.5390684</v>
      </c>
      <c r="J378" s="116" t="s">
        <v>969</v>
      </c>
      <c r="K378" s="115" t="s">
        <v>1048</v>
      </c>
      <c r="L378" s="118" t="s">
        <v>3752</v>
      </c>
      <c r="M378" s="117">
        <v>71002839</v>
      </c>
      <c r="N378" s="121" t="s">
        <v>892</v>
      </c>
      <c r="O378" s="121" t="s">
        <v>958</v>
      </c>
      <c r="P378" s="118" t="s">
        <v>952</v>
      </c>
      <c r="Q378" s="125" t="s">
        <v>972</v>
      </c>
      <c r="R378" s="130" t="s">
        <v>972</v>
      </c>
      <c r="S378" s="125" t="s">
        <v>972</v>
      </c>
      <c r="T378" s="222"/>
      <c r="U378" s="222"/>
      <c r="V378" s="222"/>
      <c r="W378" s="230"/>
      <c r="X378" s="331">
        <f t="shared" si="17"/>
        <v>0</v>
      </c>
      <c r="Y378" s="222"/>
      <c r="Z378" s="272">
        <f t="shared" si="15"/>
        <v>0</v>
      </c>
      <c r="AA378" s="331"/>
      <c r="AB378" s="331"/>
      <c r="AC378" s="331"/>
      <c r="AD378" s="331"/>
      <c r="AE378" s="331"/>
      <c r="AF378" s="331"/>
      <c r="AG378" s="331"/>
      <c r="AH378" s="241">
        <f t="shared" ca="1" si="16"/>
        <v>46153</v>
      </c>
      <c r="AI378" s="272"/>
      <c r="AJ378" s="222"/>
      <c r="AK378" s="222"/>
    </row>
    <row r="379" spans="1:37" ht="23" hidden="1">
      <c r="A379" s="111">
        <v>696</v>
      </c>
      <c r="B379" s="112">
        <v>1</v>
      </c>
      <c r="C379" s="113" t="s">
        <v>3832</v>
      </c>
      <c r="D379" s="147" t="s">
        <v>3833</v>
      </c>
      <c r="E379" s="114" t="s">
        <v>3834</v>
      </c>
      <c r="F379" s="115" t="s">
        <v>1910</v>
      </c>
      <c r="G379" s="115" t="s">
        <v>983</v>
      </c>
      <c r="H379" s="116">
        <v>13.792249</v>
      </c>
      <c r="I379" s="116">
        <v>100.53794600000001</v>
      </c>
      <c r="J379" s="115" t="s">
        <v>2108</v>
      </c>
      <c r="K379" s="117" t="s">
        <v>2109</v>
      </c>
      <c r="L379" s="117" t="s">
        <v>2110</v>
      </c>
      <c r="M379" s="121" t="s">
        <v>972</v>
      </c>
      <c r="N379" s="121" t="s">
        <v>972</v>
      </c>
      <c r="O379" s="121" t="s">
        <v>958</v>
      </c>
      <c r="P379" s="117" t="s">
        <v>1876</v>
      </c>
      <c r="Q379" s="125" t="s">
        <v>972</v>
      </c>
      <c r="R379" s="125" t="s">
        <v>972</v>
      </c>
      <c r="S379" s="125" t="s">
        <v>972</v>
      </c>
      <c r="T379" s="222"/>
      <c r="U379" s="222"/>
      <c r="V379" s="222"/>
      <c r="W379" s="230"/>
      <c r="X379" s="331">
        <f t="shared" si="17"/>
        <v>0</v>
      </c>
      <c r="Y379" s="222"/>
      <c r="Z379" s="272">
        <f t="shared" si="15"/>
        <v>0</v>
      </c>
      <c r="AA379" s="331"/>
      <c r="AB379" s="331"/>
      <c r="AC379" s="331"/>
      <c r="AD379" s="331"/>
      <c r="AE379" s="331"/>
      <c r="AF379" s="331"/>
      <c r="AG379" s="331"/>
      <c r="AH379" s="241">
        <f t="shared" ca="1" si="16"/>
        <v>46153</v>
      </c>
      <c r="AI379" s="272"/>
      <c r="AJ379" s="222"/>
      <c r="AK379" s="222"/>
    </row>
    <row r="380" spans="1:37" ht="23" hidden="1">
      <c r="A380" s="111">
        <v>769</v>
      </c>
      <c r="B380" s="112">
        <v>3</v>
      </c>
      <c r="C380" s="122" t="s">
        <v>4004</v>
      </c>
      <c r="D380" s="147" t="s">
        <v>4005</v>
      </c>
      <c r="E380" s="123" t="s">
        <v>4006</v>
      </c>
      <c r="F380" s="115" t="s">
        <v>1910</v>
      </c>
      <c r="G380" s="115" t="s">
        <v>957</v>
      </c>
      <c r="H380" s="116">
        <v>13.767443999999999</v>
      </c>
      <c r="I380" s="116">
        <v>100.52816199999999</v>
      </c>
      <c r="J380" s="116" t="s">
        <v>969</v>
      </c>
      <c r="K380" s="115" t="s">
        <v>1048</v>
      </c>
      <c r="L380" s="118" t="s">
        <v>4007</v>
      </c>
      <c r="M380" s="121">
        <v>97000733</v>
      </c>
      <c r="N380" s="121" t="s">
        <v>1050</v>
      </c>
      <c r="O380" s="121" t="s">
        <v>958</v>
      </c>
      <c r="P380" s="118" t="s">
        <v>952</v>
      </c>
      <c r="Q380" s="125" t="s">
        <v>972</v>
      </c>
      <c r="R380" s="130" t="s">
        <v>972</v>
      </c>
      <c r="S380" s="125" t="s">
        <v>972</v>
      </c>
      <c r="T380" s="222"/>
      <c r="U380" s="222"/>
      <c r="V380" s="222"/>
      <c r="W380" s="230"/>
      <c r="X380" s="331">
        <f t="shared" si="17"/>
        <v>0</v>
      </c>
      <c r="Y380" s="222"/>
      <c r="Z380" s="272">
        <f t="shared" si="15"/>
        <v>0</v>
      </c>
      <c r="AA380" s="331"/>
      <c r="AB380" s="331"/>
      <c r="AC380" s="331"/>
      <c r="AD380" s="331"/>
      <c r="AE380" s="331"/>
      <c r="AF380" s="331"/>
      <c r="AG380" s="331"/>
      <c r="AH380" s="241">
        <f t="shared" ca="1" si="16"/>
        <v>46153</v>
      </c>
      <c r="AI380" s="272"/>
      <c r="AJ380" s="222"/>
      <c r="AK380" s="222"/>
    </row>
    <row r="381" spans="1:37" ht="23" hidden="1">
      <c r="A381" s="111">
        <v>770</v>
      </c>
      <c r="B381" s="112">
        <v>10</v>
      </c>
      <c r="C381" s="113" t="s">
        <v>4008</v>
      </c>
      <c r="D381" s="147" t="s">
        <v>4009</v>
      </c>
      <c r="E381" s="114" t="s">
        <v>4010</v>
      </c>
      <c r="F381" s="115" t="s">
        <v>1910</v>
      </c>
      <c r="G381" s="115" t="s">
        <v>957</v>
      </c>
      <c r="H381" s="116">
        <v>13.767445800000001</v>
      </c>
      <c r="I381" s="116">
        <v>100.5281638</v>
      </c>
      <c r="J381" s="116" t="s">
        <v>969</v>
      </c>
      <c r="K381" s="116" t="s">
        <v>970</v>
      </c>
      <c r="L381" s="117" t="s">
        <v>4011</v>
      </c>
      <c r="M381" s="121">
        <v>97000733</v>
      </c>
      <c r="N381" s="121" t="s">
        <v>1050</v>
      </c>
      <c r="O381" s="121" t="s">
        <v>958</v>
      </c>
      <c r="P381" s="117" t="s">
        <v>952</v>
      </c>
      <c r="Q381" s="125" t="s">
        <v>972</v>
      </c>
      <c r="R381" s="130" t="s">
        <v>972</v>
      </c>
      <c r="S381" s="125" t="s">
        <v>972</v>
      </c>
      <c r="T381" s="222"/>
      <c r="U381" s="222"/>
      <c r="V381" s="222"/>
      <c r="W381" s="230"/>
      <c r="X381" s="331">
        <f t="shared" si="17"/>
        <v>0</v>
      </c>
      <c r="Y381" s="222"/>
      <c r="Z381" s="272">
        <f t="shared" si="15"/>
        <v>0</v>
      </c>
      <c r="AA381" s="331"/>
      <c r="AB381" s="331"/>
      <c r="AC381" s="331"/>
      <c r="AD381" s="331"/>
      <c r="AE381" s="331"/>
      <c r="AF381" s="331"/>
      <c r="AG381" s="331"/>
      <c r="AH381" s="241">
        <f t="shared" ca="1" si="16"/>
        <v>46153</v>
      </c>
      <c r="AI381" s="272"/>
      <c r="AJ381" s="222"/>
      <c r="AK381" s="222"/>
    </row>
    <row r="382" spans="1:37" ht="16.5" hidden="1" customHeight="1">
      <c r="A382" s="111">
        <v>771</v>
      </c>
      <c r="B382" s="112">
        <v>11</v>
      </c>
      <c r="C382" s="113" t="s">
        <v>4012</v>
      </c>
      <c r="D382" s="147" t="s">
        <v>4013</v>
      </c>
      <c r="E382" s="114" t="s">
        <v>4014</v>
      </c>
      <c r="F382" s="115" t="s">
        <v>1910</v>
      </c>
      <c r="G382" s="115" t="s">
        <v>957</v>
      </c>
      <c r="H382" s="116">
        <v>13.770815799999999</v>
      </c>
      <c r="I382" s="116">
        <v>100.5295325</v>
      </c>
      <c r="J382" s="116" t="s">
        <v>969</v>
      </c>
      <c r="K382" s="115" t="s">
        <v>1048</v>
      </c>
      <c r="L382" s="117" t="s">
        <v>4015</v>
      </c>
      <c r="M382" s="117">
        <v>96939878</v>
      </c>
      <c r="N382" s="121" t="s">
        <v>892</v>
      </c>
      <c r="O382" s="121" t="s">
        <v>958</v>
      </c>
      <c r="P382" s="117" t="s">
        <v>1876</v>
      </c>
      <c r="Q382" s="125" t="s">
        <v>972</v>
      </c>
      <c r="R382" s="125" t="s">
        <v>972</v>
      </c>
      <c r="S382" s="125" t="s">
        <v>972</v>
      </c>
      <c r="T382" s="222"/>
      <c r="U382" s="222"/>
      <c r="V382" s="222"/>
      <c r="W382" s="230"/>
      <c r="X382" s="331">
        <f t="shared" si="17"/>
        <v>0</v>
      </c>
      <c r="Y382" s="222"/>
      <c r="Z382" s="272">
        <f t="shared" si="15"/>
        <v>0</v>
      </c>
      <c r="AA382" s="331"/>
      <c r="AB382" s="331"/>
      <c r="AC382" s="331"/>
      <c r="AD382" s="331"/>
      <c r="AE382" s="331"/>
      <c r="AF382" s="331"/>
      <c r="AG382" s="331"/>
      <c r="AH382" s="241">
        <f t="shared" ca="1" si="16"/>
        <v>46153</v>
      </c>
      <c r="AI382" s="272"/>
      <c r="AJ382" s="222"/>
      <c r="AK382" s="222"/>
    </row>
    <row r="383" spans="1:37" ht="23.25" hidden="1" customHeight="1">
      <c r="A383" s="111">
        <v>773</v>
      </c>
      <c r="B383" s="112">
        <v>3</v>
      </c>
      <c r="C383" s="122" t="s">
        <v>4020</v>
      </c>
      <c r="D383" s="147" t="s">
        <v>4021</v>
      </c>
      <c r="E383" s="123" t="s">
        <v>4022</v>
      </c>
      <c r="F383" s="115" t="s">
        <v>1910</v>
      </c>
      <c r="G383" s="115" t="s">
        <v>957</v>
      </c>
      <c r="H383" s="116">
        <v>13.771174800000001</v>
      </c>
      <c r="I383" s="116">
        <v>100.52945080000001</v>
      </c>
      <c r="J383" s="116" t="s">
        <v>969</v>
      </c>
      <c r="K383" s="115" t="s">
        <v>1048</v>
      </c>
      <c r="L383" s="117" t="s">
        <v>4023</v>
      </c>
      <c r="M383" s="121">
        <v>96939879</v>
      </c>
      <c r="N383" s="121" t="s">
        <v>892</v>
      </c>
      <c r="O383" s="121" t="s">
        <v>958</v>
      </c>
      <c r="P383" s="118" t="s">
        <v>952</v>
      </c>
      <c r="Q383" s="125" t="s">
        <v>972</v>
      </c>
      <c r="R383" s="130" t="s">
        <v>972</v>
      </c>
      <c r="S383" s="125" t="s">
        <v>972</v>
      </c>
      <c r="T383" s="222"/>
      <c r="U383" s="222"/>
      <c r="V383" s="222"/>
      <c r="W383" s="230"/>
      <c r="X383" s="331">
        <f t="shared" si="17"/>
        <v>0</v>
      </c>
      <c r="Y383" s="222"/>
      <c r="Z383" s="272">
        <f t="shared" si="15"/>
        <v>0</v>
      </c>
      <c r="AA383" s="331"/>
      <c r="AB383" s="331"/>
      <c r="AC383" s="331"/>
      <c r="AD383" s="331"/>
      <c r="AE383" s="331"/>
      <c r="AF383" s="331"/>
      <c r="AG383" s="331"/>
      <c r="AH383" s="241">
        <f t="shared" ca="1" si="16"/>
        <v>46153</v>
      </c>
      <c r="AI383" s="272"/>
      <c r="AJ383" s="222"/>
      <c r="AK383" s="222"/>
    </row>
    <row r="384" spans="1:37" ht="23" hidden="1">
      <c r="A384" s="111">
        <v>774</v>
      </c>
      <c r="B384" s="112">
        <v>7</v>
      </c>
      <c r="C384" s="113" t="s">
        <v>4024</v>
      </c>
      <c r="D384" s="147" t="s">
        <v>4025</v>
      </c>
      <c r="E384" s="114" t="s">
        <v>4026</v>
      </c>
      <c r="F384" s="115" t="s">
        <v>1910</v>
      </c>
      <c r="G384" s="115" t="s">
        <v>957</v>
      </c>
      <c r="H384" s="116">
        <v>13.764373000000001</v>
      </c>
      <c r="I384" s="116">
        <v>100.52666000000001</v>
      </c>
      <c r="J384" s="116" t="s">
        <v>969</v>
      </c>
      <c r="K384" s="115" t="s">
        <v>1048</v>
      </c>
      <c r="L384" s="117" t="s">
        <v>4027</v>
      </c>
      <c r="M384" s="117">
        <v>96950743</v>
      </c>
      <c r="N384" s="121" t="s">
        <v>1050</v>
      </c>
      <c r="O384" s="121" t="s">
        <v>958</v>
      </c>
      <c r="P384" s="117" t="s">
        <v>952</v>
      </c>
      <c r="Q384" s="125" t="s">
        <v>972</v>
      </c>
      <c r="R384" s="125" t="s">
        <v>972</v>
      </c>
      <c r="S384" s="125" t="s">
        <v>972</v>
      </c>
      <c r="T384" s="222"/>
      <c r="U384" s="222"/>
      <c r="V384" s="222"/>
      <c r="W384" s="230"/>
      <c r="X384" s="331">
        <f t="shared" si="17"/>
        <v>0</v>
      </c>
      <c r="Y384" s="222"/>
      <c r="Z384" s="272">
        <f t="shared" si="15"/>
        <v>0</v>
      </c>
      <c r="AA384" s="331"/>
      <c r="AB384" s="331"/>
      <c r="AC384" s="331"/>
      <c r="AD384" s="331"/>
      <c r="AE384" s="331"/>
      <c r="AF384" s="331"/>
      <c r="AG384" s="331"/>
      <c r="AH384" s="241">
        <f t="shared" ca="1" si="16"/>
        <v>46153</v>
      </c>
      <c r="AI384" s="272"/>
      <c r="AJ384" s="222"/>
      <c r="AK384" s="222"/>
    </row>
    <row r="385" spans="1:37" ht="23" hidden="1">
      <c r="A385" s="111">
        <v>775</v>
      </c>
      <c r="B385" s="112">
        <v>13</v>
      </c>
      <c r="C385" s="113" t="s">
        <v>4028</v>
      </c>
      <c r="D385" s="147" t="s">
        <v>4029</v>
      </c>
      <c r="E385" s="114" t="s">
        <v>4030</v>
      </c>
      <c r="F385" s="115" t="s">
        <v>1910</v>
      </c>
      <c r="G385" s="115" t="s">
        <v>957</v>
      </c>
      <c r="H385" s="116">
        <v>13.763795399999999</v>
      </c>
      <c r="I385" s="116">
        <v>100.5266771</v>
      </c>
      <c r="J385" s="116" t="s">
        <v>969</v>
      </c>
      <c r="K385" s="115" t="s">
        <v>1048</v>
      </c>
      <c r="L385" s="117" t="s">
        <v>4031</v>
      </c>
      <c r="M385" s="117">
        <v>97000734</v>
      </c>
      <c r="N385" s="121" t="s">
        <v>1050</v>
      </c>
      <c r="O385" s="121" t="s">
        <v>958</v>
      </c>
      <c r="P385" s="117" t="s">
        <v>1876</v>
      </c>
      <c r="Q385" s="125" t="s">
        <v>972</v>
      </c>
      <c r="R385" s="130" t="s">
        <v>972</v>
      </c>
      <c r="S385" s="125" t="s">
        <v>972</v>
      </c>
      <c r="T385" s="222"/>
      <c r="U385" s="222"/>
      <c r="V385" s="222"/>
      <c r="W385" s="230"/>
      <c r="X385" s="331">
        <f t="shared" si="17"/>
        <v>0</v>
      </c>
      <c r="Y385" s="222"/>
      <c r="Z385" s="272">
        <f t="shared" si="15"/>
        <v>0</v>
      </c>
      <c r="AA385" s="331"/>
      <c r="AB385" s="331"/>
      <c r="AC385" s="331"/>
      <c r="AD385" s="331"/>
      <c r="AE385" s="331"/>
      <c r="AF385" s="331"/>
      <c r="AG385" s="331"/>
      <c r="AH385" s="241">
        <f t="shared" ca="1" si="16"/>
        <v>46153</v>
      </c>
      <c r="AI385" s="272"/>
      <c r="AJ385" s="222"/>
      <c r="AK385" s="222"/>
    </row>
    <row r="386" spans="1:37" ht="23" hidden="1">
      <c r="A386" s="111">
        <v>776</v>
      </c>
      <c r="B386" s="112">
        <v>14</v>
      </c>
      <c r="C386" s="113" t="s">
        <v>4032</v>
      </c>
      <c r="D386" s="147" t="s">
        <v>4033</v>
      </c>
      <c r="E386" s="123" t="s">
        <v>4034</v>
      </c>
      <c r="F386" s="115" t="s">
        <v>1910</v>
      </c>
      <c r="G386" s="115" t="s">
        <v>957</v>
      </c>
      <c r="H386" s="116">
        <v>13.763237</v>
      </c>
      <c r="I386" s="116">
        <v>100.526444</v>
      </c>
      <c r="J386" s="116" t="s">
        <v>969</v>
      </c>
      <c r="K386" s="115" t="s">
        <v>1048</v>
      </c>
      <c r="L386" s="117" t="s">
        <v>4031</v>
      </c>
      <c r="M386" s="117">
        <v>97000734</v>
      </c>
      <c r="N386" s="121" t="s">
        <v>1050</v>
      </c>
      <c r="O386" s="121" t="s">
        <v>958</v>
      </c>
      <c r="P386" s="118" t="s">
        <v>952</v>
      </c>
      <c r="Q386" s="125" t="s">
        <v>972</v>
      </c>
      <c r="R386" s="125" t="s">
        <v>972</v>
      </c>
      <c r="S386" s="125" t="s">
        <v>972</v>
      </c>
      <c r="T386" s="222"/>
      <c r="U386" s="222"/>
      <c r="V386" s="222"/>
      <c r="W386" s="230"/>
      <c r="X386" s="331">
        <f t="shared" si="17"/>
        <v>0</v>
      </c>
      <c r="Y386" s="222"/>
      <c r="Z386" s="272">
        <f t="shared" si="15"/>
        <v>0</v>
      </c>
      <c r="AA386" s="331"/>
      <c r="AB386" s="331"/>
      <c r="AC386" s="331"/>
      <c r="AD386" s="331"/>
      <c r="AE386" s="331"/>
      <c r="AF386" s="331"/>
      <c r="AG386" s="331"/>
      <c r="AH386" s="241">
        <f t="shared" ca="1" si="16"/>
        <v>46153</v>
      </c>
      <c r="AI386" s="272"/>
      <c r="AJ386" s="222"/>
      <c r="AK386" s="222"/>
    </row>
    <row r="387" spans="1:37" ht="23" hidden="1">
      <c r="A387" s="111">
        <v>778</v>
      </c>
      <c r="B387" s="112">
        <v>1</v>
      </c>
      <c r="C387" s="113" t="s">
        <v>4038</v>
      </c>
      <c r="D387" s="147" t="s">
        <v>4039</v>
      </c>
      <c r="E387" s="114" t="s">
        <v>4040</v>
      </c>
      <c r="F387" s="115" t="s">
        <v>1910</v>
      </c>
      <c r="G387" s="115" t="s">
        <v>957</v>
      </c>
      <c r="H387" s="116">
        <v>13.7640292</v>
      </c>
      <c r="I387" s="116">
        <v>100.52652089999999</v>
      </c>
      <c r="J387" s="116" t="s">
        <v>969</v>
      </c>
      <c r="K387" s="116" t="s">
        <v>970</v>
      </c>
      <c r="L387" s="117" t="s">
        <v>4041</v>
      </c>
      <c r="M387" s="121">
        <v>96950743</v>
      </c>
      <c r="N387" s="121" t="s">
        <v>1050</v>
      </c>
      <c r="O387" s="121" t="s">
        <v>958</v>
      </c>
      <c r="P387" s="117" t="s">
        <v>952</v>
      </c>
      <c r="Q387" s="125" t="s">
        <v>972</v>
      </c>
      <c r="R387" s="130" t="s">
        <v>972</v>
      </c>
      <c r="S387" s="125" t="s">
        <v>972</v>
      </c>
      <c r="T387" s="222"/>
      <c r="U387" s="222"/>
      <c r="V387" s="222"/>
      <c r="W387" s="230"/>
      <c r="X387" s="331">
        <f t="shared" si="17"/>
        <v>0</v>
      </c>
      <c r="Y387" s="222"/>
      <c r="Z387" s="272">
        <f t="shared" ref="Z387:Z450" si="18">DATEDIF(X387,Y387,"d")</f>
        <v>0</v>
      </c>
      <c r="AA387" s="331"/>
      <c r="AB387" s="331"/>
      <c r="AC387" s="331"/>
      <c r="AD387" s="331"/>
      <c r="AE387" s="331"/>
      <c r="AF387" s="331"/>
      <c r="AG387" s="331"/>
      <c r="AH387" s="241">
        <f t="shared" ref="AH387:AH450" ca="1" si="19">TODAY()</f>
        <v>46153</v>
      </c>
      <c r="AI387" s="272"/>
      <c r="AJ387" s="222"/>
      <c r="AK387" s="222"/>
    </row>
    <row r="388" spans="1:37" ht="23" hidden="1">
      <c r="A388" s="111">
        <v>781</v>
      </c>
      <c r="B388" s="112" t="s">
        <v>1022</v>
      </c>
      <c r="C388" s="122" t="s">
        <v>4046</v>
      </c>
      <c r="D388" s="147" t="s">
        <v>4047</v>
      </c>
      <c r="E388" s="123" t="s">
        <v>4048</v>
      </c>
      <c r="F388" s="116" t="s">
        <v>1910</v>
      </c>
      <c r="G388" s="116" t="s">
        <v>957</v>
      </c>
      <c r="H388" s="116">
        <v>13.756664300000001</v>
      </c>
      <c r="I388" s="116">
        <v>100.5237824</v>
      </c>
      <c r="J388" s="116" t="s">
        <v>2097</v>
      </c>
      <c r="K388" s="116" t="s">
        <v>2097</v>
      </c>
      <c r="L388" s="117" t="s">
        <v>2817</v>
      </c>
      <c r="M388" s="116" t="s">
        <v>1347</v>
      </c>
      <c r="N388" s="121" t="s">
        <v>1050</v>
      </c>
      <c r="O388" s="121" t="s">
        <v>958</v>
      </c>
      <c r="P388" s="117" t="s">
        <v>952</v>
      </c>
      <c r="Q388" s="125" t="s">
        <v>972</v>
      </c>
      <c r="R388" s="125" t="s">
        <v>972</v>
      </c>
      <c r="S388" s="130" t="s">
        <v>972</v>
      </c>
      <c r="T388" s="222"/>
      <c r="U388" s="222"/>
      <c r="V388" s="222"/>
      <c r="W388" s="230"/>
      <c r="X388" s="331">
        <f t="shared" ref="X388:X451" si="20">V388+(W388)</f>
        <v>0</v>
      </c>
      <c r="Y388" s="222"/>
      <c r="Z388" s="272">
        <f t="shared" si="18"/>
        <v>0</v>
      </c>
      <c r="AA388" s="331"/>
      <c r="AB388" s="331"/>
      <c r="AC388" s="331"/>
      <c r="AD388" s="331"/>
      <c r="AE388" s="331"/>
      <c r="AF388" s="331"/>
      <c r="AG388" s="331"/>
      <c r="AH388" s="241">
        <f t="shared" ca="1" si="19"/>
        <v>46153</v>
      </c>
      <c r="AI388" s="272"/>
      <c r="AJ388" s="222"/>
      <c r="AK388" s="222"/>
    </row>
    <row r="389" spans="1:37" ht="23" hidden="1">
      <c r="A389" s="111">
        <v>783</v>
      </c>
      <c r="B389" s="112">
        <v>12</v>
      </c>
      <c r="C389" s="113" t="s">
        <v>4053</v>
      </c>
      <c r="D389" s="147" t="s">
        <v>4054</v>
      </c>
      <c r="E389" s="114" t="s">
        <v>4055</v>
      </c>
      <c r="F389" s="115" t="s">
        <v>1910</v>
      </c>
      <c r="G389" s="115" t="s">
        <v>957</v>
      </c>
      <c r="H389" s="116">
        <v>13.760078699999999</v>
      </c>
      <c r="I389" s="116">
        <v>100.5249882</v>
      </c>
      <c r="J389" s="116" t="s">
        <v>969</v>
      </c>
      <c r="K389" s="115" t="s">
        <v>1048</v>
      </c>
      <c r="L389" s="117" t="s">
        <v>4056</v>
      </c>
      <c r="M389" s="117">
        <v>96939886</v>
      </c>
      <c r="N389" s="121" t="s">
        <v>1050</v>
      </c>
      <c r="O389" s="121" t="s">
        <v>958</v>
      </c>
      <c r="P389" s="136" t="s">
        <v>952</v>
      </c>
      <c r="Q389" s="125" t="s">
        <v>972</v>
      </c>
      <c r="R389" s="125" t="s">
        <v>972</v>
      </c>
      <c r="S389" s="125" t="s">
        <v>972</v>
      </c>
      <c r="T389" s="222"/>
      <c r="U389" s="222"/>
      <c r="V389" s="222"/>
      <c r="W389" s="230"/>
      <c r="X389" s="331">
        <f t="shared" si="20"/>
        <v>0</v>
      </c>
      <c r="Y389" s="222"/>
      <c r="Z389" s="272">
        <f t="shared" si="18"/>
        <v>0</v>
      </c>
      <c r="AA389" s="331"/>
      <c r="AB389" s="331"/>
      <c r="AC389" s="331"/>
      <c r="AD389" s="331"/>
      <c r="AE389" s="331"/>
      <c r="AF389" s="331"/>
      <c r="AG389" s="331"/>
      <c r="AH389" s="241">
        <f t="shared" ca="1" si="19"/>
        <v>46153</v>
      </c>
      <c r="AI389" s="272"/>
      <c r="AJ389" s="222"/>
      <c r="AK389" s="222"/>
    </row>
    <row r="390" spans="1:37" ht="23" hidden="1">
      <c r="A390" s="111">
        <v>784</v>
      </c>
      <c r="B390" s="112">
        <v>13</v>
      </c>
      <c r="C390" s="113" t="s">
        <v>4057</v>
      </c>
      <c r="D390" s="147" t="s">
        <v>4058</v>
      </c>
      <c r="E390" s="114" t="s">
        <v>4059</v>
      </c>
      <c r="F390" s="115" t="s">
        <v>1910</v>
      </c>
      <c r="G390" s="115" t="s">
        <v>957</v>
      </c>
      <c r="H390" s="116">
        <v>13.760932</v>
      </c>
      <c r="I390" s="116">
        <v>100.525265</v>
      </c>
      <c r="J390" s="116" t="s">
        <v>969</v>
      </c>
      <c r="K390" s="115" t="s">
        <v>1048</v>
      </c>
      <c r="L390" s="117" t="s">
        <v>4056</v>
      </c>
      <c r="M390" s="117">
        <v>96939886</v>
      </c>
      <c r="N390" s="121" t="s">
        <v>1050</v>
      </c>
      <c r="O390" s="121" t="s">
        <v>958</v>
      </c>
      <c r="P390" s="117" t="s">
        <v>952</v>
      </c>
      <c r="Q390" s="125" t="s">
        <v>972</v>
      </c>
      <c r="R390" s="125" t="s">
        <v>972</v>
      </c>
      <c r="S390" s="125" t="s">
        <v>972</v>
      </c>
      <c r="T390" s="222"/>
      <c r="U390" s="222"/>
      <c r="V390" s="222"/>
      <c r="W390" s="230"/>
      <c r="X390" s="331">
        <f t="shared" si="20"/>
        <v>0</v>
      </c>
      <c r="Y390" s="222"/>
      <c r="Z390" s="272">
        <f t="shared" si="18"/>
        <v>0</v>
      </c>
      <c r="AA390" s="331"/>
      <c r="AB390" s="331"/>
      <c r="AC390" s="331"/>
      <c r="AD390" s="331"/>
      <c r="AE390" s="331"/>
      <c r="AF390" s="331"/>
      <c r="AG390" s="331"/>
      <c r="AH390" s="241">
        <f t="shared" ca="1" si="19"/>
        <v>46153</v>
      </c>
      <c r="AI390" s="272"/>
      <c r="AJ390" s="222"/>
      <c r="AK390" s="222"/>
    </row>
    <row r="391" spans="1:37" ht="23" hidden="1">
      <c r="A391" s="111">
        <v>785</v>
      </c>
      <c r="B391" s="112" t="s">
        <v>979</v>
      </c>
      <c r="C391" s="113" t="s">
        <v>4060</v>
      </c>
      <c r="D391" s="147" t="s">
        <v>4061</v>
      </c>
      <c r="E391" s="114" t="s">
        <v>4062</v>
      </c>
      <c r="F391" s="115" t="s">
        <v>1910</v>
      </c>
      <c r="G391" s="115" t="s">
        <v>957</v>
      </c>
      <c r="H391" s="116">
        <v>13.75961</v>
      </c>
      <c r="I391" s="116">
        <v>100.52494</v>
      </c>
      <c r="J391" s="116" t="s">
        <v>969</v>
      </c>
      <c r="K391" s="115" t="s">
        <v>1048</v>
      </c>
      <c r="L391" s="117" t="s">
        <v>4063</v>
      </c>
      <c r="M391" s="117">
        <v>96959641</v>
      </c>
      <c r="N391" s="121" t="s">
        <v>1050</v>
      </c>
      <c r="O391" s="121" t="s">
        <v>958</v>
      </c>
      <c r="P391" s="118" t="s">
        <v>1876</v>
      </c>
      <c r="Q391" s="125" t="s">
        <v>972</v>
      </c>
      <c r="R391" s="125" t="s">
        <v>972</v>
      </c>
      <c r="S391" s="125" t="s">
        <v>972</v>
      </c>
      <c r="T391" s="222"/>
      <c r="U391" s="222"/>
      <c r="V391" s="222"/>
      <c r="W391" s="230"/>
      <c r="X391" s="331">
        <f t="shared" si="20"/>
        <v>0</v>
      </c>
      <c r="Y391" s="222"/>
      <c r="Z391" s="272">
        <f t="shared" si="18"/>
        <v>0</v>
      </c>
      <c r="AA391" s="331"/>
      <c r="AB391" s="331"/>
      <c r="AC391" s="331"/>
      <c r="AD391" s="331"/>
      <c r="AE391" s="331"/>
      <c r="AF391" s="331"/>
      <c r="AG391" s="331"/>
      <c r="AH391" s="241">
        <f t="shared" ca="1" si="19"/>
        <v>46153</v>
      </c>
      <c r="AI391" s="272"/>
      <c r="AJ391" s="222"/>
      <c r="AK391" s="222"/>
    </row>
    <row r="392" spans="1:37" ht="23" hidden="1">
      <c r="A392" s="111">
        <v>786</v>
      </c>
      <c r="B392" s="112" t="s">
        <v>1818</v>
      </c>
      <c r="C392" s="122" t="s">
        <v>4064</v>
      </c>
      <c r="D392" s="147" t="s">
        <v>4065</v>
      </c>
      <c r="E392" s="114" t="s">
        <v>4066</v>
      </c>
      <c r="F392" s="115" t="s">
        <v>1910</v>
      </c>
      <c r="G392" s="115" t="s">
        <v>957</v>
      </c>
      <c r="H392" s="116">
        <v>13.759714000000001</v>
      </c>
      <c r="I392" s="116">
        <v>100.525024</v>
      </c>
      <c r="J392" s="116" t="s">
        <v>969</v>
      </c>
      <c r="K392" s="115" t="s">
        <v>1048</v>
      </c>
      <c r="L392" s="117" t="s">
        <v>4063</v>
      </c>
      <c r="M392" s="117">
        <v>96959641</v>
      </c>
      <c r="N392" s="121" t="s">
        <v>1050</v>
      </c>
      <c r="O392" s="121" t="s">
        <v>958</v>
      </c>
      <c r="P392" s="118" t="s">
        <v>1876</v>
      </c>
      <c r="Q392" s="125" t="s">
        <v>972</v>
      </c>
      <c r="R392" s="130" t="s">
        <v>972</v>
      </c>
      <c r="S392" s="125" t="s">
        <v>972</v>
      </c>
      <c r="T392" s="222"/>
      <c r="U392" s="222"/>
      <c r="V392" s="222"/>
      <c r="W392" s="230"/>
      <c r="X392" s="331">
        <f t="shared" si="20"/>
        <v>0</v>
      </c>
      <c r="Y392" s="222"/>
      <c r="Z392" s="272">
        <f t="shared" si="18"/>
        <v>0</v>
      </c>
      <c r="AA392" s="331"/>
      <c r="AB392" s="331"/>
      <c r="AC392" s="331"/>
      <c r="AD392" s="331"/>
      <c r="AE392" s="331"/>
      <c r="AF392" s="331"/>
      <c r="AG392" s="331"/>
      <c r="AH392" s="241">
        <f t="shared" ca="1" si="19"/>
        <v>46153</v>
      </c>
      <c r="AI392" s="272"/>
      <c r="AJ392" s="222"/>
      <c r="AK392" s="222"/>
    </row>
    <row r="393" spans="1:37" ht="23" hidden="1">
      <c r="A393" s="111">
        <v>955</v>
      </c>
      <c r="B393" s="112">
        <v>5</v>
      </c>
      <c r="C393" s="122" t="s">
        <v>4509</v>
      </c>
      <c r="D393" s="147" t="s">
        <v>4510</v>
      </c>
      <c r="E393" s="114" t="s">
        <v>4511</v>
      </c>
      <c r="F393" s="115" t="s">
        <v>1910</v>
      </c>
      <c r="G393" s="115" t="s">
        <v>983</v>
      </c>
      <c r="H393" s="115">
        <v>13.7968853</v>
      </c>
      <c r="I393" s="115">
        <v>100.5381723</v>
      </c>
      <c r="J393" s="115" t="s">
        <v>2108</v>
      </c>
      <c r="K393" s="117" t="s">
        <v>2109</v>
      </c>
      <c r="L393" s="117" t="s">
        <v>2110</v>
      </c>
      <c r="M393" s="121" t="s">
        <v>972</v>
      </c>
      <c r="N393" s="121" t="s">
        <v>972</v>
      </c>
      <c r="O393" s="121" t="s">
        <v>958</v>
      </c>
      <c r="P393" s="140" t="s">
        <v>1876</v>
      </c>
      <c r="Q393" s="125" t="s">
        <v>972</v>
      </c>
      <c r="R393" s="125" t="s">
        <v>972</v>
      </c>
      <c r="S393" s="125" t="s">
        <v>972</v>
      </c>
      <c r="T393" s="222"/>
      <c r="U393" s="222"/>
      <c r="V393" s="222"/>
      <c r="W393" s="230"/>
      <c r="X393" s="331">
        <f t="shared" si="20"/>
        <v>0</v>
      </c>
      <c r="Y393" s="222"/>
      <c r="Z393" s="272">
        <f t="shared" si="18"/>
        <v>0</v>
      </c>
      <c r="AA393" s="331"/>
      <c r="AB393" s="331"/>
      <c r="AC393" s="331"/>
      <c r="AD393" s="331"/>
      <c r="AE393" s="331"/>
      <c r="AF393" s="331"/>
      <c r="AG393" s="331"/>
      <c r="AH393" s="241">
        <f t="shared" ca="1" si="19"/>
        <v>46153</v>
      </c>
      <c r="AI393" s="272"/>
      <c r="AJ393" s="222"/>
      <c r="AK393" s="222"/>
    </row>
    <row r="394" spans="1:37" ht="23" hidden="1">
      <c r="A394" s="111">
        <v>971</v>
      </c>
      <c r="B394" s="112">
        <v>8</v>
      </c>
      <c r="C394" s="113" t="s">
        <v>4552</v>
      </c>
      <c r="D394" s="147" t="s">
        <v>4553</v>
      </c>
      <c r="E394" s="114" t="s">
        <v>4554</v>
      </c>
      <c r="F394" s="115" t="s">
        <v>1910</v>
      </c>
      <c r="G394" s="115" t="s">
        <v>983</v>
      </c>
      <c r="H394" s="116">
        <v>13.784704</v>
      </c>
      <c r="I394" s="116">
        <v>100.534919</v>
      </c>
      <c r="J394" s="116" t="s">
        <v>969</v>
      </c>
      <c r="K394" s="115" t="s">
        <v>1048</v>
      </c>
      <c r="L394" s="117" t="s">
        <v>4555</v>
      </c>
      <c r="M394" s="117">
        <v>96964385</v>
      </c>
      <c r="N394" s="121" t="s">
        <v>892</v>
      </c>
      <c r="O394" s="121" t="s">
        <v>958</v>
      </c>
      <c r="P394" s="117" t="s">
        <v>952</v>
      </c>
      <c r="Q394" s="125" t="s">
        <v>972</v>
      </c>
      <c r="R394" s="130" t="s">
        <v>972</v>
      </c>
      <c r="S394" s="125" t="s">
        <v>972</v>
      </c>
      <c r="T394" s="222"/>
      <c r="U394" s="222"/>
      <c r="V394" s="222"/>
      <c r="W394" s="230"/>
      <c r="X394" s="331">
        <f t="shared" si="20"/>
        <v>0</v>
      </c>
      <c r="Y394" s="222"/>
      <c r="Z394" s="272">
        <f t="shared" si="18"/>
        <v>0</v>
      </c>
      <c r="AA394" s="331"/>
      <c r="AB394" s="331"/>
      <c r="AC394" s="331"/>
      <c r="AD394" s="331"/>
      <c r="AE394" s="331"/>
      <c r="AF394" s="331"/>
      <c r="AG394" s="331"/>
      <c r="AH394" s="241">
        <f t="shared" ca="1" si="19"/>
        <v>46153</v>
      </c>
      <c r="AI394" s="272"/>
      <c r="AJ394" s="222"/>
      <c r="AK394" s="222"/>
    </row>
    <row r="395" spans="1:37" ht="23" hidden="1">
      <c r="A395" s="111">
        <v>975</v>
      </c>
      <c r="B395" s="112">
        <v>4</v>
      </c>
      <c r="C395" s="113" t="s">
        <v>4564</v>
      </c>
      <c r="D395" s="147" t="s">
        <v>4565</v>
      </c>
      <c r="E395" s="114" t="s">
        <v>4566</v>
      </c>
      <c r="F395" s="115" t="s">
        <v>1910</v>
      </c>
      <c r="G395" s="115" t="s">
        <v>983</v>
      </c>
      <c r="H395" s="116">
        <v>13.785614000000001</v>
      </c>
      <c r="I395" s="116">
        <v>100.535248</v>
      </c>
      <c r="J395" s="116" t="s">
        <v>969</v>
      </c>
      <c r="K395" s="116" t="s">
        <v>970</v>
      </c>
      <c r="L395" s="117" t="s">
        <v>4567</v>
      </c>
      <c r="M395" s="121">
        <v>96964385</v>
      </c>
      <c r="N395" s="121" t="s">
        <v>892</v>
      </c>
      <c r="O395" s="121" t="s">
        <v>958</v>
      </c>
      <c r="P395" s="117" t="s">
        <v>952</v>
      </c>
      <c r="Q395" s="125" t="s">
        <v>972</v>
      </c>
      <c r="R395" s="130" t="s">
        <v>972</v>
      </c>
      <c r="S395" s="125" t="s">
        <v>972</v>
      </c>
      <c r="T395" s="222"/>
      <c r="U395" s="222"/>
      <c r="V395" s="222"/>
      <c r="W395" s="230"/>
      <c r="X395" s="331">
        <f t="shared" si="20"/>
        <v>0</v>
      </c>
      <c r="Y395" s="222"/>
      <c r="Z395" s="272">
        <f t="shared" si="18"/>
        <v>0</v>
      </c>
      <c r="AA395" s="331"/>
      <c r="AB395" s="331"/>
      <c r="AC395" s="331"/>
      <c r="AD395" s="331"/>
      <c r="AE395" s="331"/>
      <c r="AF395" s="331"/>
      <c r="AG395" s="331"/>
      <c r="AH395" s="241">
        <f t="shared" ca="1" si="19"/>
        <v>46153</v>
      </c>
      <c r="AI395" s="272"/>
      <c r="AJ395" s="222"/>
      <c r="AK395" s="222"/>
    </row>
    <row r="396" spans="1:37" ht="23" hidden="1">
      <c r="A396" s="111">
        <v>997</v>
      </c>
      <c r="B396" s="112">
        <v>16</v>
      </c>
      <c r="C396" s="113" t="s">
        <v>4616</v>
      </c>
      <c r="D396" s="147" t="s">
        <v>4617</v>
      </c>
      <c r="E396" s="114" t="s">
        <v>4618</v>
      </c>
      <c r="F396" s="115" t="s">
        <v>1910</v>
      </c>
      <c r="G396" s="115" t="s">
        <v>957</v>
      </c>
      <c r="H396" s="116">
        <v>13.7652491</v>
      </c>
      <c r="I396" s="116">
        <v>100.5270118</v>
      </c>
      <c r="J396" s="115" t="s">
        <v>2108</v>
      </c>
      <c r="K396" s="117" t="s">
        <v>2109</v>
      </c>
      <c r="L396" s="117" t="s">
        <v>2110</v>
      </c>
      <c r="M396" s="121" t="s">
        <v>972</v>
      </c>
      <c r="N396" s="121" t="s">
        <v>972</v>
      </c>
      <c r="O396" s="121" t="s">
        <v>958</v>
      </c>
      <c r="P396" s="136" t="s">
        <v>1876</v>
      </c>
      <c r="Q396" s="125" t="s">
        <v>972</v>
      </c>
      <c r="R396" s="125" t="s">
        <v>972</v>
      </c>
      <c r="S396" s="125" t="s">
        <v>972</v>
      </c>
      <c r="T396" s="222"/>
      <c r="U396" s="222"/>
      <c r="V396" s="222"/>
      <c r="W396" s="230"/>
      <c r="X396" s="331">
        <f t="shared" si="20"/>
        <v>0</v>
      </c>
      <c r="Y396" s="222"/>
      <c r="Z396" s="272">
        <f t="shared" si="18"/>
        <v>0</v>
      </c>
      <c r="AA396" s="331"/>
      <c r="AB396" s="331"/>
      <c r="AC396" s="331"/>
      <c r="AD396" s="331"/>
      <c r="AE396" s="331"/>
      <c r="AF396" s="331"/>
      <c r="AG396" s="331"/>
      <c r="AH396" s="241">
        <f t="shared" ca="1" si="19"/>
        <v>46153</v>
      </c>
      <c r="AI396" s="272"/>
      <c r="AJ396" s="222"/>
      <c r="AK396" s="222"/>
    </row>
    <row r="397" spans="1:37" ht="23" hidden="1">
      <c r="A397" s="111">
        <v>1030</v>
      </c>
      <c r="B397" s="128" t="s">
        <v>1569</v>
      </c>
      <c r="C397" s="113" t="s">
        <v>4685</v>
      </c>
      <c r="D397" s="147" t="s">
        <v>4686</v>
      </c>
      <c r="E397" s="114" t="s">
        <v>4687</v>
      </c>
      <c r="F397" s="115" t="s">
        <v>1910</v>
      </c>
      <c r="G397" s="115" t="s">
        <v>957</v>
      </c>
      <c r="H397" s="115">
        <v>13.7621275</v>
      </c>
      <c r="I397" s="115">
        <v>100.5260007</v>
      </c>
      <c r="J397" s="116" t="s">
        <v>2097</v>
      </c>
      <c r="K397" s="116" t="s">
        <v>2097</v>
      </c>
      <c r="L397" s="117" t="s">
        <v>4688</v>
      </c>
      <c r="M397" s="116" t="s">
        <v>1347</v>
      </c>
      <c r="N397" s="121" t="s">
        <v>892</v>
      </c>
      <c r="O397" s="121" t="s">
        <v>958</v>
      </c>
      <c r="P397" s="117" t="s">
        <v>952</v>
      </c>
      <c r="Q397" s="125" t="s">
        <v>972</v>
      </c>
      <c r="R397" s="130" t="s">
        <v>972</v>
      </c>
      <c r="S397" s="125" t="s">
        <v>972</v>
      </c>
      <c r="T397" s="222"/>
      <c r="U397" s="222"/>
      <c r="V397" s="222"/>
      <c r="W397" s="230"/>
      <c r="X397" s="331">
        <f t="shared" si="20"/>
        <v>0</v>
      </c>
      <c r="Y397" s="222"/>
      <c r="Z397" s="272">
        <f t="shared" si="18"/>
        <v>0</v>
      </c>
      <c r="AA397" s="331"/>
      <c r="AB397" s="331"/>
      <c r="AC397" s="331"/>
      <c r="AD397" s="331"/>
      <c r="AE397" s="331"/>
      <c r="AF397" s="331"/>
      <c r="AG397" s="331"/>
      <c r="AH397" s="241">
        <f t="shared" ca="1" si="19"/>
        <v>46153</v>
      </c>
      <c r="AI397" s="272"/>
      <c r="AJ397" s="222"/>
      <c r="AK397" s="222"/>
    </row>
    <row r="398" spans="1:37" ht="23" hidden="1">
      <c r="A398" s="111">
        <v>1169</v>
      </c>
      <c r="B398" s="112" t="s">
        <v>1459</v>
      </c>
      <c r="C398" s="113" t="s">
        <v>5043</v>
      </c>
      <c r="D398" s="147" t="s">
        <v>5044</v>
      </c>
      <c r="E398" s="114" t="s">
        <v>5045</v>
      </c>
      <c r="F398" s="115" t="s">
        <v>1910</v>
      </c>
      <c r="G398" s="115" t="s">
        <v>957</v>
      </c>
      <c r="H398" s="116">
        <v>13.763382399999999</v>
      </c>
      <c r="I398" s="116">
        <v>100.526252</v>
      </c>
      <c r="J398" s="116" t="s">
        <v>969</v>
      </c>
      <c r="K398" s="115" t="s">
        <v>1048</v>
      </c>
      <c r="L398" s="117" t="s">
        <v>3192</v>
      </c>
      <c r="M398" s="117">
        <v>96950743</v>
      </c>
      <c r="N398" s="121" t="s">
        <v>1050</v>
      </c>
      <c r="O398" s="121" t="s">
        <v>958</v>
      </c>
      <c r="P398" s="117" t="s">
        <v>952</v>
      </c>
      <c r="Q398" s="125" t="s">
        <v>972</v>
      </c>
      <c r="R398" s="125" t="s">
        <v>972</v>
      </c>
      <c r="S398" s="125" t="s">
        <v>972</v>
      </c>
      <c r="T398" s="222"/>
      <c r="U398" s="222"/>
      <c r="V398" s="222"/>
      <c r="W398" s="230"/>
      <c r="X398" s="331">
        <f t="shared" si="20"/>
        <v>0</v>
      </c>
      <c r="Y398" s="222"/>
      <c r="Z398" s="272">
        <f t="shared" si="18"/>
        <v>0</v>
      </c>
      <c r="AA398" s="331"/>
      <c r="AB398" s="331"/>
      <c r="AC398" s="331"/>
      <c r="AD398" s="331"/>
      <c r="AE398" s="331"/>
      <c r="AF398" s="331"/>
      <c r="AG398" s="331"/>
      <c r="AH398" s="241">
        <f t="shared" ca="1" si="19"/>
        <v>46153</v>
      </c>
      <c r="AI398" s="272"/>
      <c r="AJ398" s="222"/>
      <c r="AK398" s="222"/>
    </row>
    <row r="399" spans="1:37" ht="23.25" hidden="1" customHeight="1">
      <c r="A399" s="111">
        <v>13</v>
      </c>
      <c r="B399" s="112">
        <v>5</v>
      </c>
      <c r="C399" s="113" t="s">
        <v>910</v>
      </c>
      <c r="D399" s="147" t="s">
        <v>911</v>
      </c>
      <c r="E399" s="114" t="s">
        <v>912</v>
      </c>
      <c r="F399" s="115" t="s">
        <v>913</v>
      </c>
      <c r="G399" s="115" t="s">
        <v>901</v>
      </c>
      <c r="H399" s="116">
        <v>13.746105999999999</v>
      </c>
      <c r="I399" s="116">
        <v>100.607653</v>
      </c>
      <c r="J399" s="116" t="s">
        <v>890</v>
      </c>
      <c r="K399" s="117" t="s">
        <v>891</v>
      </c>
      <c r="L399" s="118" t="s">
        <v>891</v>
      </c>
      <c r="M399" s="117">
        <v>96896231</v>
      </c>
      <c r="N399" s="117" t="s">
        <v>892</v>
      </c>
      <c r="O399" s="121" t="s">
        <v>901</v>
      </c>
      <c r="P399" s="118" t="s">
        <v>902</v>
      </c>
      <c r="Q399" s="118">
        <v>80057501</v>
      </c>
      <c r="R399" s="119" t="s">
        <v>895</v>
      </c>
      <c r="S399" s="119" t="s">
        <v>895</v>
      </c>
      <c r="T399" s="222"/>
      <c r="U399" s="222"/>
      <c r="V399" s="222"/>
      <c r="W399" s="230"/>
      <c r="X399" s="331">
        <f t="shared" si="20"/>
        <v>0</v>
      </c>
      <c r="Y399" s="222"/>
      <c r="Z399" s="272">
        <f t="shared" si="18"/>
        <v>0</v>
      </c>
      <c r="AA399" s="331"/>
      <c r="AB399" s="331"/>
      <c r="AC399" s="331"/>
      <c r="AD399" s="331"/>
      <c r="AE399" s="331"/>
      <c r="AF399" s="331"/>
      <c r="AG399" s="331"/>
      <c r="AH399" s="241">
        <f t="shared" ca="1" si="19"/>
        <v>46153</v>
      </c>
      <c r="AI399" s="272"/>
      <c r="AJ399" s="222"/>
      <c r="AK399" s="222"/>
    </row>
    <row r="400" spans="1:37" ht="23.25" hidden="1" customHeight="1">
      <c r="A400" s="111">
        <v>243</v>
      </c>
      <c r="B400" s="112">
        <v>13</v>
      </c>
      <c r="C400" s="113" t="s">
        <v>1160</v>
      </c>
      <c r="D400" s="147" t="s">
        <v>1161</v>
      </c>
      <c r="E400" s="114" t="s">
        <v>1162</v>
      </c>
      <c r="F400" s="115" t="s">
        <v>913</v>
      </c>
      <c r="G400" s="115" t="s">
        <v>936</v>
      </c>
      <c r="H400" s="116">
        <v>13.755557</v>
      </c>
      <c r="I400" s="116">
        <v>100.573812</v>
      </c>
      <c r="J400" s="116" t="s">
        <v>890</v>
      </c>
      <c r="K400" s="117" t="s">
        <v>891</v>
      </c>
      <c r="L400" s="117" t="s">
        <v>891</v>
      </c>
      <c r="M400" s="117">
        <v>96894800</v>
      </c>
      <c r="N400" s="117" t="s">
        <v>892</v>
      </c>
      <c r="O400" s="121" t="s">
        <v>901</v>
      </c>
      <c r="P400" s="117" t="s">
        <v>902</v>
      </c>
      <c r="Q400" s="118">
        <v>80057501</v>
      </c>
      <c r="R400" s="119" t="s">
        <v>895</v>
      </c>
      <c r="S400" s="119" t="s">
        <v>895</v>
      </c>
      <c r="T400" s="222"/>
      <c r="U400" s="222"/>
      <c r="V400" s="222"/>
      <c r="W400" s="230"/>
      <c r="X400" s="331">
        <f t="shared" si="20"/>
        <v>0</v>
      </c>
      <c r="Y400" s="222"/>
      <c r="Z400" s="272">
        <f t="shared" si="18"/>
        <v>0</v>
      </c>
      <c r="AA400" s="331"/>
      <c r="AB400" s="331"/>
      <c r="AC400" s="331"/>
      <c r="AD400" s="331"/>
      <c r="AE400" s="331"/>
      <c r="AF400" s="331"/>
      <c r="AG400" s="331"/>
      <c r="AH400" s="241">
        <f t="shared" ca="1" si="19"/>
        <v>46153</v>
      </c>
      <c r="AI400" s="272"/>
      <c r="AJ400" s="222"/>
      <c r="AK400" s="222"/>
    </row>
    <row r="401" spans="1:37" ht="23.25" hidden="1" customHeight="1">
      <c r="A401" s="111">
        <v>244</v>
      </c>
      <c r="B401" s="112" t="s">
        <v>985</v>
      </c>
      <c r="C401" s="113" t="s">
        <v>1163</v>
      </c>
      <c r="D401" s="147" t="s">
        <v>1164</v>
      </c>
      <c r="E401" s="114" t="s">
        <v>1165</v>
      </c>
      <c r="F401" s="115" t="s">
        <v>913</v>
      </c>
      <c r="G401" s="115" t="s">
        <v>936</v>
      </c>
      <c r="H401" s="116">
        <v>13.755545</v>
      </c>
      <c r="I401" s="116">
        <v>100.574248</v>
      </c>
      <c r="J401" s="116" t="s">
        <v>890</v>
      </c>
      <c r="K401" s="117" t="s">
        <v>891</v>
      </c>
      <c r="L401" s="117" t="s">
        <v>891</v>
      </c>
      <c r="M401" s="117">
        <v>96896052</v>
      </c>
      <c r="N401" s="117" t="s">
        <v>892</v>
      </c>
      <c r="O401" s="121" t="s">
        <v>901</v>
      </c>
      <c r="P401" s="118" t="s">
        <v>902</v>
      </c>
      <c r="Q401" s="118">
        <v>80057501</v>
      </c>
      <c r="R401" s="119" t="s">
        <v>895</v>
      </c>
      <c r="S401" s="119" t="s">
        <v>895</v>
      </c>
      <c r="T401" s="222"/>
      <c r="U401" s="222"/>
      <c r="V401" s="222"/>
      <c r="W401" s="230"/>
      <c r="X401" s="331">
        <f t="shared" si="20"/>
        <v>0</v>
      </c>
      <c r="Y401" s="222"/>
      <c r="Z401" s="272">
        <f t="shared" si="18"/>
        <v>0</v>
      </c>
      <c r="AA401" s="331"/>
      <c r="AB401" s="331"/>
      <c r="AC401" s="331"/>
      <c r="AD401" s="331"/>
      <c r="AE401" s="331"/>
      <c r="AF401" s="331"/>
      <c r="AG401" s="331"/>
      <c r="AH401" s="241">
        <f t="shared" ca="1" si="19"/>
        <v>46153</v>
      </c>
      <c r="AI401" s="272"/>
      <c r="AJ401" s="222"/>
      <c r="AK401" s="222"/>
    </row>
    <row r="402" spans="1:37" ht="23.25" hidden="1" customHeight="1">
      <c r="A402" s="111">
        <v>281</v>
      </c>
      <c r="B402" s="112" t="s">
        <v>1098</v>
      </c>
      <c r="C402" s="113" t="s">
        <v>1199</v>
      </c>
      <c r="D402" s="147" t="s">
        <v>1200</v>
      </c>
      <c r="E402" s="114" t="s">
        <v>1201</v>
      </c>
      <c r="F402" s="115" t="s">
        <v>913</v>
      </c>
      <c r="G402" s="115" t="s">
        <v>1030</v>
      </c>
      <c r="H402" s="116">
        <v>13.7428028</v>
      </c>
      <c r="I402" s="116">
        <v>100.6346376</v>
      </c>
      <c r="J402" s="116" t="s">
        <v>890</v>
      </c>
      <c r="K402" s="117" t="s">
        <v>891</v>
      </c>
      <c r="L402" s="117" t="s">
        <v>891</v>
      </c>
      <c r="M402" s="117">
        <v>96893543</v>
      </c>
      <c r="N402" s="117" t="s">
        <v>892</v>
      </c>
      <c r="O402" s="121" t="s">
        <v>901</v>
      </c>
      <c r="P402" s="117" t="s">
        <v>902</v>
      </c>
      <c r="Q402" s="118">
        <v>80057501</v>
      </c>
      <c r="R402" s="119" t="s">
        <v>895</v>
      </c>
      <c r="S402" s="119" t="s">
        <v>895</v>
      </c>
      <c r="T402" s="222"/>
      <c r="U402" s="222"/>
      <c r="V402" s="222"/>
      <c r="W402" s="230"/>
      <c r="X402" s="331">
        <f t="shared" si="20"/>
        <v>0</v>
      </c>
      <c r="Y402" s="222"/>
      <c r="Z402" s="272">
        <f t="shared" si="18"/>
        <v>0</v>
      </c>
      <c r="AA402" s="331"/>
      <c r="AB402" s="331"/>
      <c r="AC402" s="331"/>
      <c r="AD402" s="331"/>
      <c r="AE402" s="331"/>
      <c r="AF402" s="331"/>
      <c r="AG402" s="331"/>
      <c r="AH402" s="241">
        <f t="shared" ca="1" si="19"/>
        <v>46153</v>
      </c>
      <c r="AI402" s="272"/>
      <c r="AJ402" s="222"/>
      <c r="AK402" s="222"/>
    </row>
    <row r="403" spans="1:37" s="570" customFormat="1" ht="23.25" customHeight="1">
      <c r="A403" s="558">
        <v>308</v>
      </c>
      <c r="B403" s="559">
        <v>2</v>
      </c>
      <c r="C403" s="571" t="s">
        <v>1247</v>
      </c>
      <c r="D403" s="557" t="s">
        <v>1248</v>
      </c>
      <c r="E403" s="572" t="s">
        <v>1249</v>
      </c>
      <c r="F403" s="563" t="s">
        <v>913</v>
      </c>
      <c r="G403" s="563" t="s">
        <v>936</v>
      </c>
      <c r="H403" s="562">
        <v>13.755444000000001</v>
      </c>
      <c r="I403" s="562">
        <v>100.572276</v>
      </c>
      <c r="J403" s="562" t="s">
        <v>890</v>
      </c>
      <c r="K403" s="564" t="s">
        <v>891</v>
      </c>
      <c r="L403" s="564" t="s">
        <v>891</v>
      </c>
      <c r="M403" s="564">
        <v>96894802</v>
      </c>
      <c r="N403" s="564" t="s">
        <v>892</v>
      </c>
      <c r="O403" s="565" t="s">
        <v>901</v>
      </c>
      <c r="P403" s="573" t="s">
        <v>902</v>
      </c>
      <c r="Q403" s="118">
        <v>80057501</v>
      </c>
      <c r="R403" s="119" t="s">
        <v>895</v>
      </c>
      <c r="S403" s="119" t="s">
        <v>895</v>
      </c>
      <c r="T403" s="578" t="s">
        <v>5212</v>
      </c>
      <c r="U403" s="578" t="s">
        <v>5205</v>
      </c>
      <c r="V403" s="579">
        <v>45007</v>
      </c>
      <c r="W403" s="567">
        <v>4</v>
      </c>
      <c r="X403" s="568">
        <f t="shared" si="20"/>
        <v>45011</v>
      </c>
      <c r="Y403" s="579">
        <v>45010</v>
      </c>
      <c r="Z403" s="569" t="e">
        <f t="shared" si="18"/>
        <v>#NUM!</v>
      </c>
      <c r="AA403" s="568"/>
      <c r="AB403" s="568"/>
      <c r="AC403" s="568"/>
      <c r="AD403" s="568"/>
      <c r="AE403" s="568"/>
      <c r="AF403" s="568"/>
      <c r="AG403" s="568"/>
      <c r="AH403" s="579">
        <f t="shared" ca="1" si="19"/>
        <v>46153</v>
      </c>
      <c r="AI403" s="580"/>
      <c r="AJ403" s="578" t="s">
        <v>5143</v>
      </c>
      <c r="AK403" s="578" t="s">
        <v>5149</v>
      </c>
    </row>
    <row r="404" spans="1:37" ht="23.25" hidden="1" customHeight="1">
      <c r="A404" s="111">
        <v>449</v>
      </c>
      <c r="B404" s="128" t="s">
        <v>1086</v>
      </c>
      <c r="C404" s="113" t="s">
        <v>1411</v>
      </c>
      <c r="D404" s="147" t="s">
        <v>1412</v>
      </c>
      <c r="E404" s="114" t="s">
        <v>1413</v>
      </c>
      <c r="F404" s="115" t="s">
        <v>913</v>
      </c>
      <c r="G404" s="115" t="s">
        <v>936</v>
      </c>
      <c r="H404" s="116">
        <v>13.754837</v>
      </c>
      <c r="I404" s="116">
        <v>100.579852</v>
      </c>
      <c r="J404" s="116" t="s">
        <v>890</v>
      </c>
      <c r="K404" s="117" t="s">
        <v>891</v>
      </c>
      <c r="L404" s="118" t="s">
        <v>891</v>
      </c>
      <c r="M404" s="117">
        <v>96895433</v>
      </c>
      <c r="N404" s="117" t="s">
        <v>892</v>
      </c>
      <c r="O404" s="121" t="s">
        <v>901</v>
      </c>
      <c r="P404" s="118" t="s">
        <v>902</v>
      </c>
      <c r="Q404" s="118">
        <v>80057501</v>
      </c>
      <c r="R404" s="119" t="s">
        <v>895</v>
      </c>
      <c r="S404" s="119" t="s">
        <v>895</v>
      </c>
      <c r="T404" s="222"/>
      <c r="U404" s="222"/>
      <c r="V404" s="222"/>
      <c r="W404" s="230"/>
      <c r="X404" s="331">
        <f t="shared" si="20"/>
        <v>0</v>
      </c>
      <c r="Y404" s="222"/>
      <c r="Z404" s="272">
        <f t="shared" si="18"/>
        <v>0</v>
      </c>
      <c r="AA404" s="331"/>
      <c r="AB404" s="331"/>
      <c r="AC404" s="331"/>
      <c r="AD404" s="331"/>
      <c r="AE404" s="331"/>
      <c r="AF404" s="331"/>
      <c r="AG404" s="331"/>
      <c r="AH404" s="241">
        <f t="shared" ca="1" si="19"/>
        <v>46153</v>
      </c>
      <c r="AI404" s="272"/>
      <c r="AJ404" s="222"/>
      <c r="AK404" s="222"/>
    </row>
    <row r="405" spans="1:37" ht="23.25" hidden="1" customHeight="1">
      <c r="A405" s="111">
        <v>694</v>
      </c>
      <c r="B405" s="128" t="s">
        <v>1155</v>
      </c>
      <c r="C405" s="113" t="s">
        <v>1666</v>
      </c>
      <c r="D405" s="147" t="s">
        <v>1667</v>
      </c>
      <c r="E405" s="114" t="s">
        <v>1668</v>
      </c>
      <c r="F405" s="115" t="s">
        <v>913</v>
      </c>
      <c r="G405" s="115" t="s">
        <v>1030</v>
      </c>
      <c r="H405" s="116">
        <v>13.741036100000001</v>
      </c>
      <c r="I405" s="116">
        <v>100.6263762</v>
      </c>
      <c r="J405" s="116" t="s">
        <v>890</v>
      </c>
      <c r="K405" s="117" t="s">
        <v>891</v>
      </c>
      <c r="L405" s="118" t="s">
        <v>891</v>
      </c>
      <c r="M405" s="117">
        <v>96894537</v>
      </c>
      <c r="N405" s="117" t="s">
        <v>892</v>
      </c>
      <c r="O405" s="121" t="s">
        <v>901</v>
      </c>
      <c r="P405" s="140" t="s">
        <v>902</v>
      </c>
      <c r="Q405" s="118">
        <v>80057501</v>
      </c>
      <c r="R405" s="138" t="s">
        <v>895</v>
      </c>
      <c r="S405" s="119" t="s">
        <v>895</v>
      </c>
      <c r="T405" s="222"/>
      <c r="U405" s="222"/>
      <c r="V405" s="222"/>
      <c r="W405" s="230"/>
      <c r="X405" s="331">
        <f t="shared" si="20"/>
        <v>0</v>
      </c>
      <c r="Y405" s="222"/>
      <c r="Z405" s="272">
        <f t="shared" si="18"/>
        <v>0</v>
      </c>
      <c r="AA405" s="331"/>
      <c r="AB405" s="331"/>
      <c r="AC405" s="331"/>
      <c r="AD405" s="331"/>
      <c r="AE405" s="331"/>
      <c r="AF405" s="331"/>
      <c r="AG405" s="331"/>
      <c r="AH405" s="241">
        <f t="shared" ca="1" si="19"/>
        <v>46153</v>
      </c>
      <c r="AI405" s="272"/>
      <c r="AJ405" s="222"/>
      <c r="AK405" s="222"/>
    </row>
    <row r="406" spans="1:37" ht="23" hidden="1">
      <c r="A406" s="111">
        <v>1011</v>
      </c>
      <c r="B406" s="112" t="s">
        <v>1114</v>
      </c>
      <c r="C406" s="113" t="s">
        <v>1957</v>
      </c>
      <c r="D406" s="147" t="s">
        <v>1958</v>
      </c>
      <c r="E406" s="114" t="s">
        <v>1959</v>
      </c>
      <c r="F406" s="115" t="s">
        <v>913</v>
      </c>
      <c r="G406" s="115" t="s">
        <v>901</v>
      </c>
      <c r="H406" s="116">
        <v>13.7477272</v>
      </c>
      <c r="I406" s="116">
        <v>100.6051717</v>
      </c>
      <c r="J406" s="116" t="s">
        <v>890</v>
      </c>
      <c r="K406" s="117" t="s">
        <v>891</v>
      </c>
      <c r="L406" s="117" t="s">
        <v>891</v>
      </c>
      <c r="M406" s="117">
        <v>96888732</v>
      </c>
      <c r="N406" s="117" t="s">
        <v>892</v>
      </c>
      <c r="O406" s="121" t="s">
        <v>901</v>
      </c>
      <c r="P406" s="117" t="s">
        <v>902</v>
      </c>
      <c r="Q406" s="118">
        <v>80057501</v>
      </c>
      <c r="R406" s="119" t="s">
        <v>895</v>
      </c>
      <c r="S406" s="119" t="s">
        <v>895</v>
      </c>
      <c r="T406" s="222"/>
      <c r="U406" s="222"/>
      <c r="V406" s="222"/>
      <c r="W406" s="230"/>
      <c r="X406" s="331">
        <f t="shared" si="20"/>
        <v>0</v>
      </c>
      <c r="Y406" s="222"/>
      <c r="Z406" s="272">
        <f t="shared" si="18"/>
        <v>0</v>
      </c>
      <c r="AA406" s="331"/>
      <c r="AB406" s="331"/>
      <c r="AC406" s="331"/>
      <c r="AD406" s="331"/>
      <c r="AE406" s="331"/>
      <c r="AF406" s="331"/>
      <c r="AG406" s="331"/>
      <c r="AH406" s="241">
        <f t="shared" ca="1" si="19"/>
        <v>46153</v>
      </c>
      <c r="AI406" s="272"/>
      <c r="AJ406" s="222"/>
      <c r="AK406" s="222"/>
    </row>
    <row r="407" spans="1:37" ht="23.25" hidden="1" customHeight="1">
      <c r="A407" s="111">
        <v>1159</v>
      </c>
      <c r="B407" s="112">
        <v>13</v>
      </c>
      <c r="C407" s="113" t="s">
        <v>2075</v>
      </c>
      <c r="D407" s="147" t="s">
        <v>2076</v>
      </c>
      <c r="E407" s="114" t="s">
        <v>2077</v>
      </c>
      <c r="F407" s="115" t="s">
        <v>913</v>
      </c>
      <c r="G407" s="115" t="s">
        <v>936</v>
      </c>
      <c r="H407" s="116">
        <v>13.752639</v>
      </c>
      <c r="I407" s="116">
        <v>100.589399</v>
      </c>
      <c r="J407" s="116" t="s">
        <v>890</v>
      </c>
      <c r="K407" s="117" t="s">
        <v>891</v>
      </c>
      <c r="L407" s="117" t="s">
        <v>891</v>
      </c>
      <c r="M407" s="117">
        <v>96896751</v>
      </c>
      <c r="N407" s="117" t="s">
        <v>892</v>
      </c>
      <c r="O407" s="121" t="s">
        <v>901</v>
      </c>
      <c r="P407" s="136" t="s">
        <v>902</v>
      </c>
      <c r="Q407" s="118">
        <v>80057501</v>
      </c>
      <c r="R407" s="119" t="s">
        <v>895</v>
      </c>
      <c r="S407" s="119" t="s">
        <v>895</v>
      </c>
      <c r="T407" s="222"/>
      <c r="U407" s="222"/>
      <c r="V407" s="222"/>
      <c r="W407" s="230"/>
      <c r="X407" s="331">
        <f t="shared" si="20"/>
        <v>0</v>
      </c>
      <c r="Y407" s="222"/>
      <c r="Z407" s="272">
        <f t="shared" si="18"/>
        <v>0</v>
      </c>
      <c r="AA407" s="331"/>
      <c r="AB407" s="331"/>
      <c r="AC407" s="331"/>
      <c r="AD407" s="331"/>
      <c r="AE407" s="331"/>
      <c r="AF407" s="331"/>
      <c r="AG407" s="331"/>
      <c r="AH407" s="241">
        <f t="shared" ca="1" si="19"/>
        <v>46153</v>
      </c>
      <c r="AI407" s="272"/>
      <c r="AJ407" s="222"/>
      <c r="AK407" s="222"/>
    </row>
    <row r="408" spans="1:37" ht="23" hidden="1">
      <c r="A408" s="111">
        <v>1160</v>
      </c>
      <c r="B408" s="112">
        <v>2</v>
      </c>
      <c r="C408" s="113" t="s">
        <v>2078</v>
      </c>
      <c r="D408" s="147" t="s">
        <v>2079</v>
      </c>
      <c r="E408" s="114" t="s">
        <v>2080</v>
      </c>
      <c r="F408" s="115" t="s">
        <v>913</v>
      </c>
      <c r="G408" s="115" t="s">
        <v>936</v>
      </c>
      <c r="H408" s="116">
        <v>13.7527083</v>
      </c>
      <c r="I408" s="116">
        <v>100.58922219999999</v>
      </c>
      <c r="J408" s="116" t="s">
        <v>969</v>
      </c>
      <c r="K408" s="115" t="s">
        <v>2081</v>
      </c>
      <c r="L408" s="117" t="s">
        <v>2082</v>
      </c>
      <c r="M408" s="117">
        <v>96896751</v>
      </c>
      <c r="N408" s="121" t="s">
        <v>892</v>
      </c>
      <c r="O408" s="121" t="s">
        <v>901</v>
      </c>
      <c r="P408" s="117" t="s">
        <v>902</v>
      </c>
      <c r="Q408" s="125" t="s">
        <v>972</v>
      </c>
      <c r="R408" s="125" t="s">
        <v>972</v>
      </c>
      <c r="S408" s="125" t="s">
        <v>972</v>
      </c>
      <c r="T408" s="222"/>
      <c r="U408" s="222"/>
      <c r="V408" s="222"/>
      <c r="W408" s="230"/>
      <c r="X408" s="331">
        <f t="shared" si="20"/>
        <v>0</v>
      </c>
      <c r="Y408" s="222"/>
      <c r="Z408" s="272">
        <f t="shared" si="18"/>
        <v>0</v>
      </c>
      <c r="AA408" s="331"/>
      <c r="AB408" s="331"/>
      <c r="AC408" s="331"/>
      <c r="AD408" s="331"/>
      <c r="AE408" s="331"/>
      <c r="AF408" s="331"/>
      <c r="AG408" s="331"/>
      <c r="AH408" s="241">
        <f t="shared" ca="1" si="19"/>
        <v>46153</v>
      </c>
      <c r="AI408" s="272"/>
      <c r="AJ408" s="222"/>
      <c r="AK408" s="222"/>
    </row>
    <row r="409" spans="1:37" ht="23" hidden="1">
      <c r="A409" s="111">
        <v>11</v>
      </c>
      <c r="B409" s="112">
        <v>1</v>
      </c>
      <c r="C409" s="113" t="s">
        <v>2115</v>
      </c>
      <c r="D409" s="147" t="s">
        <v>2116</v>
      </c>
      <c r="E409" s="114" t="s">
        <v>2117</v>
      </c>
      <c r="F409" s="115" t="s">
        <v>913</v>
      </c>
      <c r="G409" s="115" t="s">
        <v>1030</v>
      </c>
      <c r="H409" s="116">
        <v>13.742590999999999</v>
      </c>
      <c r="I409" s="116">
        <v>100.634523</v>
      </c>
      <c r="J409" s="115" t="s">
        <v>2108</v>
      </c>
      <c r="K409" s="117" t="s">
        <v>2109</v>
      </c>
      <c r="L409" s="117" t="s">
        <v>2110</v>
      </c>
      <c r="M409" s="121" t="s">
        <v>972</v>
      </c>
      <c r="N409" s="121" t="s">
        <v>972</v>
      </c>
      <c r="O409" s="121" t="s">
        <v>901</v>
      </c>
      <c r="P409" s="117" t="s">
        <v>902</v>
      </c>
      <c r="Q409" s="125" t="s">
        <v>972</v>
      </c>
      <c r="R409" s="125" t="s">
        <v>972</v>
      </c>
      <c r="S409" s="125" t="s">
        <v>972</v>
      </c>
      <c r="T409" s="222"/>
      <c r="U409" s="222"/>
      <c r="V409" s="222"/>
      <c r="W409" s="230"/>
      <c r="X409" s="331">
        <f t="shared" si="20"/>
        <v>0</v>
      </c>
      <c r="Y409" s="222"/>
      <c r="Z409" s="272">
        <f t="shared" si="18"/>
        <v>0</v>
      </c>
      <c r="AA409" s="331"/>
      <c r="AB409" s="331"/>
      <c r="AC409" s="331"/>
      <c r="AD409" s="331"/>
      <c r="AE409" s="331"/>
      <c r="AF409" s="331"/>
      <c r="AG409" s="331"/>
      <c r="AH409" s="241">
        <f t="shared" ca="1" si="19"/>
        <v>46153</v>
      </c>
      <c r="AI409" s="272"/>
      <c r="AJ409" s="222"/>
      <c r="AK409" s="222"/>
    </row>
    <row r="410" spans="1:37" ht="23" hidden="1">
      <c r="A410" s="111">
        <v>12</v>
      </c>
      <c r="B410" s="112">
        <v>8</v>
      </c>
      <c r="C410" s="113" t="s">
        <v>2118</v>
      </c>
      <c r="D410" s="147" t="s">
        <v>2119</v>
      </c>
      <c r="E410" s="114" t="s">
        <v>2120</v>
      </c>
      <c r="F410" s="115" t="s">
        <v>913</v>
      </c>
      <c r="G410" s="115" t="s">
        <v>901</v>
      </c>
      <c r="H410" s="116">
        <v>13.745195000000001</v>
      </c>
      <c r="I410" s="116">
        <v>100.60903999999999</v>
      </c>
      <c r="J410" s="115" t="s">
        <v>2108</v>
      </c>
      <c r="K410" s="117" t="s">
        <v>2109</v>
      </c>
      <c r="L410" s="117" t="s">
        <v>2110</v>
      </c>
      <c r="M410" s="121" t="s">
        <v>972</v>
      </c>
      <c r="N410" s="121" t="s">
        <v>972</v>
      </c>
      <c r="O410" s="121" t="s">
        <v>901</v>
      </c>
      <c r="P410" s="136" t="s">
        <v>1876</v>
      </c>
      <c r="Q410" s="125" t="s">
        <v>972</v>
      </c>
      <c r="R410" s="130" t="s">
        <v>972</v>
      </c>
      <c r="S410" s="125" t="s">
        <v>972</v>
      </c>
      <c r="T410" s="222"/>
      <c r="U410" s="222"/>
      <c r="V410" s="222"/>
      <c r="W410" s="230"/>
      <c r="X410" s="331">
        <f t="shared" si="20"/>
        <v>0</v>
      </c>
      <c r="Y410" s="222"/>
      <c r="Z410" s="272">
        <f t="shared" si="18"/>
        <v>0</v>
      </c>
      <c r="AA410" s="331"/>
      <c r="AB410" s="331"/>
      <c r="AC410" s="331"/>
      <c r="AD410" s="331"/>
      <c r="AE410" s="331"/>
      <c r="AF410" s="331"/>
      <c r="AG410" s="331"/>
      <c r="AH410" s="241">
        <f t="shared" ca="1" si="19"/>
        <v>46153</v>
      </c>
      <c r="AI410" s="272"/>
      <c r="AJ410" s="222"/>
      <c r="AK410" s="222"/>
    </row>
    <row r="411" spans="1:37" ht="23" hidden="1">
      <c r="A411" s="111">
        <v>169</v>
      </c>
      <c r="B411" s="112" t="s">
        <v>1098</v>
      </c>
      <c r="C411" s="113" t="s">
        <v>2539</v>
      </c>
      <c r="D411" s="147" t="s">
        <v>2540</v>
      </c>
      <c r="E411" s="114" t="s">
        <v>2541</v>
      </c>
      <c r="F411" s="115" t="s">
        <v>913</v>
      </c>
      <c r="G411" s="115" t="s">
        <v>1030</v>
      </c>
      <c r="H411" s="116">
        <v>13.741008900000001</v>
      </c>
      <c r="I411" s="116">
        <v>100.6271983</v>
      </c>
      <c r="J411" s="115" t="s">
        <v>2108</v>
      </c>
      <c r="K411" s="117" t="s">
        <v>2109</v>
      </c>
      <c r="L411" s="117" t="s">
        <v>2110</v>
      </c>
      <c r="M411" s="121" t="s">
        <v>972</v>
      </c>
      <c r="N411" s="121" t="s">
        <v>972</v>
      </c>
      <c r="O411" s="121" t="s">
        <v>901</v>
      </c>
      <c r="P411" s="117" t="s">
        <v>902</v>
      </c>
      <c r="Q411" s="125" t="s">
        <v>972</v>
      </c>
      <c r="R411" s="125" t="s">
        <v>972</v>
      </c>
      <c r="S411" s="125" t="s">
        <v>972</v>
      </c>
      <c r="T411" s="222"/>
      <c r="U411" s="222"/>
      <c r="V411" s="222"/>
      <c r="W411" s="230"/>
      <c r="X411" s="331">
        <f t="shared" si="20"/>
        <v>0</v>
      </c>
      <c r="Y411" s="222"/>
      <c r="Z411" s="272">
        <f t="shared" si="18"/>
        <v>0</v>
      </c>
      <c r="AA411" s="331"/>
      <c r="AB411" s="331"/>
      <c r="AC411" s="331"/>
      <c r="AD411" s="331"/>
      <c r="AE411" s="331"/>
      <c r="AF411" s="331"/>
      <c r="AG411" s="331"/>
      <c r="AH411" s="241">
        <f t="shared" ca="1" si="19"/>
        <v>46153</v>
      </c>
      <c r="AI411" s="272"/>
      <c r="AJ411" s="222"/>
      <c r="AK411" s="222"/>
    </row>
    <row r="412" spans="1:37" ht="23" hidden="1">
      <c r="A412" s="111">
        <v>170</v>
      </c>
      <c r="B412" s="112">
        <v>1</v>
      </c>
      <c r="C412" s="113" t="s">
        <v>2542</v>
      </c>
      <c r="D412" s="147" t="s">
        <v>2543</v>
      </c>
      <c r="E412" s="114" t="s">
        <v>2544</v>
      </c>
      <c r="F412" s="115" t="s">
        <v>913</v>
      </c>
      <c r="G412" s="115" t="s">
        <v>1030</v>
      </c>
      <c r="H412" s="116">
        <v>13.742096</v>
      </c>
      <c r="I412" s="116">
        <v>100.632238</v>
      </c>
      <c r="J412" s="115" t="s">
        <v>2108</v>
      </c>
      <c r="K412" s="117" t="s">
        <v>2109</v>
      </c>
      <c r="L412" s="117" t="s">
        <v>2110</v>
      </c>
      <c r="M412" s="121" t="s">
        <v>972</v>
      </c>
      <c r="N412" s="121" t="s">
        <v>972</v>
      </c>
      <c r="O412" s="121" t="s">
        <v>901</v>
      </c>
      <c r="P412" s="117" t="s">
        <v>1876</v>
      </c>
      <c r="Q412" s="125" t="s">
        <v>972</v>
      </c>
      <c r="R412" s="130" t="s">
        <v>972</v>
      </c>
      <c r="S412" s="125" t="s">
        <v>972</v>
      </c>
      <c r="T412" s="222"/>
      <c r="U412" s="222"/>
      <c r="V412" s="222"/>
      <c r="W412" s="230"/>
      <c r="X412" s="331">
        <f t="shared" si="20"/>
        <v>0</v>
      </c>
      <c r="Y412" s="222"/>
      <c r="Z412" s="272">
        <f t="shared" si="18"/>
        <v>0</v>
      </c>
      <c r="AA412" s="331"/>
      <c r="AB412" s="331"/>
      <c r="AC412" s="331"/>
      <c r="AD412" s="331"/>
      <c r="AE412" s="331"/>
      <c r="AF412" s="331"/>
      <c r="AG412" s="331"/>
      <c r="AH412" s="241">
        <f t="shared" ca="1" si="19"/>
        <v>46153</v>
      </c>
      <c r="AI412" s="272"/>
      <c r="AJ412" s="222"/>
      <c r="AK412" s="222"/>
    </row>
    <row r="413" spans="1:37" ht="23" hidden="1">
      <c r="A413" s="111">
        <v>174</v>
      </c>
      <c r="B413" s="112">
        <v>1</v>
      </c>
      <c r="C413" s="113" t="s">
        <v>2556</v>
      </c>
      <c r="D413" s="147" t="s">
        <v>2557</v>
      </c>
      <c r="E413" s="114" t="s">
        <v>2558</v>
      </c>
      <c r="F413" s="115" t="s">
        <v>913</v>
      </c>
      <c r="G413" s="115" t="s">
        <v>1030</v>
      </c>
      <c r="H413" s="116">
        <v>13.7419732</v>
      </c>
      <c r="I413" s="116">
        <v>100.63056090000001</v>
      </c>
      <c r="J413" s="115" t="s">
        <v>2108</v>
      </c>
      <c r="K413" s="117" t="s">
        <v>2109</v>
      </c>
      <c r="L413" s="117" t="s">
        <v>2110</v>
      </c>
      <c r="M413" s="121" t="s">
        <v>972</v>
      </c>
      <c r="N413" s="121" t="s">
        <v>972</v>
      </c>
      <c r="O413" s="121" t="s">
        <v>901</v>
      </c>
      <c r="P413" s="117" t="s">
        <v>1876</v>
      </c>
      <c r="Q413" s="125" t="s">
        <v>972</v>
      </c>
      <c r="R413" s="125" t="s">
        <v>972</v>
      </c>
      <c r="S413" s="125" t="s">
        <v>972</v>
      </c>
      <c r="T413" s="222"/>
      <c r="U413" s="222"/>
      <c r="V413" s="222"/>
      <c r="W413" s="230"/>
      <c r="X413" s="331">
        <f t="shared" si="20"/>
        <v>0</v>
      </c>
      <c r="Y413" s="222"/>
      <c r="Z413" s="272">
        <f t="shared" si="18"/>
        <v>0</v>
      </c>
      <c r="AA413" s="331"/>
      <c r="AB413" s="331"/>
      <c r="AC413" s="331"/>
      <c r="AD413" s="331"/>
      <c r="AE413" s="331"/>
      <c r="AF413" s="331"/>
      <c r="AG413" s="331"/>
      <c r="AH413" s="241">
        <f t="shared" ca="1" si="19"/>
        <v>46153</v>
      </c>
      <c r="AI413" s="272"/>
      <c r="AJ413" s="222"/>
      <c r="AK413" s="222"/>
    </row>
    <row r="414" spans="1:37" ht="23.25" hidden="1" customHeight="1">
      <c r="A414" s="111">
        <v>178</v>
      </c>
      <c r="B414" s="112">
        <v>2</v>
      </c>
      <c r="C414" s="113" t="s">
        <v>2572</v>
      </c>
      <c r="D414" s="147" t="s">
        <v>2573</v>
      </c>
      <c r="E414" s="114" t="s">
        <v>2574</v>
      </c>
      <c r="F414" s="115" t="s">
        <v>913</v>
      </c>
      <c r="G414" s="115" t="s">
        <v>901</v>
      </c>
      <c r="H414" s="116">
        <v>13.746720399999999</v>
      </c>
      <c r="I414" s="116">
        <v>100.6071456</v>
      </c>
      <c r="J414" s="116" t="s">
        <v>2097</v>
      </c>
      <c r="K414" s="116" t="s">
        <v>2097</v>
      </c>
      <c r="L414" s="117" t="s">
        <v>2575</v>
      </c>
      <c r="M414" s="121" t="s">
        <v>972</v>
      </c>
      <c r="N414" s="121" t="s">
        <v>892</v>
      </c>
      <c r="O414" s="121" t="s">
        <v>901</v>
      </c>
      <c r="P414" s="136" t="s">
        <v>902</v>
      </c>
      <c r="Q414" s="125" t="s">
        <v>972</v>
      </c>
      <c r="R414" s="125" t="s">
        <v>972</v>
      </c>
      <c r="S414" s="125" t="s">
        <v>972</v>
      </c>
      <c r="T414" s="222"/>
      <c r="U414" s="222"/>
      <c r="V414" s="222"/>
      <c r="W414" s="230"/>
      <c r="X414" s="331">
        <f t="shared" si="20"/>
        <v>0</v>
      </c>
      <c r="Y414" s="222"/>
      <c r="Z414" s="272">
        <f t="shared" si="18"/>
        <v>0</v>
      </c>
      <c r="AA414" s="331"/>
      <c r="AB414" s="331"/>
      <c r="AC414" s="331"/>
      <c r="AD414" s="331"/>
      <c r="AE414" s="331"/>
      <c r="AF414" s="331"/>
      <c r="AG414" s="331"/>
      <c r="AH414" s="241">
        <f t="shared" ca="1" si="19"/>
        <v>46153</v>
      </c>
      <c r="AI414" s="272"/>
      <c r="AJ414" s="222"/>
      <c r="AK414" s="222"/>
    </row>
    <row r="415" spans="1:37" ht="23" hidden="1">
      <c r="A415" s="111">
        <v>262</v>
      </c>
      <c r="B415" s="112">
        <v>9</v>
      </c>
      <c r="C415" s="113" t="s">
        <v>2798</v>
      </c>
      <c r="D415" s="147" t="s">
        <v>2799</v>
      </c>
      <c r="E415" s="114" t="s">
        <v>2800</v>
      </c>
      <c r="F415" s="115" t="s">
        <v>913</v>
      </c>
      <c r="G415" s="115" t="s">
        <v>1030</v>
      </c>
      <c r="H415" s="116">
        <v>13.7407418</v>
      </c>
      <c r="I415" s="116">
        <v>100.6245313</v>
      </c>
      <c r="J415" s="116" t="s">
        <v>969</v>
      </c>
      <c r="K415" s="115" t="s">
        <v>2081</v>
      </c>
      <c r="L415" s="117" t="s">
        <v>2801</v>
      </c>
      <c r="M415" s="121">
        <v>23116581</v>
      </c>
      <c r="N415" s="121" t="s">
        <v>892</v>
      </c>
      <c r="O415" s="121" t="s">
        <v>901</v>
      </c>
      <c r="P415" s="118" t="s">
        <v>1876</v>
      </c>
      <c r="Q415" s="125" t="s">
        <v>972</v>
      </c>
      <c r="R415" s="130" t="s">
        <v>972</v>
      </c>
      <c r="S415" s="125" t="s">
        <v>972</v>
      </c>
      <c r="T415" s="222"/>
      <c r="U415" s="222"/>
      <c r="V415" s="222"/>
      <c r="W415" s="230"/>
      <c r="X415" s="331">
        <f t="shared" si="20"/>
        <v>0</v>
      </c>
      <c r="Y415" s="222"/>
      <c r="Z415" s="272">
        <f t="shared" si="18"/>
        <v>0</v>
      </c>
      <c r="AA415" s="331"/>
      <c r="AB415" s="331"/>
      <c r="AC415" s="331"/>
      <c r="AD415" s="331"/>
      <c r="AE415" s="331"/>
      <c r="AF415" s="331"/>
      <c r="AG415" s="331"/>
      <c r="AH415" s="241">
        <f t="shared" ca="1" si="19"/>
        <v>46153</v>
      </c>
      <c r="AI415" s="272"/>
      <c r="AJ415" s="222"/>
      <c r="AK415" s="222"/>
    </row>
    <row r="416" spans="1:37" ht="23" hidden="1">
      <c r="A416" s="111">
        <v>280</v>
      </c>
      <c r="B416" s="112">
        <v>15</v>
      </c>
      <c r="C416" s="113" t="s">
        <v>2841</v>
      </c>
      <c r="D416" s="147" t="s">
        <v>2842</v>
      </c>
      <c r="E416" s="114" t="s">
        <v>2843</v>
      </c>
      <c r="F416" s="115" t="s">
        <v>913</v>
      </c>
      <c r="G416" s="115" t="s">
        <v>936</v>
      </c>
      <c r="H416" s="116">
        <v>13.755516200000001</v>
      </c>
      <c r="I416" s="116">
        <v>100.5713312</v>
      </c>
      <c r="J416" s="116" t="s">
        <v>2097</v>
      </c>
      <c r="K416" s="116" t="s">
        <v>2097</v>
      </c>
      <c r="L416" s="118" t="s">
        <v>2844</v>
      </c>
      <c r="M416" s="121" t="s">
        <v>972</v>
      </c>
      <c r="N416" s="121" t="s">
        <v>892</v>
      </c>
      <c r="O416" s="121" t="s">
        <v>901</v>
      </c>
      <c r="P416" s="118" t="s">
        <v>902</v>
      </c>
      <c r="Q416" s="125" t="s">
        <v>972</v>
      </c>
      <c r="R416" s="130" t="s">
        <v>972</v>
      </c>
      <c r="S416" s="125" t="s">
        <v>972</v>
      </c>
      <c r="T416" s="222"/>
      <c r="U416" s="222"/>
      <c r="V416" s="222"/>
      <c r="W416" s="230"/>
      <c r="X416" s="331">
        <f t="shared" si="20"/>
        <v>0</v>
      </c>
      <c r="Y416" s="222"/>
      <c r="Z416" s="272">
        <f t="shared" si="18"/>
        <v>0</v>
      </c>
      <c r="AA416" s="331"/>
      <c r="AB416" s="331"/>
      <c r="AC416" s="331"/>
      <c r="AD416" s="331"/>
      <c r="AE416" s="331"/>
      <c r="AF416" s="331"/>
      <c r="AG416" s="331"/>
      <c r="AH416" s="241">
        <f t="shared" ca="1" si="19"/>
        <v>46153</v>
      </c>
      <c r="AI416" s="272"/>
      <c r="AJ416" s="222"/>
      <c r="AK416" s="222"/>
    </row>
    <row r="417" spans="1:37" ht="23" hidden="1">
      <c r="A417" s="111">
        <v>283</v>
      </c>
      <c r="B417" s="112">
        <v>7</v>
      </c>
      <c r="C417" s="113" t="s">
        <v>2849</v>
      </c>
      <c r="D417" s="147" t="s">
        <v>2850</v>
      </c>
      <c r="E417" s="114" t="s">
        <v>2851</v>
      </c>
      <c r="F417" s="115" t="s">
        <v>913</v>
      </c>
      <c r="G417" s="115" t="s">
        <v>1030</v>
      </c>
      <c r="H417" s="116">
        <v>13.741469</v>
      </c>
      <c r="I417" s="116">
        <v>100.61544600000001</v>
      </c>
      <c r="J417" s="115" t="s">
        <v>2108</v>
      </c>
      <c r="K417" s="117" t="s">
        <v>2109</v>
      </c>
      <c r="L417" s="117" t="s">
        <v>2110</v>
      </c>
      <c r="M417" s="121" t="s">
        <v>972</v>
      </c>
      <c r="N417" s="121" t="s">
        <v>972</v>
      </c>
      <c r="O417" s="121" t="s">
        <v>901</v>
      </c>
      <c r="P417" s="136" t="s">
        <v>1876</v>
      </c>
      <c r="Q417" s="125" t="s">
        <v>972</v>
      </c>
      <c r="R417" s="130" t="s">
        <v>972</v>
      </c>
      <c r="S417" s="125" t="s">
        <v>972</v>
      </c>
      <c r="T417" s="222"/>
      <c r="U417" s="222"/>
      <c r="V417" s="222"/>
      <c r="W417" s="230"/>
      <c r="X417" s="331">
        <f t="shared" si="20"/>
        <v>0</v>
      </c>
      <c r="Y417" s="222"/>
      <c r="Z417" s="272">
        <f t="shared" si="18"/>
        <v>0</v>
      </c>
      <c r="AA417" s="331"/>
      <c r="AB417" s="331"/>
      <c r="AC417" s="331"/>
      <c r="AD417" s="331"/>
      <c r="AE417" s="331"/>
      <c r="AF417" s="331"/>
      <c r="AG417" s="331"/>
      <c r="AH417" s="241">
        <f t="shared" ca="1" si="19"/>
        <v>46153</v>
      </c>
      <c r="AI417" s="272"/>
      <c r="AJ417" s="222"/>
      <c r="AK417" s="222"/>
    </row>
    <row r="418" spans="1:37" ht="23.25" hidden="1" customHeight="1">
      <c r="A418" s="111">
        <v>358</v>
      </c>
      <c r="B418" s="112">
        <v>3</v>
      </c>
      <c r="C418" s="122" t="s">
        <v>3016</v>
      </c>
      <c r="D418" s="147" t="s">
        <v>3017</v>
      </c>
      <c r="E418" s="123" t="s">
        <v>3018</v>
      </c>
      <c r="F418" s="115" t="s">
        <v>913</v>
      </c>
      <c r="G418" s="115" t="s">
        <v>901</v>
      </c>
      <c r="H418" s="116">
        <v>13.742845000000001</v>
      </c>
      <c r="I418" s="116">
        <v>100.612961</v>
      </c>
      <c r="J418" s="115" t="s">
        <v>2108</v>
      </c>
      <c r="K418" s="117" t="s">
        <v>2109</v>
      </c>
      <c r="L418" s="117" t="s">
        <v>2110</v>
      </c>
      <c r="M418" s="121" t="s">
        <v>972</v>
      </c>
      <c r="N418" s="121" t="s">
        <v>972</v>
      </c>
      <c r="O418" s="121" t="s">
        <v>901</v>
      </c>
      <c r="P418" s="117" t="s">
        <v>1876</v>
      </c>
      <c r="Q418" s="125" t="s">
        <v>972</v>
      </c>
      <c r="R418" s="130" t="s">
        <v>972</v>
      </c>
      <c r="S418" s="130" t="s">
        <v>972</v>
      </c>
      <c r="T418" s="222"/>
      <c r="U418" s="222"/>
      <c r="V418" s="222"/>
      <c r="W418" s="230"/>
      <c r="X418" s="331">
        <f t="shared" si="20"/>
        <v>0</v>
      </c>
      <c r="Y418" s="222"/>
      <c r="Z418" s="272">
        <f t="shared" si="18"/>
        <v>0</v>
      </c>
      <c r="AA418" s="331"/>
      <c r="AB418" s="331"/>
      <c r="AC418" s="331"/>
      <c r="AD418" s="331"/>
      <c r="AE418" s="331"/>
      <c r="AF418" s="331"/>
      <c r="AG418" s="331"/>
      <c r="AH418" s="241">
        <f t="shared" ca="1" si="19"/>
        <v>46153</v>
      </c>
      <c r="AI418" s="272"/>
      <c r="AJ418" s="222"/>
      <c r="AK418" s="222"/>
    </row>
    <row r="419" spans="1:37" ht="23" hidden="1">
      <c r="A419" s="111">
        <v>374</v>
      </c>
      <c r="B419" s="112">
        <v>10</v>
      </c>
      <c r="C419" s="122" t="s">
        <v>3050</v>
      </c>
      <c r="D419" s="147" t="s">
        <v>3051</v>
      </c>
      <c r="E419" s="114" t="s">
        <v>3052</v>
      </c>
      <c r="F419" s="115" t="s">
        <v>913</v>
      </c>
      <c r="G419" s="115" t="s">
        <v>1030</v>
      </c>
      <c r="H419" s="116">
        <v>13.740811799999999</v>
      </c>
      <c r="I419" s="116">
        <v>100.62513800000001</v>
      </c>
      <c r="J419" s="115" t="s">
        <v>2108</v>
      </c>
      <c r="K419" s="117" t="s">
        <v>2109</v>
      </c>
      <c r="L419" s="117" t="s">
        <v>2110</v>
      </c>
      <c r="M419" s="121" t="s">
        <v>972</v>
      </c>
      <c r="N419" s="121" t="s">
        <v>972</v>
      </c>
      <c r="O419" s="121" t="s">
        <v>901</v>
      </c>
      <c r="P419" s="117" t="s">
        <v>902</v>
      </c>
      <c r="Q419" s="125" t="s">
        <v>972</v>
      </c>
      <c r="R419" s="125" t="s">
        <v>972</v>
      </c>
      <c r="S419" s="125" t="s">
        <v>972</v>
      </c>
      <c r="T419" s="222"/>
      <c r="U419" s="222"/>
      <c r="V419" s="222"/>
      <c r="W419" s="230"/>
      <c r="X419" s="331">
        <f t="shared" si="20"/>
        <v>0</v>
      </c>
      <c r="Y419" s="222"/>
      <c r="Z419" s="272">
        <f t="shared" si="18"/>
        <v>0</v>
      </c>
      <c r="AA419" s="331"/>
      <c r="AB419" s="331"/>
      <c r="AC419" s="331"/>
      <c r="AD419" s="331"/>
      <c r="AE419" s="331"/>
      <c r="AF419" s="331"/>
      <c r="AG419" s="331"/>
      <c r="AH419" s="241">
        <f t="shared" ca="1" si="19"/>
        <v>46153</v>
      </c>
      <c r="AI419" s="272"/>
      <c r="AJ419" s="222"/>
      <c r="AK419" s="222"/>
    </row>
    <row r="420" spans="1:37" ht="23.25" hidden="1" customHeight="1">
      <c r="A420" s="111">
        <v>383</v>
      </c>
      <c r="B420" s="112">
        <v>11</v>
      </c>
      <c r="C420" s="113" t="s">
        <v>3074</v>
      </c>
      <c r="D420" s="147" t="s">
        <v>3075</v>
      </c>
      <c r="E420" s="114" t="s">
        <v>3076</v>
      </c>
      <c r="F420" s="115" t="s">
        <v>913</v>
      </c>
      <c r="G420" s="115" t="s">
        <v>1030</v>
      </c>
      <c r="H420" s="116">
        <v>13.74253</v>
      </c>
      <c r="I420" s="116">
        <v>100.63602299999999</v>
      </c>
      <c r="J420" s="115" t="s">
        <v>2108</v>
      </c>
      <c r="K420" s="117" t="s">
        <v>2109</v>
      </c>
      <c r="L420" s="117" t="s">
        <v>2110</v>
      </c>
      <c r="M420" s="121" t="s">
        <v>972</v>
      </c>
      <c r="N420" s="121" t="s">
        <v>972</v>
      </c>
      <c r="O420" s="121" t="s">
        <v>901</v>
      </c>
      <c r="P420" s="136" t="s">
        <v>1876</v>
      </c>
      <c r="Q420" s="125" t="s">
        <v>972</v>
      </c>
      <c r="R420" s="125" t="s">
        <v>972</v>
      </c>
      <c r="S420" s="125" t="s">
        <v>972</v>
      </c>
      <c r="T420" s="222"/>
      <c r="U420" s="222"/>
      <c r="V420" s="222"/>
      <c r="W420" s="230"/>
      <c r="X420" s="331">
        <f t="shared" si="20"/>
        <v>0</v>
      </c>
      <c r="Y420" s="222"/>
      <c r="Z420" s="272">
        <f t="shared" si="18"/>
        <v>0</v>
      </c>
      <c r="AA420" s="331"/>
      <c r="AB420" s="331"/>
      <c r="AC420" s="331"/>
      <c r="AD420" s="331"/>
      <c r="AE420" s="331"/>
      <c r="AF420" s="331"/>
      <c r="AG420" s="331"/>
      <c r="AH420" s="241">
        <f t="shared" ca="1" si="19"/>
        <v>46153</v>
      </c>
      <c r="AI420" s="272"/>
      <c r="AJ420" s="222"/>
      <c r="AK420" s="222"/>
    </row>
    <row r="421" spans="1:37" ht="23" hidden="1">
      <c r="A421" s="111">
        <v>425</v>
      </c>
      <c r="B421" s="112">
        <v>1</v>
      </c>
      <c r="C421" s="113" t="s">
        <v>3171</v>
      </c>
      <c r="D421" s="147" t="s">
        <v>3172</v>
      </c>
      <c r="E421" s="114" t="s">
        <v>3173</v>
      </c>
      <c r="F421" s="115" t="s">
        <v>913</v>
      </c>
      <c r="G421" s="115" t="s">
        <v>936</v>
      </c>
      <c r="H421" s="115">
        <v>13.753361</v>
      </c>
      <c r="I421" s="115">
        <v>100.5878471</v>
      </c>
      <c r="J421" s="116" t="s">
        <v>2097</v>
      </c>
      <c r="K421" s="116" t="s">
        <v>2097</v>
      </c>
      <c r="L421" s="118" t="s">
        <v>3174</v>
      </c>
      <c r="M421" s="116" t="s">
        <v>1347</v>
      </c>
      <c r="N421" s="121" t="s">
        <v>892</v>
      </c>
      <c r="O421" s="121" t="s">
        <v>901</v>
      </c>
      <c r="P421" s="118" t="s">
        <v>902</v>
      </c>
      <c r="Q421" s="125" t="s">
        <v>972</v>
      </c>
      <c r="R421" s="125" t="s">
        <v>972</v>
      </c>
      <c r="S421" s="125" t="s">
        <v>972</v>
      </c>
      <c r="T421" s="222"/>
      <c r="U421" s="222"/>
      <c r="V421" s="222"/>
      <c r="W421" s="230"/>
      <c r="X421" s="331">
        <f t="shared" si="20"/>
        <v>0</v>
      </c>
      <c r="Y421" s="222"/>
      <c r="Z421" s="272">
        <f t="shared" si="18"/>
        <v>0</v>
      </c>
      <c r="AA421" s="331"/>
      <c r="AB421" s="331"/>
      <c r="AC421" s="331"/>
      <c r="AD421" s="331"/>
      <c r="AE421" s="331"/>
      <c r="AF421" s="331"/>
      <c r="AG421" s="331"/>
      <c r="AH421" s="241">
        <f t="shared" ca="1" si="19"/>
        <v>46153</v>
      </c>
      <c r="AI421" s="272"/>
      <c r="AJ421" s="222"/>
      <c r="AK421" s="222"/>
    </row>
    <row r="422" spans="1:37" ht="23" hidden="1">
      <c r="A422" s="111">
        <v>426</v>
      </c>
      <c r="B422" s="112" t="s">
        <v>1459</v>
      </c>
      <c r="C422" s="113" t="s">
        <v>3175</v>
      </c>
      <c r="D422" s="147" t="s">
        <v>3176</v>
      </c>
      <c r="E422" s="114" t="s">
        <v>3177</v>
      </c>
      <c r="F422" s="115" t="s">
        <v>913</v>
      </c>
      <c r="G422" s="115" t="s">
        <v>936</v>
      </c>
      <c r="H422" s="116">
        <v>13.753456</v>
      </c>
      <c r="I422" s="116">
        <v>100.586932</v>
      </c>
      <c r="J422" s="115" t="s">
        <v>2108</v>
      </c>
      <c r="K422" s="117" t="s">
        <v>2109</v>
      </c>
      <c r="L422" s="117" t="s">
        <v>2110</v>
      </c>
      <c r="M422" s="121" t="s">
        <v>972</v>
      </c>
      <c r="N422" s="121" t="s">
        <v>972</v>
      </c>
      <c r="O422" s="121" t="s">
        <v>901</v>
      </c>
      <c r="P422" s="117" t="s">
        <v>902</v>
      </c>
      <c r="Q422" s="125" t="s">
        <v>972</v>
      </c>
      <c r="R422" s="130" t="s">
        <v>972</v>
      </c>
      <c r="S422" s="125" t="s">
        <v>972</v>
      </c>
      <c r="T422" s="222"/>
      <c r="U422" s="222"/>
      <c r="V422" s="222"/>
      <c r="W422" s="230"/>
      <c r="X422" s="331">
        <f t="shared" si="20"/>
        <v>0</v>
      </c>
      <c r="Y422" s="222"/>
      <c r="Z422" s="272">
        <f t="shared" si="18"/>
        <v>0</v>
      </c>
      <c r="AA422" s="331"/>
      <c r="AB422" s="331"/>
      <c r="AC422" s="331"/>
      <c r="AD422" s="331"/>
      <c r="AE422" s="331"/>
      <c r="AF422" s="331"/>
      <c r="AG422" s="331"/>
      <c r="AH422" s="241">
        <f t="shared" ca="1" si="19"/>
        <v>46153</v>
      </c>
      <c r="AI422" s="272"/>
      <c r="AJ422" s="222"/>
      <c r="AK422" s="222"/>
    </row>
    <row r="423" spans="1:37" ht="23" hidden="1">
      <c r="A423" s="111">
        <v>444</v>
      </c>
      <c r="B423" s="112">
        <v>4</v>
      </c>
      <c r="C423" s="113" t="s">
        <v>3213</v>
      </c>
      <c r="D423" s="147" t="s">
        <v>3214</v>
      </c>
      <c r="E423" s="114" t="s">
        <v>3215</v>
      </c>
      <c r="F423" s="115" t="s">
        <v>913</v>
      </c>
      <c r="G423" s="115" t="s">
        <v>936</v>
      </c>
      <c r="H423" s="115">
        <v>13.7546464</v>
      </c>
      <c r="I423" s="115">
        <v>100.58295870000001</v>
      </c>
      <c r="J423" s="116" t="s">
        <v>2097</v>
      </c>
      <c r="K423" s="116" t="s">
        <v>2097</v>
      </c>
      <c r="L423" s="118" t="s">
        <v>3216</v>
      </c>
      <c r="M423" s="116" t="s">
        <v>1347</v>
      </c>
      <c r="N423" s="121" t="s">
        <v>892</v>
      </c>
      <c r="O423" s="121" t="s">
        <v>901</v>
      </c>
      <c r="P423" s="118" t="s">
        <v>902</v>
      </c>
      <c r="Q423" s="125" t="s">
        <v>972</v>
      </c>
      <c r="R423" s="125" t="s">
        <v>972</v>
      </c>
      <c r="S423" s="125" t="s">
        <v>972</v>
      </c>
      <c r="T423" s="222"/>
      <c r="U423" s="222"/>
      <c r="V423" s="222"/>
      <c r="W423" s="230"/>
      <c r="X423" s="331">
        <f t="shared" si="20"/>
        <v>0</v>
      </c>
      <c r="Y423" s="222"/>
      <c r="Z423" s="272">
        <f t="shared" si="18"/>
        <v>0</v>
      </c>
      <c r="AA423" s="331"/>
      <c r="AB423" s="331"/>
      <c r="AC423" s="331"/>
      <c r="AD423" s="331"/>
      <c r="AE423" s="331"/>
      <c r="AF423" s="331"/>
      <c r="AG423" s="331"/>
      <c r="AH423" s="241">
        <f t="shared" ca="1" si="19"/>
        <v>46153</v>
      </c>
      <c r="AI423" s="272"/>
      <c r="AJ423" s="222"/>
      <c r="AK423" s="222"/>
    </row>
    <row r="424" spans="1:37" ht="23" hidden="1">
      <c r="A424" s="111">
        <v>445</v>
      </c>
      <c r="B424" s="112">
        <v>8</v>
      </c>
      <c r="C424" s="113" t="s">
        <v>3217</v>
      </c>
      <c r="D424" s="147" t="s">
        <v>3218</v>
      </c>
      <c r="E424" s="114" t="s">
        <v>3219</v>
      </c>
      <c r="F424" s="115" t="s">
        <v>913</v>
      </c>
      <c r="G424" s="115" t="s">
        <v>936</v>
      </c>
      <c r="H424" s="116">
        <v>13.755462</v>
      </c>
      <c r="I424" s="116">
        <v>100.575625</v>
      </c>
      <c r="J424" s="116" t="s">
        <v>969</v>
      </c>
      <c r="K424" s="115" t="s">
        <v>1048</v>
      </c>
      <c r="L424" s="118" t="s">
        <v>3220</v>
      </c>
      <c r="M424" s="117">
        <v>96924151</v>
      </c>
      <c r="N424" s="121" t="s">
        <v>892</v>
      </c>
      <c r="O424" s="121" t="s">
        <v>901</v>
      </c>
      <c r="P424" s="118" t="s">
        <v>902</v>
      </c>
      <c r="Q424" s="125" t="s">
        <v>972</v>
      </c>
      <c r="R424" s="125" t="s">
        <v>972</v>
      </c>
      <c r="S424" s="125" t="s">
        <v>972</v>
      </c>
      <c r="T424" s="222"/>
      <c r="U424" s="222"/>
      <c r="V424" s="222"/>
      <c r="W424" s="230"/>
      <c r="X424" s="331">
        <f t="shared" si="20"/>
        <v>0</v>
      </c>
      <c r="Y424" s="222"/>
      <c r="Z424" s="272">
        <f t="shared" si="18"/>
        <v>0</v>
      </c>
      <c r="AA424" s="331"/>
      <c r="AB424" s="331"/>
      <c r="AC424" s="331"/>
      <c r="AD424" s="331"/>
      <c r="AE424" s="331"/>
      <c r="AF424" s="331"/>
      <c r="AG424" s="331"/>
      <c r="AH424" s="241">
        <f t="shared" ca="1" si="19"/>
        <v>46153</v>
      </c>
      <c r="AI424" s="272"/>
      <c r="AJ424" s="222"/>
      <c r="AK424" s="222"/>
    </row>
    <row r="425" spans="1:37" ht="23.25" hidden="1" customHeight="1">
      <c r="A425" s="111">
        <v>809</v>
      </c>
      <c r="B425" s="112">
        <v>4</v>
      </c>
      <c r="C425" s="122" t="s">
        <v>3370</v>
      </c>
      <c r="D425" s="147" t="s">
        <v>3371</v>
      </c>
      <c r="E425" s="123" t="s">
        <v>3372</v>
      </c>
      <c r="F425" s="116" t="s">
        <v>913</v>
      </c>
      <c r="G425" s="116" t="s">
        <v>936</v>
      </c>
      <c r="H425" s="116">
        <v>13.755706999999999</v>
      </c>
      <c r="I425" s="116">
        <v>100.57119590000001</v>
      </c>
      <c r="J425" s="116" t="s">
        <v>890</v>
      </c>
      <c r="K425" s="117" t="s">
        <v>891</v>
      </c>
      <c r="L425" s="117" t="s">
        <v>891</v>
      </c>
      <c r="M425" s="117">
        <v>96941489</v>
      </c>
      <c r="N425" s="117" t="s">
        <v>892</v>
      </c>
      <c r="O425" s="121" t="s">
        <v>901</v>
      </c>
      <c r="P425" s="117" t="s">
        <v>902</v>
      </c>
      <c r="Q425" s="125" t="s">
        <v>972</v>
      </c>
      <c r="R425" s="119" t="s">
        <v>895</v>
      </c>
      <c r="S425" s="119" t="s">
        <v>895</v>
      </c>
      <c r="T425" s="305" t="s">
        <v>5212</v>
      </c>
      <c r="U425" s="305" t="s">
        <v>5263</v>
      </c>
      <c r="V425" s="331">
        <v>45103</v>
      </c>
      <c r="W425" s="326">
        <v>4</v>
      </c>
      <c r="X425" s="331">
        <f t="shared" si="20"/>
        <v>45107</v>
      </c>
      <c r="Y425" s="331">
        <v>45116</v>
      </c>
      <c r="Z425" s="332">
        <f t="shared" si="18"/>
        <v>9</v>
      </c>
      <c r="AA425" s="331"/>
      <c r="AB425" s="331"/>
      <c r="AC425" s="331"/>
      <c r="AD425" s="331"/>
      <c r="AE425" s="331"/>
      <c r="AF425" s="331"/>
      <c r="AG425" s="331"/>
      <c r="AH425" s="331">
        <f t="shared" ca="1" si="19"/>
        <v>46153</v>
      </c>
      <c r="AI425" s="332"/>
      <c r="AJ425" s="312" t="s">
        <v>5143</v>
      </c>
      <c r="AK425" s="312" t="s">
        <v>5149</v>
      </c>
    </row>
    <row r="426" spans="1:37" ht="23" hidden="1">
      <c r="A426" s="111">
        <v>884</v>
      </c>
      <c r="B426" s="112">
        <v>10</v>
      </c>
      <c r="C426" s="113" t="s">
        <v>3665</v>
      </c>
      <c r="D426" s="147" t="s">
        <v>3666</v>
      </c>
      <c r="E426" s="114" t="s">
        <v>3667</v>
      </c>
      <c r="F426" s="115" t="s">
        <v>913</v>
      </c>
      <c r="G426" s="115" t="s">
        <v>936</v>
      </c>
      <c r="H426" s="116">
        <v>13.749358300000001</v>
      </c>
      <c r="I426" s="116">
        <v>100.60015199999999</v>
      </c>
      <c r="J426" s="115" t="s">
        <v>890</v>
      </c>
      <c r="K426" s="117" t="s">
        <v>891</v>
      </c>
      <c r="L426" s="117" t="s">
        <v>891</v>
      </c>
      <c r="M426" s="117">
        <v>96991218</v>
      </c>
      <c r="N426" s="121" t="s">
        <v>892</v>
      </c>
      <c r="O426" s="121" t="s">
        <v>901</v>
      </c>
      <c r="P426" s="136" t="s">
        <v>1876</v>
      </c>
      <c r="Q426" s="125" t="s">
        <v>972</v>
      </c>
      <c r="R426" s="119" t="s">
        <v>895</v>
      </c>
      <c r="S426" s="119" t="s">
        <v>895</v>
      </c>
      <c r="T426" s="222"/>
      <c r="U426" s="222"/>
      <c r="V426" s="222"/>
      <c r="W426" s="230"/>
      <c r="X426" s="331">
        <f t="shared" si="20"/>
        <v>0</v>
      </c>
      <c r="Y426" s="222"/>
      <c r="Z426" s="272">
        <f t="shared" si="18"/>
        <v>0</v>
      </c>
      <c r="AA426" s="331"/>
      <c r="AB426" s="331"/>
      <c r="AC426" s="331"/>
      <c r="AD426" s="331"/>
      <c r="AE426" s="331"/>
      <c r="AF426" s="331"/>
      <c r="AG426" s="331"/>
      <c r="AH426" s="241">
        <f t="shared" ca="1" si="19"/>
        <v>46153</v>
      </c>
      <c r="AI426" s="272"/>
      <c r="AJ426" s="222"/>
      <c r="AK426" s="222"/>
    </row>
    <row r="427" spans="1:37" ht="23" hidden="1">
      <c r="A427" s="111">
        <v>731</v>
      </c>
      <c r="B427" s="112">
        <v>3</v>
      </c>
      <c r="C427" s="122" t="s">
        <v>3939</v>
      </c>
      <c r="D427" s="147" t="s">
        <v>3940</v>
      </c>
      <c r="E427" s="123" t="s">
        <v>3941</v>
      </c>
      <c r="F427" s="115" t="s">
        <v>913</v>
      </c>
      <c r="G427" s="115" t="s">
        <v>901</v>
      </c>
      <c r="H427" s="116">
        <v>13.744667</v>
      </c>
      <c r="I427" s="116">
        <v>100.61021100000001</v>
      </c>
      <c r="J427" s="115" t="s">
        <v>2108</v>
      </c>
      <c r="K427" s="117" t="s">
        <v>2109</v>
      </c>
      <c r="L427" s="117" t="s">
        <v>2110</v>
      </c>
      <c r="M427" s="121" t="s">
        <v>972</v>
      </c>
      <c r="N427" s="121" t="s">
        <v>972</v>
      </c>
      <c r="O427" s="121" t="s">
        <v>901</v>
      </c>
      <c r="P427" s="117" t="s">
        <v>1876</v>
      </c>
      <c r="Q427" s="125" t="s">
        <v>972</v>
      </c>
      <c r="R427" s="125" t="s">
        <v>972</v>
      </c>
      <c r="S427" s="125" t="s">
        <v>972</v>
      </c>
      <c r="T427" s="222"/>
      <c r="U427" s="222"/>
      <c r="V427" s="222"/>
      <c r="W427" s="230"/>
      <c r="X427" s="331">
        <f t="shared" si="20"/>
        <v>0</v>
      </c>
      <c r="Y427" s="222"/>
      <c r="Z427" s="272">
        <f t="shared" si="18"/>
        <v>0</v>
      </c>
      <c r="AA427" s="331"/>
      <c r="AB427" s="331"/>
      <c r="AC427" s="331"/>
      <c r="AD427" s="331"/>
      <c r="AE427" s="331"/>
      <c r="AF427" s="331"/>
      <c r="AG427" s="331"/>
      <c r="AH427" s="241">
        <f t="shared" ca="1" si="19"/>
        <v>46153</v>
      </c>
      <c r="AI427" s="272"/>
      <c r="AJ427" s="222"/>
      <c r="AK427" s="222"/>
    </row>
    <row r="428" spans="1:37" ht="23" hidden="1">
      <c r="A428" s="111">
        <v>752</v>
      </c>
      <c r="B428" s="112" t="s">
        <v>919</v>
      </c>
      <c r="C428" s="113" t="s">
        <v>3982</v>
      </c>
      <c r="D428" s="147" t="s">
        <v>3983</v>
      </c>
      <c r="E428" s="114" t="s">
        <v>3984</v>
      </c>
      <c r="F428" s="115" t="s">
        <v>913</v>
      </c>
      <c r="G428" s="115" t="s">
        <v>1030</v>
      </c>
      <c r="H428" s="116">
        <v>13.741405800000001</v>
      </c>
      <c r="I428" s="116">
        <v>100.6177347</v>
      </c>
      <c r="J428" s="115" t="s">
        <v>2108</v>
      </c>
      <c r="K428" s="115" t="s">
        <v>2136</v>
      </c>
      <c r="L428" s="117" t="s">
        <v>3985</v>
      </c>
      <c r="M428" s="121" t="s">
        <v>972</v>
      </c>
      <c r="N428" s="121" t="s">
        <v>972</v>
      </c>
      <c r="O428" s="121" t="s">
        <v>901</v>
      </c>
      <c r="P428" s="117" t="s">
        <v>1876</v>
      </c>
      <c r="Q428" s="125" t="s">
        <v>972</v>
      </c>
      <c r="R428" s="125" t="s">
        <v>972</v>
      </c>
      <c r="S428" s="125" t="s">
        <v>972</v>
      </c>
      <c r="T428" s="274" t="s">
        <v>5212</v>
      </c>
      <c r="U428" s="312" t="s">
        <v>5184</v>
      </c>
      <c r="V428" s="329">
        <v>45005</v>
      </c>
      <c r="W428" s="326">
        <v>4</v>
      </c>
      <c r="X428" s="331">
        <f t="shared" si="20"/>
        <v>45009</v>
      </c>
      <c r="Y428" s="312"/>
      <c r="Z428" s="332" t="e">
        <f t="shared" si="18"/>
        <v>#NUM!</v>
      </c>
      <c r="AA428" s="331"/>
      <c r="AB428" s="331"/>
      <c r="AC428" s="331"/>
      <c r="AD428" s="331"/>
      <c r="AE428" s="331"/>
      <c r="AF428" s="331"/>
      <c r="AG428" s="331"/>
      <c r="AH428" s="329">
        <f t="shared" ca="1" si="19"/>
        <v>46153</v>
      </c>
      <c r="AI428" s="330"/>
      <c r="AJ428" s="312" t="s">
        <v>5143</v>
      </c>
      <c r="AK428" s="312"/>
    </row>
    <row r="429" spans="1:37" ht="23" hidden="1">
      <c r="A429" s="111">
        <v>810</v>
      </c>
      <c r="B429" s="112">
        <v>8</v>
      </c>
      <c r="C429" s="122" t="s">
        <v>4117</v>
      </c>
      <c r="D429" s="147" t="s">
        <v>4118</v>
      </c>
      <c r="E429" s="123" t="s">
        <v>4119</v>
      </c>
      <c r="F429" s="116" t="s">
        <v>913</v>
      </c>
      <c r="G429" s="116" t="s">
        <v>1030</v>
      </c>
      <c r="H429" s="116">
        <v>13.741570599999999</v>
      </c>
      <c r="I429" s="116">
        <v>100.6287023</v>
      </c>
      <c r="J429" s="115" t="s">
        <v>2108</v>
      </c>
      <c r="K429" s="117" t="s">
        <v>2109</v>
      </c>
      <c r="L429" s="117" t="s">
        <v>2110</v>
      </c>
      <c r="M429" s="121" t="s">
        <v>972</v>
      </c>
      <c r="N429" s="121" t="s">
        <v>972</v>
      </c>
      <c r="O429" s="121" t="s">
        <v>901</v>
      </c>
      <c r="P429" s="117" t="s">
        <v>902</v>
      </c>
      <c r="Q429" s="125" t="s">
        <v>972</v>
      </c>
      <c r="R429" s="125" t="s">
        <v>972</v>
      </c>
      <c r="S429" s="125" t="s">
        <v>972</v>
      </c>
      <c r="T429" s="222"/>
      <c r="U429" s="222"/>
      <c r="V429" s="222"/>
      <c r="W429" s="230"/>
      <c r="X429" s="331">
        <f t="shared" si="20"/>
        <v>0</v>
      </c>
      <c r="Y429" s="222"/>
      <c r="Z429" s="272">
        <f t="shared" si="18"/>
        <v>0</v>
      </c>
      <c r="AA429" s="331"/>
      <c r="AB429" s="331"/>
      <c r="AC429" s="331"/>
      <c r="AD429" s="331"/>
      <c r="AE429" s="331"/>
      <c r="AF429" s="331"/>
      <c r="AG429" s="331"/>
      <c r="AH429" s="241">
        <f t="shared" ca="1" si="19"/>
        <v>46153</v>
      </c>
      <c r="AI429" s="272"/>
      <c r="AJ429" s="222"/>
      <c r="AK429" s="222"/>
    </row>
    <row r="430" spans="1:37" ht="23.25" hidden="1" customHeight="1">
      <c r="A430" s="111">
        <v>829</v>
      </c>
      <c r="B430" s="112" t="s">
        <v>919</v>
      </c>
      <c r="C430" s="113" t="s">
        <v>4162</v>
      </c>
      <c r="D430" s="147" t="s">
        <v>4163</v>
      </c>
      <c r="E430" s="114" t="s">
        <v>4164</v>
      </c>
      <c r="F430" s="115" t="s">
        <v>913</v>
      </c>
      <c r="G430" s="115" t="s">
        <v>936</v>
      </c>
      <c r="H430" s="116">
        <v>13.755656999999999</v>
      </c>
      <c r="I430" s="116">
        <v>100.56905500000001</v>
      </c>
      <c r="J430" s="116" t="s">
        <v>2097</v>
      </c>
      <c r="K430" s="116" t="s">
        <v>2097</v>
      </c>
      <c r="L430" s="118" t="s">
        <v>2844</v>
      </c>
      <c r="M430" s="116" t="s">
        <v>1347</v>
      </c>
      <c r="N430" s="121" t="s">
        <v>892</v>
      </c>
      <c r="O430" s="121" t="s">
        <v>901</v>
      </c>
      <c r="P430" s="118" t="s">
        <v>902</v>
      </c>
      <c r="Q430" s="125" t="s">
        <v>972</v>
      </c>
      <c r="R430" s="125" t="s">
        <v>972</v>
      </c>
      <c r="S430" s="125" t="s">
        <v>972</v>
      </c>
      <c r="T430" s="222"/>
      <c r="U430" s="222"/>
      <c r="V430" s="222"/>
      <c r="W430" s="230"/>
      <c r="X430" s="331">
        <f t="shared" si="20"/>
        <v>0</v>
      </c>
      <c r="Y430" s="222"/>
      <c r="Z430" s="272">
        <f t="shared" si="18"/>
        <v>0</v>
      </c>
      <c r="AA430" s="331"/>
      <c r="AB430" s="331"/>
      <c r="AC430" s="331"/>
      <c r="AD430" s="331"/>
      <c r="AE430" s="331"/>
      <c r="AF430" s="331"/>
      <c r="AG430" s="331"/>
      <c r="AH430" s="241">
        <f t="shared" ca="1" si="19"/>
        <v>46153</v>
      </c>
      <c r="AI430" s="272"/>
      <c r="AJ430" s="222"/>
      <c r="AK430" s="222"/>
    </row>
    <row r="431" spans="1:37" ht="23" hidden="1">
      <c r="A431" s="111">
        <v>841</v>
      </c>
      <c r="B431" s="112">
        <v>5</v>
      </c>
      <c r="C431" s="113" t="s">
        <v>4184</v>
      </c>
      <c r="D431" s="147" t="s">
        <v>4185</v>
      </c>
      <c r="E431" s="114" t="s">
        <v>4186</v>
      </c>
      <c r="F431" s="115" t="s">
        <v>913</v>
      </c>
      <c r="G431" s="115" t="s">
        <v>936</v>
      </c>
      <c r="H431" s="116">
        <v>13.7492655</v>
      </c>
      <c r="I431" s="116">
        <v>100.5997189</v>
      </c>
      <c r="J431" s="115" t="s">
        <v>2108</v>
      </c>
      <c r="K431" s="117" t="s">
        <v>2109</v>
      </c>
      <c r="L431" s="117" t="s">
        <v>2110</v>
      </c>
      <c r="M431" s="121" t="s">
        <v>972</v>
      </c>
      <c r="N431" s="121" t="s">
        <v>972</v>
      </c>
      <c r="O431" s="121" t="s">
        <v>901</v>
      </c>
      <c r="P431" s="117" t="s">
        <v>902</v>
      </c>
      <c r="Q431" s="125" t="s">
        <v>972</v>
      </c>
      <c r="R431" s="125" t="s">
        <v>972</v>
      </c>
      <c r="S431" s="125" t="s">
        <v>972</v>
      </c>
      <c r="T431" s="305" t="s">
        <v>5212</v>
      </c>
      <c r="U431" s="305" t="s">
        <v>5205</v>
      </c>
      <c r="V431" s="331">
        <v>45013</v>
      </c>
      <c r="W431" s="326">
        <v>4</v>
      </c>
      <c r="X431" s="331">
        <f t="shared" si="20"/>
        <v>45017</v>
      </c>
      <c r="Y431" s="331">
        <v>45020</v>
      </c>
      <c r="Z431" s="332">
        <f t="shared" si="18"/>
        <v>3</v>
      </c>
      <c r="AA431" s="331"/>
      <c r="AB431" s="331"/>
      <c r="AC431" s="331"/>
      <c r="AD431" s="331"/>
      <c r="AE431" s="331"/>
      <c r="AF431" s="331"/>
      <c r="AG431" s="331"/>
      <c r="AH431" s="331">
        <f t="shared" ca="1" si="19"/>
        <v>46153</v>
      </c>
      <c r="AI431" s="332"/>
      <c r="AJ431" s="312" t="s">
        <v>5143</v>
      </c>
      <c r="AK431" s="305" t="s">
        <v>5149</v>
      </c>
    </row>
    <row r="432" spans="1:37" ht="23.25" hidden="1" customHeight="1">
      <c r="A432" s="111">
        <v>808</v>
      </c>
      <c r="B432" s="112">
        <v>14</v>
      </c>
      <c r="C432" s="113" t="s">
        <v>4368</v>
      </c>
      <c r="D432" s="147" t="s">
        <v>4369</v>
      </c>
      <c r="E432" s="114" t="s">
        <v>4370</v>
      </c>
      <c r="F432" s="115" t="s">
        <v>913</v>
      </c>
      <c r="G432" s="115" t="s">
        <v>936</v>
      </c>
      <c r="H432" s="116">
        <v>13.755921300000001</v>
      </c>
      <c r="I432" s="116">
        <v>100.56847140000001</v>
      </c>
      <c r="J432" s="115" t="s">
        <v>890</v>
      </c>
      <c r="K432" s="115" t="s">
        <v>891</v>
      </c>
      <c r="L432" s="117" t="s">
        <v>891</v>
      </c>
      <c r="M432" s="121">
        <v>97067967</v>
      </c>
      <c r="N432" s="121" t="s">
        <v>972</v>
      </c>
      <c r="O432" s="121" t="s">
        <v>958</v>
      </c>
      <c r="P432" s="118" t="s">
        <v>1876</v>
      </c>
      <c r="Q432" s="125" t="s">
        <v>972</v>
      </c>
      <c r="R432" s="119"/>
      <c r="S432" s="119" t="s">
        <v>4371</v>
      </c>
      <c r="T432" s="222"/>
      <c r="U432" s="222"/>
      <c r="V432" s="222"/>
      <c r="W432" s="230"/>
      <c r="X432" s="331">
        <f t="shared" si="20"/>
        <v>0</v>
      </c>
      <c r="Y432" s="222"/>
      <c r="Z432" s="272">
        <f t="shared" si="18"/>
        <v>0</v>
      </c>
      <c r="AA432" s="331"/>
      <c r="AB432" s="331"/>
      <c r="AC432" s="331"/>
      <c r="AD432" s="331"/>
      <c r="AE432" s="331"/>
      <c r="AF432" s="331"/>
      <c r="AG432" s="331"/>
      <c r="AH432" s="241">
        <f t="shared" ca="1" si="19"/>
        <v>46153</v>
      </c>
      <c r="AI432" s="272"/>
      <c r="AJ432" s="222"/>
      <c r="AK432" s="222"/>
    </row>
    <row r="433" spans="1:37" ht="23.25" hidden="1" customHeight="1">
      <c r="A433" s="111">
        <v>856</v>
      </c>
      <c r="B433" s="112">
        <v>9</v>
      </c>
      <c r="C433" s="113" t="s">
        <v>4384</v>
      </c>
      <c r="D433" s="147" t="s">
        <v>4385</v>
      </c>
      <c r="E433" s="114" t="s">
        <v>4386</v>
      </c>
      <c r="F433" s="115" t="s">
        <v>913</v>
      </c>
      <c r="G433" s="115" t="s">
        <v>936</v>
      </c>
      <c r="H433" s="116">
        <v>13.750702</v>
      </c>
      <c r="I433" s="116">
        <v>100.596065</v>
      </c>
      <c r="J433" s="115" t="s">
        <v>890</v>
      </c>
      <c r="K433" s="117" t="s">
        <v>891</v>
      </c>
      <c r="L433" s="117" t="s">
        <v>891</v>
      </c>
      <c r="M433" s="121">
        <v>97067969</v>
      </c>
      <c r="N433" s="121" t="s">
        <v>972</v>
      </c>
      <c r="O433" s="121" t="s">
        <v>901</v>
      </c>
      <c r="P433" s="117" t="s">
        <v>902</v>
      </c>
      <c r="Q433" s="125" t="s">
        <v>972</v>
      </c>
      <c r="R433" s="119"/>
      <c r="S433" s="119" t="s">
        <v>4371</v>
      </c>
      <c r="T433" s="222"/>
      <c r="U433" s="222"/>
      <c r="V433" s="222"/>
      <c r="W433" s="230"/>
      <c r="X433" s="331">
        <f t="shared" si="20"/>
        <v>0</v>
      </c>
      <c r="Y433" s="222"/>
      <c r="Z433" s="272">
        <f t="shared" si="18"/>
        <v>0</v>
      </c>
      <c r="AA433" s="331"/>
      <c r="AB433" s="331"/>
      <c r="AC433" s="331"/>
      <c r="AD433" s="331"/>
      <c r="AE433" s="331"/>
      <c r="AF433" s="331"/>
      <c r="AG433" s="331"/>
      <c r="AH433" s="241">
        <f t="shared" ca="1" si="19"/>
        <v>46153</v>
      </c>
      <c r="AI433" s="272"/>
      <c r="AJ433" s="222"/>
      <c r="AK433" s="222"/>
    </row>
    <row r="434" spans="1:37" ht="23.25" hidden="1" customHeight="1">
      <c r="A434" s="111">
        <v>1087</v>
      </c>
      <c r="B434" s="112">
        <v>16</v>
      </c>
      <c r="C434" s="113" t="s">
        <v>4391</v>
      </c>
      <c r="D434" s="147" t="s">
        <v>4392</v>
      </c>
      <c r="E434" s="114" t="s">
        <v>4393</v>
      </c>
      <c r="F434" s="115" t="s">
        <v>913</v>
      </c>
      <c r="G434" s="115" t="s">
        <v>936</v>
      </c>
      <c r="H434" s="116">
        <v>13.7503387</v>
      </c>
      <c r="I434" s="116">
        <v>100.5971706</v>
      </c>
      <c r="J434" s="115" t="s">
        <v>890</v>
      </c>
      <c r="K434" s="117" t="s">
        <v>891</v>
      </c>
      <c r="L434" s="117" t="s">
        <v>891</v>
      </c>
      <c r="M434" s="121">
        <v>97067970</v>
      </c>
      <c r="N434" s="121" t="s">
        <v>972</v>
      </c>
      <c r="O434" s="121" t="s">
        <v>901</v>
      </c>
      <c r="P434" s="117" t="s">
        <v>902</v>
      </c>
      <c r="Q434" s="125" t="s">
        <v>972</v>
      </c>
      <c r="R434" s="119"/>
      <c r="S434" s="119" t="s">
        <v>4394</v>
      </c>
      <c r="T434" s="222"/>
      <c r="U434" s="222"/>
      <c r="V434" s="222"/>
      <c r="W434" s="230"/>
      <c r="X434" s="331">
        <f t="shared" si="20"/>
        <v>0</v>
      </c>
      <c r="Y434" s="222"/>
      <c r="Z434" s="272">
        <f t="shared" si="18"/>
        <v>0</v>
      </c>
      <c r="AA434" s="331"/>
      <c r="AB434" s="331"/>
      <c r="AC434" s="331"/>
      <c r="AD434" s="331"/>
      <c r="AE434" s="331"/>
      <c r="AF434" s="331"/>
      <c r="AG434" s="331"/>
      <c r="AH434" s="241">
        <f t="shared" ca="1" si="19"/>
        <v>46153</v>
      </c>
      <c r="AI434" s="272"/>
      <c r="AJ434" s="222"/>
      <c r="AK434" s="222"/>
    </row>
    <row r="435" spans="1:37" ht="23.25" hidden="1" customHeight="1">
      <c r="A435" s="111">
        <v>1020</v>
      </c>
      <c r="B435" s="112" t="s">
        <v>1553</v>
      </c>
      <c r="C435" s="113" t="s">
        <v>4655</v>
      </c>
      <c r="D435" s="147" t="s">
        <v>4656</v>
      </c>
      <c r="E435" s="114" t="s">
        <v>4657</v>
      </c>
      <c r="F435" s="115" t="s">
        <v>913</v>
      </c>
      <c r="G435" s="115" t="s">
        <v>936</v>
      </c>
      <c r="H435" s="116">
        <v>13.752958</v>
      </c>
      <c r="I435" s="116">
        <v>100.589026</v>
      </c>
      <c r="J435" s="116" t="s">
        <v>2097</v>
      </c>
      <c r="K435" s="116" t="s">
        <v>2097</v>
      </c>
      <c r="L435" s="117" t="s">
        <v>4658</v>
      </c>
      <c r="M435" s="116" t="s">
        <v>1347</v>
      </c>
      <c r="N435" s="121" t="s">
        <v>892</v>
      </c>
      <c r="O435" s="121" t="s">
        <v>901</v>
      </c>
      <c r="P435" s="117" t="s">
        <v>1876</v>
      </c>
      <c r="Q435" s="125" t="s">
        <v>972</v>
      </c>
      <c r="R435" s="125" t="s">
        <v>972</v>
      </c>
      <c r="S435" s="125" t="s">
        <v>972</v>
      </c>
      <c r="T435" s="222"/>
      <c r="U435" s="222"/>
      <c r="V435" s="222"/>
      <c r="W435" s="230"/>
      <c r="X435" s="331">
        <f t="shared" si="20"/>
        <v>0</v>
      </c>
      <c r="Y435" s="222"/>
      <c r="Z435" s="272">
        <f t="shared" si="18"/>
        <v>0</v>
      </c>
      <c r="AA435" s="331"/>
      <c r="AB435" s="331"/>
      <c r="AC435" s="331"/>
      <c r="AD435" s="331"/>
      <c r="AE435" s="331"/>
      <c r="AF435" s="331"/>
      <c r="AG435" s="331"/>
      <c r="AH435" s="241">
        <f t="shared" ca="1" si="19"/>
        <v>46153</v>
      </c>
      <c r="AI435" s="272"/>
      <c r="AJ435" s="222"/>
      <c r="AK435" s="222"/>
    </row>
    <row r="436" spans="1:37" ht="23" hidden="1">
      <c r="A436" s="111">
        <v>1080</v>
      </c>
      <c r="B436" s="112">
        <v>7</v>
      </c>
      <c r="C436" s="113" t="s">
        <v>4796</v>
      </c>
      <c r="D436" s="147" t="s">
        <v>4797</v>
      </c>
      <c r="E436" s="114" t="s">
        <v>4798</v>
      </c>
      <c r="F436" s="115" t="s">
        <v>913</v>
      </c>
      <c r="G436" s="115" t="s">
        <v>901</v>
      </c>
      <c r="H436" s="116">
        <v>13.7475994</v>
      </c>
      <c r="I436" s="116">
        <v>100.60474240000001</v>
      </c>
      <c r="J436" s="115" t="s">
        <v>2108</v>
      </c>
      <c r="K436" s="117" t="s">
        <v>2109</v>
      </c>
      <c r="L436" s="117" t="s">
        <v>2110</v>
      </c>
      <c r="M436" s="121" t="s">
        <v>972</v>
      </c>
      <c r="N436" s="121" t="s">
        <v>972</v>
      </c>
      <c r="O436" s="121" t="s">
        <v>901</v>
      </c>
      <c r="P436" s="117" t="s">
        <v>1876</v>
      </c>
      <c r="Q436" s="125" t="s">
        <v>972</v>
      </c>
      <c r="R436" s="125" t="s">
        <v>972</v>
      </c>
      <c r="S436" s="125" t="s">
        <v>972</v>
      </c>
      <c r="T436" s="222"/>
      <c r="U436" s="222"/>
      <c r="V436" s="222"/>
      <c r="W436" s="230"/>
      <c r="X436" s="331">
        <f t="shared" si="20"/>
        <v>0</v>
      </c>
      <c r="Y436" s="222"/>
      <c r="Z436" s="272">
        <f t="shared" si="18"/>
        <v>0</v>
      </c>
      <c r="AA436" s="331"/>
      <c r="AB436" s="331"/>
      <c r="AC436" s="331"/>
      <c r="AD436" s="331"/>
      <c r="AE436" s="331"/>
      <c r="AF436" s="331"/>
      <c r="AG436" s="331"/>
      <c r="AH436" s="241">
        <f t="shared" ca="1" si="19"/>
        <v>46153</v>
      </c>
      <c r="AI436" s="272"/>
      <c r="AJ436" s="222"/>
      <c r="AK436" s="222"/>
    </row>
    <row r="437" spans="1:37" ht="23" hidden="1">
      <c r="A437" s="111">
        <v>1081</v>
      </c>
      <c r="B437" s="112">
        <v>2</v>
      </c>
      <c r="C437" s="113" t="s">
        <v>4799</v>
      </c>
      <c r="D437" s="147" t="s">
        <v>4800</v>
      </c>
      <c r="E437" s="114" t="s">
        <v>4801</v>
      </c>
      <c r="F437" s="115" t="s">
        <v>913</v>
      </c>
      <c r="G437" s="115" t="s">
        <v>901</v>
      </c>
      <c r="H437" s="116">
        <v>13.7481162</v>
      </c>
      <c r="I437" s="116">
        <v>100.603165</v>
      </c>
      <c r="J437" s="115" t="s">
        <v>2108</v>
      </c>
      <c r="K437" s="117" t="s">
        <v>2109</v>
      </c>
      <c r="L437" s="117" t="s">
        <v>2110</v>
      </c>
      <c r="M437" s="121" t="s">
        <v>972</v>
      </c>
      <c r="N437" s="121" t="s">
        <v>972</v>
      </c>
      <c r="O437" s="121" t="s">
        <v>901</v>
      </c>
      <c r="P437" s="117" t="s">
        <v>1876</v>
      </c>
      <c r="Q437" s="125" t="s">
        <v>972</v>
      </c>
      <c r="R437" s="125" t="s">
        <v>972</v>
      </c>
      <c r="S437" s="125" t="s">
        <v>972</v>
      </c>
      <c r="T437" s="222"/>
      <c r="U437" s="222"/>
      <c r="V437" s="222"/>
      <c r="W437" s="230"/>
      <c r="X437" s="331">
        <f t="shared" si="20"/>
        <v>0</v>
      </c>
      <c r="Y437" s="222"/>
      <c r="Z437" s="272">
        <f t="shared" si="18"/>
        <v>0</v>
      </c>
      <c r="AA437" s="331"/>
      <c r="AB437" s="331"/>
      <c r="AC437" s="331"/>
      <c r="AD437" s="331"/>
      <c r="AE437" s="331"/>
      <c r="AF437" s="331"/>
      <c r="AG437" s="331"/>
      <c r="AH437" s="241">
        <f t="shared" ca="1" si="19"/>
        <v>46153</v>
      </c>
      <c r="AI437" s="272"/>
      <c r="AJ437" s="222"/>
      <c r="AK437" s="222"/>
    </row>
    <row r="438" spans="1:37" ht="16.5" hidden="1" customHeight="1">
      <c r="A438" s="111">
        <v>1155</v>
      </c>
      <c r="B438" s="112">
        <v>7</v>
      </c>
      <c r="C438" s="113" t="s">
        <v>5004</v>
      </c>
      <c r="D438" s="147" t="s">
        <v>5005</v>
      </c>
      <c r="E438" s="114" t="s">
        <v>5006</v>
      </c>
      <c r="F438" s="115" t="s">
        <v>913</v>
      </c>
      <c r="G438" s="115" t="s">
        <v>936</v>
      </c>
      <c r="H438" s="116">
        <v>13.754571</v>
      </c>
      <c r="I438" s="116">
        <v>100.583417</v>
      </c>
      <c r="J438" s="116" t="s">
        <v>969</v>
      </c>
      <c r="K438" s="116" t="s">
        <v>970</v>
      </c>
      <c r="L438" s="117" t="s">
        <v>5007</v>
      </c>
      <c r="M438" s="116" t="s">
        <v>1347</v>
      </c>
      <c r="N438" s="121" t="s">
        <v>892</v>
      </c>
      <c r="O438" s="121" t="s">
        <v>901</v>
      </c>
      <c r="P438" s="117" t="s">
        <v>902</v>
      </c>
      <c r="Q438" s="125" t="s">
        <v>972</v>
      </c>
      <c r="R438" s="125" t="s">
        <v>972</v>
      </c>
      <c r="S438" s="130" t="s">
        <v>972</v>
      </c>
      <c r="T438" s="222"/>
      <c r="U438" s="222"/>
      <c r="V438" s="222"/>
      <c r="W438" s="230"/>
      <c r="X438" s="331">
        <f t="shared" si="20"/>
        <v>0</v>
      </c>
      <c r="Y438" s="222"/>
      <c r="Z438" s="272">
        <f t="shared" si="18"/>
        <v>0</v>
      </c>
      <c r="AA438" s="331"/>
      <c r="AB438" s="331"/>
      <c r="AC438" s="331"/>
      <c r="AD438" s="331"/>
      <c r="AE438" s="331"/>
      <c r="AF438" s="331"/>
      <c r="AG438" s="331"/>
      <c r="AH438" s="241">
        <f t="shared" ca="1" si="19"/>
        <v>46153</v>
      </c>
      <c r="AI438" s="272"/>
      <c r="AJ438" s="222"/>
      <c r="AK438" s="222"/>
    </row>
    <row r="439" spans="1:37" ht="23" hidden="1">
      <c r="A439" s="111">
        <v>1156</v>
      </c>
      <c r="B439" s="112">
        <v>11</v>
      </c>
      <c r="C439" s="113" t="s">
        <v>5008</v>
      </c>
      <c r="D439" s="147" t="s">
        <v>5009</v>
      </c>
      <c r="E439" s="114" t="s">
        <v>5010</v>
      </c>
      <c r="F439" s="115" t="s">
        <v>913</v>
      </c>
      <c r="G439" s="115" t="s">
        <v>936</v>
      </c>
      <c r="H439" s="116">
        <v>13.754450500000001</v>
      </c>
      <c r="I439" s="116">
        <v>100.5840129</v>
      </c>
      <c r="J439" s="116" t="s">
        <v>969</v>
      </c>
      <c r="K439" s="116" t="s">
        <v>970</v>
      </c>
      <c r="L439" s="117" t="s">
        <v>5175</v>
      </c>
      <c r="M439" s="116" t="s">
        <v>1347</v>
      </c>
      <c r="N439" s="121" t="s">
        <v>892</v>
      </c>
      <c r="O439" s="121" t="s">
        <v>901</v>
      </c>
      <c r="P439" s="117" t="s">
        <v>902</v>
      </c>
      <c r="Q439" s="125" t="s">
        <v>972</v>
      </c>
      <c r="R439" s="125" t="s">
        <v>972</v>
      </c>
      <c r="S439" s="125" t="s">
        <v>972</v>
      </c>
      <c r="T439" s="222"/>
      <c r="U439" s="222"/>
      <c r="V439" s="222"/>
      <c r="W439" s="230"/>
      <c r="X439" s="331">
        <f t="shared" si="20"/>
        <v>0</v>
      </c>
      <c r="Y439" s="222"/>
      <c r="Z439" s="272">
        <f t="shared" si="18"/>
        <v>0</v>
      </c>
      <c r="AA439" s="331"/>
      <c r="AB439" s="331"/>
      <c r="AC439" s="331"/>
      <c r="AD439" s="331"/>
      <c r="AE439" s="331"/>
      <c r="AF439" s="331"/>
      <c r="AG439" s="331"/>
      <c r="AH439" s="241">
        <f t="shared" ca="1" si="19"/>
        <v>46153</v>
      </c>
      <c r="AI439" s="272"/>
      <c r="AJ439" s="222"/>
      <c r="AK439" s="222"/>
    </row>
    <row r="440" spans="1:37" ht="23" hidden="1">
      <c r="A440" s="111">
        <v>1157</v>
      </c>
      <c r="B440" s="112" t="s">
        <v>979</v>
      </c>
      <c r="C440" s="122" t="s">
        <v>5011</v>
      </c>
      <c r="D440" s="147" t="s">
        <v>5012</v>
      </c>
      <c r="E440" s="123" t="s">
        <v>5013</v>
      </c>
      <c r="F440" s="116" t="s">
        <v>913</v>
      </c>
      <c r="G440" s="116" t="s">
        <v>936</v>
      </c>
      <c r="H440" s="116">
        <v>13.7526499</v>
      </c>
      <c r="I440" s="116">
        <v>100.5901327</v>
      </c>
      <c r="J440" s="116" t="s">
        <v>2097</v>
      </c>
      <c r="K440" s="116" t="s">
        <v>2097</v>
      </c>
      <c r="L440" s="118" t="s">
        <v>5014</v>
      </c>
      <c r="M440" s="116" t="s">
        <v>1347</v>
      </c>
      <c r="N440" s="121" t="s">
        <v>892</v>
      </c>
      <c r="O440" s="121" t="s">
        <v>901</v>
      </c>
      <c r="P440" s="118" t="s">
        <v>902</v>
      </c>
      <c r="Q440" s="125" t="s">
        <v>972</v>
      </c>
      <c r="R440" s="125" t="s">
        <v>972</v>
      </c>
      <c r="S440" s="125" t="s">
        <v>972</v>
      </c>
      <c r="T440" s="222"/>
      <c r="U440" s="222"/>
      <c r="V440" s="222"/>
      <c r="W440" s="230"/>
      <c r="X440" s="331">
        <f t="shared" si="20"/>
        <v>0</v>
      </c>
      <c r="Y440" s="222"/>
      <c r="Z440" s="272">
        <f t="shared" si="18"/>
        <v>0</v>
      </c>
      <c r="AA440" s="331"/>
      <c r="AB440" s="331"/>
      <c r="AC440" s="331"/>
      <c r="AD440" s="331"/>
      <c r="AE440" s="331"/>
      <c r="AF440" s="331"/>
      <c r="AG440" s="331"/>
      <c r="AH440" s="241">
        <f t="shared" ca="1" si="19"/>
        <v>46153</v>
      </c>
      <c r="AI440" s="272"/>
      <c r="AJ440" s="222"/>
      <c r="AK440" s="222"/>
    </row>
    <row r="441" spans="1:37" ht="23" hidden="1">
      <c r="A441" s="111">
        <v>1158</v>
      </c>
      <c r="B441" s="112">
        <v>12</v>
      </c>
      <c r="C441" s="113" t="s">
        <v>5015</v>
      </c>
      <c r="D441" s="147" t="s">
        <v>5016</v>
      </c>
      <c r="E441" s="114" t="s">
        <v>5017</v>
      </c>
      <c r="F441" s="115" t="s">
        <v>913</v>
      </c>
      <c r="G441" s="115" t="s">
        <v>936</v>
      </c>
      <c r="H441" s="116">
        <v>13.752533</v>
      </c>
      <c r="I441" s="116">
        <v>100.5904882</v>
      </c>
      <c r="J441" s="116" t="s">
        <v>969</v>
      </c>
      <c r="K441" s="115" t="s">
        <v>1048</v>
      </c>
      <c r="L441" s="118" t="s">
        <v>5018</v>
      </c>
      <c r="M441" s="117">
        <v>96924146</v>
      </c>
      <c r="N441" s="121" t="s">
        <v>892</v>
      </c>
      <c r="O441" s="121" t="s">
        <v>901</v>
      </c>
      <c r="P441" s="118" t="s">
        <v>1876</v>
      </c>
      <c r="Q441" s="125" t="s">
        <v>972</v>
      </c>
      <c r="R441" s="125" t="s">
        <v>972</v>
      </c>
      <c r="S441" s="125" t="s">
        <v>972</v>
      </c>
      <c r="T441" s="222"/>
      <c r="U441" s="222"/>
      <c r="V441" s="222"/>
      <c r="W441" s="230"/>
      <c r="X441" s="331">
        <f t="shared" si="20"/>
        <v>0</v>
      </c>
      <c r="Y441" s="222"/>
      <c r="Z441" s="272">
        <f t="shared" si="18"/>
        <v>0</v>
      </c>
      <c r="AA441" s="331"/>
      <c r="AB441" s="331"/>
      <c r="AC441" s="331"/>
      <c r="AD441" s="331"/>
      <c r="AE441" s="331"/>
      <c r="AF441" s="331"/>
      <c r="AG441" s="331"/>
      <c r="AH441" s="241">
        <f t="shared" ca="1" si="19"/>
        <v>46153</v>
      </c>
      <c r="AI441" s="272"/>
      <c r="AJ441" s="222"/>
      <c r="AK441" s="222"/>
    </row>
    <row r="442" spans="1:37" ht="23" hidden="1">
      <c r="A442" s="111">
        <v>1161</v>
      </c>
      <c r="B442" s="112">
        <v>15</v>
      </c>
      <c r="C442" s="113" t="s">
        <v>5019</v>
      </c>
      <c r="D442" s="147" t="s">
        <v>5020</v>
      </c>
      <c r="E442" s="114" t="s">
        <v>5021</v>
      </c>
      <c r="F442" s="115" t="s">
        <v>913</v>
      </c>
      <c r="G442" s="115" t="s">
        <v>936</v>
      </c>
      <c r="H442" s="116">
        <v>13.7544042</v>
      </c>
      <c r="I442" s="116">
        <v>100.5835699</v>
      </c>
      <c r="J442" s="115" t="s">
        <v>2108</v>
      </c>
      <c r="K442" s="115" t="s">
        <v>2136</v>
      </c>
      <c r="L442" s="117" t="s">
        <v>5022</v>
      </c>
      <c r="M442" s="121" t="s">
        <v>972</v>
      </c>
      <c r="N442" s="121" t="s">
        <v>972</v>
      </c>
      <c r="O442" s="121" t="s">
        <v>901</v>
      </c>
      <c r="P442" s="117" t="s">
        <v>1876</v>
      </c>
      <c r="Q442" s="125" t="s">
        <v>972</v>
      </c>
      <c r="R442" s="125" t="s">
        <v>972</v>
      </c>
      <c r="S442" s="125" t="s">
        <v>972</v>
      </c>
      <c r="T442" s="305"/>
      <c r="U442" s="305"/>
      <c r="V442" s="342"/>
      <c r="W442" s="553"/>
      <c r="X442" s="331">
        <f t="shared" si="20"/>
        <v>0</v>
      </c>
      <c r="Y442" s="342"/>
      <c r="Z442" s="344">
        <f t="shared" si="18"/>
        <v>0</v>
      </c>
      <c r="AA442" s="331"/>
      <c r="AB442" s="331"/>
      <c r="AC442" s="331"/>
      <c r="AD442" s="331"/>
      <c r="AE442" s="331"/>
      <c r="AF442" s="331"/>
      <c r="AG442" s="331"/>
      <c r="AH442" s="343">
        <f t="shared" ca="1" si="19"/>
        <v>46153</v>
      </c>
      <c r="AI442" s="344"/>
      <c r="AJ442" s="342"/>
      <c r="AK442" s="342"/>
    </row>
    <row r="443" spans="1:37" ht="23" hidden="1">
      <c r="A443" s="111">
        <v>1162</v>
      </c>
      <c r="B443" s="112" t="s">
        <v>1082</v>
      </c>
      <c r="C443" s="113" t="s">
        <v>5023</v>
      </c>
      <c r="D443" s="147" t="s">
        <v>5024</v>
      </c>
      <c r="E443" s="114" t="s">
        <v>5025</v>
      </c>
      <c r="F443" s="115" t="s">
        <v>913</v>
      </c>
      <c r="G443" s="115" t="s">
        <v>936</v>
      </c>
      <c r="H443" s="115">
        <v>13.754485000000001</v>
      </c>
      <c r="I443" s="115">
        <v>100.583268</v>
      </c>
      <c r="J443" s="115" t="s">
        <v>2108</v>
      </c>
      <c r="K443" s="115" t="s">
        <v>2136</v>
      </c>
      <c r="L443" s="117" t="s">
        <v>5022</v>
      </c>
      <c r="M443" s="199" t="s">
        <v>972</v>
      </c>
      <c r="N443" s="199" t="s">
        <v>972</v>
      </c>
      <c r="O443" s="199" t="s">
        <v>901</v>
      </c>
      <c r="P443" s="339" t="s">
        <v>1876</v>
      </c>
      <c r="Q443" s="340" t="s">
        <v>972</v>
      </c>
      <c r="R443" s="340" t="s">
        <v>972</v>
      </c>
      <c r="S443" s="340" t="s">
        <v>972</v>
      </c>
      <c r="T443" s="342"/>
      <c r="U443" s="342"/>
      <c r="V443" s="342"/>
      <c r="W443" s="553"/>
      <c r="X443" s="331">
        <f t="shared" si="20"/>
        <v>0</v>
      </c>
      <c r="Y443" s="342"/>
      <c r="Z443" s="344">
        <f t="shared" si="18"/>
        <v>0</v>
      </c>
      <c r="AA443" s="331"/>
      <c r="AB443" s="331"/>
      <c r="AC443" s="331"/>
      <c r="AD443" s="331"/>
      <c r="AE443" s="331"/>
      <c r="AF443" s="331"/>
      <c r="AG443" s="331"/>
      <c r="AH443" s="343">
        <f t="shared" ca="1" si="19"/>
        <v>46153</v>
      </c>
      <c r="AI443" s="344"/>
      <c r="AJ443" s="342"/>
      <c r="AK443" s="342"/>
    </row>
    <row r="444" spans="1:37" ht="23" hidden="1">
      <c r="A444" s="111">
        <v>1164</v>
      </c>
      <c r="B444" s="112">
        <v>12</v>
      </c>
      <c r="C444" s="113" t="s">
        <v>5026</v>
      </c>
      <c r="D444" s="147" t="s">
        <v>5027</v>
      </c>
      <c r="E444" s="114" t="s">
        <v>5028</v>
      </c>
      <c r="F444" s="115" t="s">
        <v>913</v>
      </c>
      <c r="G444" s="115" t="s">
        <v>1030</v>
      </c>
      <c r="H444" s="116">
        <v>13.743380999999999</v>
      </c>
      <c r="I444" s="116">
        <v>100.6122185</v>
      </c>
      <c r="J444" s="115" t="s">
        <v>2108</v>
      </c>
      <c r="K444" s="117" t="s">
        <v>2109</v>
      </c>
      <c r="L444" s="117" t="s">
        <v>2110</v>
      </c>
      <c r="M444" s="121" t="s">
        <v>972</v>
      </c>
      <c r="N444" s="121" t="s">
        <v>972</v>
      </c>
      <c r="O444" s="121" t="s">
        <v>901</v>
      </c>
      <c r="P444" s="117" t="s">
        <v>1876</v>
      </c>
      <c r="Q444" s="125" t="s">
        <v>972</v>
      </c>
      <c r="R444" s="125" t="s">
        <v>972</v>
      </c>
      <c r="S444" s="125" t="s">
        <v>972</v>
      </c>
      <c r="T444" s="222"/>
      <c r="U444" s="222"/>
      <c r="V444" s="222"/>
      <c r="W444" s="230"/>
      <c r="X444" s="331">
        <f t="shared" si="20"/>
        <v>0</v>
      </c>
      <c r="Y444" s="222"/>
      <c r="Z444" s="272">
        <f t="shared" si="18"/>
        <v>0</v>
      </c>
      <c r="AA444" s="331"/>
      <c r="AB444" s="331"/>
      <c r="AC444" s="331"/>
      <c r="AD444" s="331"/>
      <c r="AE444" s="331"/>
      <c r="AF444" s="331"/>
      <c r="AG444" s="331"/>
      <c r="AH444" s="241">
        <f t="shared" ca="1" si="19"/>
        <v>46153</v>
      </c>
      <c r="AI444" s="272"/>
      <c r="AJ444" s="222"/>
      <c r="AK444" s="222"/>
    </row>
    <row r="445" spans="1:37" ht="23.25" hidden="1" customHeight="1">
      <c r="A445" s="111">
        <v>242</v>
      </c>
      <c r="B445" s="112">
        <v>1</v>
      </c>
      <c r="C445" s="113" t="s">
        <v>2744</v>
      </c>
      <c r="D445" s="147" t="s">
        <v>2745</v>
      </c>
      <c r="E445" s="114" t="s">
        <v>2746</v>
      </c>
      <c r="F445" s="115" t="s">
        <v>2747</v>
      </c>
      <c r="G445" s="115" t="s">
        <v>936</v>
      </c>
      <c r="H445" s="116">
        <v>13.753079</v>
      </c>
      <c r="I445" s="116">
        <v>100.574759</v>
      </c>
      <c r="J445" s="116" t="s">
        <v>2097</v>
      </c>
      <c r="K445" s="116" t="s">
        <v>2097</v>
      </c>
      <c r="L445" s="117" t="s">
        <v>2748</v>
      </c>
      <c r="M445" s="121" t="s">
        <v>972</v>
      </c>
      <c r="N445" s="121" t="s">
        <v>892</v>
      </c>
      <c r="O445" s="121" t="s">
        <v>901</v>
      </c>
      <c r="P445" s="117" t="s">
        <v>902</v>
      </c>
      <c r="Q445" s="125" t="s">
        <v>972</v>
      </c>
      <c r="R445" s="125" t="s">
        <v>972</v>
      </c>
      <c r="S445" s="125" t="s">
        <v>972</v>
      </c>
      <c r="T445" s="222"/>
      <c r="U445" s="222"/>
      <c r="V445" s="222"/>
      <c r="W445" s="230"/>
      <c r="X445" s="331">
        <f t="shared" si="20"/>
        <v>0</v>
      </c>
      <c r="Y445" s="222"/>
      <c r="Z445" s="272">
        <f t="shared" si="18"/>
        <v>0</v>
      </c>
      <c r="AA445" s="331"/>
      <c r="AB445" s="331"/>
      <c r="AC445" s="331"/>
      <c r="AD445" s="331"/>
      <c r="AE445" s="331"/>
      <c r="AF445" s="331"/>
      <c r="AG445" s="331"/>
      <c r="AH445" s="241">
        <f t="shared" ca="1" si="19"/>
        <v>46153</v>
      </c>
      <c r="AI445" s="272"/>
      <c r="AJ445" s="222"/>
      <c r="AK445" s="222"/>
    </row>
    <row r="446" spans="1:37" ht="14.5" hidden="1">
      <c r="A446" s="111">
        <v>1177</v>
      </c>
      <c r="B446" s="535" t="s">
        <v>1818</v>
      </c>
      <c r="C446" s="535" t="s">
        <v>1818</v>
      </c>
      <c r="D446" s="160" t="s">
        <v>4125</v>
      </c>
      <c r="E446" s="123" t="s">
        <v>5303</v>
      </c>
      <c r="F446" s="116" t="s">
        <v>5304</v>
      </c>
      <c r="G446" s="116" t="s">
        <v>1542</v>
      </c>
      <c r="H446" s="116">
        <v>13.732901999999999</v>
      </c>
      <c r="I446" s="116">
        <v>100.528201</v>
      </c>
      <c r="J446" s="117" t="s">
        <v>2108</v>
      </c>
      <c r="K446" s="117" t="s">
        <v>2108</v>
      </c>
      <c r="L446" s="117" t="s">
        <v>2108</v>
      </c>
      <c r="M446" s="117"/>
      <c r="N446" s="117" t="s">
        <v>892</v>
      </c>
      <c r="O446" s="117" t="s">
        <v>958</v>
      </c>
      <c r="P446" s="117" t="s">
        <v>5305</v>
      </c>
      <c r="Q446" s="119"/>
      <c r="R446" s="119" t="s">
        <v>895</v>
      </c>
      <c r="S446" s="119" t="s">
        <v>895</v>
      </c>
      <c r="T446" s="222"/>
      <c r="U446" s="222"/>
      <c r="V446" s="222"/>
      <c r="W446" s="230"/>
      <c r="X446" s="331">
        <f t="shared" si="20"/>
        <v>0</v>
      </c>
      <c r="Y446" s="222"/>
      <c r="Z446" s="272">
        <f t="shared" si="18"/>
        <v>0</v>
      </c>
      <c r="AA446" s="331"/>
      <c r="AB446" s="331"/>
      <c r="AC446" s="331"/>
      <c r="AD446" s="331"/>
      <c r="AE446" s="331"/>
      <c r="AF446" s="331"/>
      <c r="AG446" s="331"/>
      <c r="AH446" s="241">
        <f t="shared" ca="1" si="19"/>
        <v>46153</v>
      </c>
      <c r="AI446" s="272"/>
      <c r="AJ446" s="222"/>
      <c r="AK446" s="222"/>
    </row>
    <row r="447" spans="1:37" ht="23.25" hidden="1" customHeight="1">
      <c r="A447" s="111">
        <v>88</v>
      </c>
      <c r="B447" s="112">
        <v>9</v>
      </c>
      <c r="C447" s="113" t="s">
        <v>991</v>
      </c>
      <c r="D447" s="147" t="s">
        <v>992</v>
      </c>
      <c r="E447" s="114" t="s">
        <v>993</v>
      </c>
      <c r="F447" s="115" t="s">
        <v>994</v>
      </c>
      <c r="G447" s="115" t="s">
        <v>995</v>
      </c>
      <c r="H447" s="116">
        <v>13.871401000000001</v>
      </c>
      <c r="I447" s="116">
        <v>100.59415</v>
      </c>
      <c r="J447" s="116" t="s">
        <v>890</v>
      </c>
      <c r="K447" s="117" t="s">
        <v>891</v>
      </c>
      <c r="L447" s="118" t="s">
        <v>891</v>
      </c>
      <c r="M447" s="117">
        <v>96887302</v>
      </c>
      <c r="N447" s="117" t="s">
        <v>892</v>
      </c>
      <c r="O447" s="121" t="s">
        <v>995</v>
      </c>
      <c r="P447" s="117" t="s">
        <v>952</v>
      </c>
      <c r="Q447" s="118">
        <v>80057501</v>
      </c>
      <c r="R447" s="119" t="s">
        <v>895</v>
      </c>
      <c r="S447" s="119" t="s">
        <v>895</v>
      </c>
      <c r="T447" s="222"/>
      <c r="U447" s="222"/>
      <c r="V447" s="222"/>
      <c r="W447" s="230"/>
      <c r="X447" s="331">
        <f t="shared" si="20"/>
        <v>0</v>
      </c>
      <c r="Y447" s="222"/>
      <c r="Z447" s="272">
        <f t="shared" si="18"/>
        <v>0</v>
      </c>
      <c r="AA447" s="331"/>
      <c r="AB447" s="331"/>
      <c r="AC447" s="331"/>
      <c r="AD447" s="331"/>
      <c r="AE447" s="331"/>
      <c r="AF447" s="331"/>
      <c r="AG447" s="331"/>
      <c r="AH447" s="241">
        <f t="shared" ca="1" si="19"/>
        <v>46153</v>
      </c>
      <c r="AI447" s="272"/>
      <c r="AJ447" s="222"/>
      <c r="AK447" s="222"/>
    </row>
    <row r="448" spans="1:37" ht="23" hidden="1">
      <c r="A448" s="111">
        <v>690</v>
      </c>
      <c r="B448" s="112" t="s">
        <v>1082</v>
      </c>
      <c r="C448" s="122" t="s">
        <v>1660</v>
      </c>
      <c r="D448" s="147" t="s">
        <v>1661</v>
      </c>
      <c r="E448" s="123" t="s">
        <v>1662</v>
      </c>
      <c r="F448" s="116" t="s">
        <v>994</v>
      </c>
      <c r="G448" s="116" t="s">
        <v>1094</v>
      </c>
      <c r="H448" s="116">
        <v>13.7986463</v>
      </c>
      <c r="I448" s="116">
        <v>100.5512786</v>
      </c>
      <c r="J448" s="116" t="s">
        <v>890</v>
      </c>
      <c r="K448" s="117" t="s">
        <v>891</v>
      </c>
      <c r="L448" s="118" t="s">
        <v>891</v>
      </c>
      <c r="M448" s="117">
        <v>96887667</v>
      </c>
      <c r="N448" s="117" t="s">
        <v>892</v>
      </c>
      <c r="O448" s="121" t="s">
        <v>995</v>
      </c>
      <c r="P448" s="118" t="s">
        <v>952</v>
      </c>
      <c r="Q448" s="118">
        <v>80057501</v>
      </c>
      <c r="R448" s="119" t="s">
        <v>895</v>
      </c>
      <c r="S448" s="119" t="s">
        <v>895</v>
      </c>
      <c r="T448" s="222"/>
      <c r="U448" s="222"/>
      <c r="V448" s="222"/>
      <c r="W448" s="230"/>
      <c r="X448" s="331">
        <f t="shared" si="20"/>
        <v>0</v>
      </c>
      <c r="Y448" s="222"/>
      <c r="Z448" s="272">
        <f t="shared" si="18"/>
        <v>0</v>
      </c>
      <c r="AA448" s="331"/>
      <c r="AB448" s="331"/>
      <c r="AC448" s="331"/>
      <c r="AD448" s="331"/>
      <c r="AE448" s="331"/>
      <c r="AF448" s="331"/>
      <c r="AG448" s="331"/>
      <c r="AH448" s="241">
        <f t="shared" ca="1" si="19"/>
        <v>46153</v>
      </c>
      <c r="AI448" s="272"/>
      <c r="AJ448" s="222"/>
      <c r="AK448" s="222"/>
    </row>
    <row r="449" spans="1:37" ht="23" hidden="1">
      <c r="A449" s="111">
        <v>1</v>
      </c>
      <c r="B449" s="112">
        <v>8</v>
      </c>
      <c r="C449" s="113" t="s">
        <v>2090</v>
      </c>
      <c r="D449" s="147" t="s">
        <v>2091</v>
      </c>
      <c r="E449" s="114" t="s">
        <v>2092</v>
      </c>
      <c r="F449" s="115" t="s">
        <v>994</v>
      </c>
      <c r="G449" s="115" t="s">
        <v>1094</v>
      </c>
      <c r="H449" s="116">
        <v>13.853431</v>
      </c>
      <c r="I449" s="116">
        <v>100.583547</v>
      </c>
      <c r="J449" s="116" t="s">
        <v>969</v>
      </c>
      <c r="K449" s="115" t="s">
        <v>1048</v>
      </c>
      <c r="L449" s="118" t="s">
        <v>2093</v>
      </c>
      <c r="M449" s="117">
        <v>96940064</v>
      </c>
      <c r="N449" s="121" t="s">
        <v>892</v>
      </c>
      <c r="O449" s="121" t="s">
        <v>995</v>
      </c>
      <c r="P449" s="118" t="s">
        <v>952</v>
      </c>
      <c r="Q449" s="125" t="s">
        <v>972</v>
      </c>
      <c r="R449" s="125" t="s">
        <v>972</v>
      </c>
      <c r="S449" s="125" t="s">
        <v>972</v>
      </c>
      <c r="T449" s="222"/>
      <c r="U449" s="222"/>
      <c r="V449" s="222"/>
      <c r="W449" s="230"/>
      <c r="X449" s="331">
        <f t="shared" si="20"/>
        <v>0</v>
      </c>
      <c r="Y449" s="222"/>
      <c r="Z449" s="272">
        <f t="shared" si="18"/>
        <v>0</v>
      </c>
      <c r="AA449" s="331"/>
      <c r="AB449" s="331"/>
      <c r="AC449" s="331"/>
      <c r="AD449" s="331"/>
      <c r="AE449" s="331"/>
      <c r="AF449" s="331"/>
      <c r="AG449" s="331"/>
      <c r="AH449" s="241">
        <f t="shared" ca="1" si="19"/>
        <v>46153</v>
      </c>
      <c r="AI449" s="272"/>
      <c r="AJ449" s="222"/>
      <c r="AK449" s="222"/>
    </row>
    <row r="450" spans="1:37" ht="23" hidden="1">
      <c r="A450" s="111">
        <v>5</v>
      </c>
      <c r="B450" s="112" t="s">
        <v>985</v>
      </c>
      <c r="C450" s="122" t="s">
        <v>2094</v>
      </c>
      <c r="D450" s="147" t="s">
        <v>2095</v>
      </c>
      <c r="E450" s="114" t="s">
        <v>2096</v>
      </c>
      <c r="F450" s="115" t="s">
        <v>994</v>
      </c>
      <c r="G450" s="115" t="s">
        <v>1094</v>
      </c>
      <c r="H450" s="115">
        <v>13.8218873</v>
      </c>
      <c r="I450" s="115">
        <v>100.56502709999999</v>
      </c>
      <c r="J450" s="116" t="s">
        <v>2097</v>
      </c>
      <c r="K450" s="116" t="s">
        <v>2097</v>
      </c>
      <c r="L450" s="117" t="s">
        <v>2098</v>
      </c>
      <c r="M450" s="121" t="s">
        <v>972</v>
      </c>
      <c r="N450" s="121" t="s">
        <v>892</v>
      </c>
      <c r="O450" s="121" t="s">
        <v>995</v>
      </c>
      <c r="P450" s="118" t="s">
        <v>952</v>
      </c>
      <c r="Q450" s="125" t="s">
        <v>972</v>
      </c>
      <c r="R450" s="125" t="s">
        <v>972</v>
      </c>
      <c r="S450" s="125" t="s">
        <v>972</v>
      </c>
      <c r="T450" s="222"/>
      <c r="U450" s="222"/>
      <c r="V450" s="222"/>
      <c r="W450" s="230"/>
      <c r="X450" s="331">
        <f t="shared" si="20"/>
        <v>0</v>
      </c>
      <c r="Y450" s="222"/>
      <c r="Z450" s="272">
        <f t="shared" si="18"/>
        <v>0</v>
      </c>
      <c r="AA450" s="331"/>
      <c r="AB450" s="331"/>
      <c r="AC450" s="331"/>
      <c r="AD450" s="331"/>
      <c r="AE450" s="331"/>
      <c r="AF450" s="331"/>
      <c r="AG450" s="331"/>
      <c r="AH450" s="241">
        <f t="shared" ca="1" si="19"/>
        <v>46153</v>
      </c>
      <c r="AI450" s="272"/>
      <c r="AJ450" s="222"/>
      <c r="AK450" s="222"/>
    </row>
    <row r="451" spans="1:37" ht="23.25" hidden="1" customHeight="1">
      <c r="A451" s="111">
        <v>6</v>
      </c>
      <c r="B451" s="112">
        <v>9</v>
      </c>
      <c r="C451" s="113" t="s">
        <v>2099</v>
      </c>
      <c r="D451" s="147" t="s">
        <v>2100</v>
      </c>
      <c r="E451" s="114" t="s">
        <v>2101</v>
      </c>
      <c r="F451" s="115" t="s">
        <v>994</v>
      </c>
      <c r="G451" s="115" t="s">
        <v>1094</v>
      </c>
      <c r="H451" s="116">
        <v>13.8263918</v>
      </c>
      <c r="I451" s="116">
        <v>100.56765009999999</v>
      </c>
      <c r="J451" s="116" t="s">
        <v>890</v>
      </c>
      <c r="K451" s="117" t="s">
        <v>891</v>
      </c>
      <c r="L451" s="129" t="s">
        <v>891</v>
      </c>
      <c r="M451" s="124">
        <v>96886374</v>
      </c>
      <c r="N451" s="117" t="s">
        <v>892</v>
      </c>
      <c r="O451" s="121" t="s">
        <v>995</v>
      </c>
      <c r="P451" s="129" t="s">
        <v>952</v>
      </c>
      <c r="Q451" s="118">
        <v>80057501</v>
      </c>
      <c r="R451" s="119"/>
      <c r="S451" s="119" t="s">
        <v>895</v>
      </c>
      <c r="T451" s="222"/>
      <c r="U451" s="222"/>
      <c r="V451" s="222"/>
      <c r="W451" s="230"/>
      <c r="X451" s="331">
        <f t="shared" si="20"/>
        <v>0</v>
      </c>
      <c r="Y451" s="222"/>
      <c r="Z451" s="272">
        <f t="shared" ref="Z451:Z514" si="21">DATEDIF(X451,Y451,"d")</f>
        <v>0</v>
      </c>
      <c r="AA451" s="331"/>
      <c r="AB451" s="331"/>
      <c r="AC451" s="331"/>
      <c r="AD451" s="331"/>
      <c r="AE451" s="331"/>
      <c r="AF451" s="331"/>
      <c r="AG451" s="331"/>
      <c r="AH451" s="241">
        <f t="shared" ref="AH451:AH514" ca="1" si="22">TODAY()</f>
        <v>46153</v>
      </c>
      <c r="AI451" s="272"/>
      <c r="AJ451" s="222"/>
      <c r="AK451" s="222"/>
    </row>
    <row r="452" spans="1:37" ht="23" hidden="1">
      <c r="A452" s="111">
        <v>33</v>
      </c>
      <c r="B452" s="112">
        <v>4</v>
      </c>
      <c r="C452" s="113" t="s">
        <v>2111</v>
      </c>
      <c r="D452" s="147" t="s">
        <v>2112</v>
      </c>
      <c r="E452" s="114" t="s">
        <v>2113</v>
      </c>
      <c r="F452" s="115" t="s">
        <v>994</v>
      </c>
      <c r="G452" s="115" t="s">
        <v>983</v>
      </c>
      <c r="H452" s="116">
        <v>13.7661628</v>
      </c>
      <c r="I452" s="116">
        <v>100.539222</v>
      </c>
      <c r="J452" s="121" t="s">
        <v>890</v>
      </c>
      <c r="K452" s="117" t="s">
        <v>1212</v>
      </c>
      <c r="L452" s="117" t="s">
        <v>1213</v>
      </c>
      <c r="M452" s="117">
        <v>87107265</v>
      </c>
      <c r="N452" s="117" t="s">
        <v>892</v>
      </c>
      <c r="O452" s="121" t="s">
        <v>958</v>
      </c>
      <c r="P452" s="121" t="s">
        <v>2114</v>
      </c>
      <c r="Q452" s="118">
        <v>80057501</v>
      </c>
      <c r="R452" s="119" t="s">
        <v>895</v>
      </c>
      <c r="S452" s="119"/>
      <c r="T452" s="222"/>
      <c r="U452" s="222"/>
      <c r="V452" s="222"/>
      <c r="W452" s="230"/>
      <c r="X452" s="331">
        <f t="shared" ref="X452:X515" si="23">V452+(W452)</f>
        <v>0</v>
      </c>
      <c r="Y452" s="222"/>
      <c r="Z452" s="272">
        <f t="shared" si="21"/>
        <v>0</v>
      </c>
      <c r="AA452" s="331"/>
      <c r="AB452" s="331"/>
      <c r="AC452" s="331"/>
      <c r="AD452" s="331"/>
      <c r="AE452" s="331"/>
      <c r="AF452" s="331"/>
      <c r="AG452" s="331"/>
      <c r="AH452" s="241">
        <f t="shared" ca="1" si="22"/>
        <v>46153</v>
      </c>
      <c r="AI452" s="272"/>
      <c r="AJ452" s="222"/>
      <c r="AK452" s="222"/>
    </row>
    <row r="453" spans="1:37" ht="23" hidden="1">
      <c r="A453" s="111">
        <v>21</v>
      </c>
      <c r="B453" s="112" t="s">
        <v>1114</v>
      </c>
      <c r="C453" s="113" t="s">
        <v>2133</v>
      </c>
      <c r="D453" s="147" t="s">
        <v>2134</v>
      </c>
      <c r="E453" s="114" t="s">
        <v>2135</v>
      </c>
      <c r="F453" s="115" t="s">
        <v>994</v>
      </c>
      <c r="G453" s="115" t="s">
        <v>1094</v>
      </c>
      <c r="H453" s="116">
        <v>13.84585</v>
      </c>
      <c r="I453" s="116">
        <v>100.579317</v>
      </c>
      <c r="J453" s="115" t="s">
        <v>2108</v>
      </c>
      <c r="K453" s="115" t="s">
        <v>2136</v>
      </c>
      <c r="L453" s="115" t="s">
        <v>2136</v>
      </c>
      <c r="M453" s="121" t="s">
        <v>972</v>
      </c>
      <c r="N453" s="121" t="s">
        <v>972</v>
      </c>
      <c r="O453" s="121" t="s">
        <v>995</v>
      </c>
      <c r="P453" s="117" t="s">
        <v>1876</v>
      </c>
      <c r="Q453" s="125" t="s">
        <v>972</v>
      </c>
      <c r="R453" s="125" t="s">
        <v>972</v>
      </c>
      <c r="S453" s="125" t="s">
        <v>972</v>
      </c>
      <c r="T453" s="222"/>
      <c r="U453" s="222"/>
      <c r="V453" s="222"/>
      <c r="W453" s="230"/>
      <c r="X453" s="331">
        <f t="shared" si="23"/>
        <v>0</v>
      </c>
      <c r="Y453" s="222"/>
      <c r="Z453" s="272">
        <f t="shared" si="21"/>
        <v>0</v>
      </c>
      <c r="AA453" s="331"/>
      <c r="AB453" s="331"/>
      <c r="AC453" s="331"/>
      <c r="AD453" s="331"/>
      <c r="AE453" s="331"/>
      <c r="AF453" s="331"/>
      <c r="AG453" s="331"/>
      <c r="AH453" s="241">
        <f t="shared" ca="1" si="22"/>
        <v>46153</v>
      </c>
      <c r="AI453" s="272"/>
      <c r="AJ453" s="222"/>
      <c r="AK453" s="222"/>
    </row>
    <row r="454" spans="1:37" ht="23" hidden="1">
      <c r="A454" s="111">
        <v>107</v>
      </c>
      <c r="B454" s="112">
        <v>10</v>
      </c>
      <c r="C454" s="122" t="s">
        <v>2363</v>
      </c>
      <c r="D454" s="147" t="s">
        <v>2364</v>
      </c>
      <c r="E454" s="114" t="s">
        <v>2365</v>
      </c>
      <c r="F454" s="115" t="s">
        <v>994</v>
      </c>
      <c r="G454" s="115" t="s">
        <v>995</v>
      </c>
      <c r="H454" s="116">
        <v>13.8916465</v>
      </c>
      <c r="I454" s="116">
        <v>100.60625709999999</v>
      </c>
      <c r="J454" s="115" t="s">
        <v>2108</v>
      </c>
      <c r="K454" s="117" t="s">
        <v>2109</v>
      </c>
      <c r="L454" s="117" t="s">
        <v>2110</v>
      </c>
      <c r="M454" s="121" t="s">
        <v>972</v>
      </c>
      <c r="N454" s="121" t="s">
        <v>972</v>
      </c>
      <c r="O454" s="121" t="s">
        <v>995</v>
      </c>
      <c r="P454" s="117" t="s">
        <v>1876</v>
      </c>
      <c r="Q454" s="125" t="s">
        <v>972</v>
      </c>
      <c r="R454" s="125" t="s">
        <v>972</v>
      </c>
      <c r="S454" s="125" t="s">
        <v>972</v>
      </c>
      <c r="T454" s="222"/>
      <c r="U454" s="222"/>
      <c r="V454" s="222"/>
      <c r="W454" s="230"/>
      <c r="X454" s="331">
        <f t="shared" si="23"/>
        <v>0</v>
      </c>
      <c r="Y454" s="222"/>
      <c r="Z454" s="272">
        <f t="shared" si="21"/>
        <v>0</v>
      </c>
      <c r="AA454" s="331"/>
      <c r="AB454" s="331"/>
      <c r="AC454" s="331"/>
      <c r="AD454" s="331"/>
      <c r="AE454" s="331"/>
      <c r="AF454" s="331"/>
      <c r="AG454" s="331"/>
      <c r="AH454" s="241">
        <f t="shared" ca="1" si="22"/>
        <v>46153</v>
      </c>
      <c r="AI454" s="272"/>
      <c r="AJ454" s="222"/>
      <c r="AK454" s="222"/>
    </row>
    <row r="455" spans="1:37" ht="14.5" hidden="1">
      <c r="A455" s="111">
        <v>251</v>
      </c>
      <c r="B455" s="112" t="s">
        <v>1022</v>
      </c>
      <c r="C455" s="122" t="s">
        <v>2412</v>
      </c>
      <c r="D455" s="160" t="s">
        <v>2413</v>
      </c>
      <c r="E455" s="156" t="s">
        <v>2414</v>
      </c>
      <c r="F455" s="118" t="s">
        <v>994</v>
      </c>
      <c r="G455" s="148" t="s">
        <v>1094</v>
      </c>
      <c r="H455" s="117" t="s">
        <v>2415</v>
      </c>
      <c r="I455" s="117">
        <v>100.5768558</v>
      </c>
      <c r="J455" s="117" t="s">
        <v>890</v>
      </c>
      <c r="K455" s="121" t="s">
        <v>891</v>
      </c>
      <c r="L455" s="121" t="s">
        <v>891</v>
      </c>
      <c r="M455" s="117">
        <v>97227060</v>
      </c>
      <c r="N455" s="117" t="s">
        <v>892</v>
      </c>
      <c r="O455" s="117" t="s">
        <v>995</v>
      </c>
      <c r="P455" s="117" t="s">
        <v>894</v>
      </c>
      <c r="Q455" s="119"/>
      <c r="R455" s="119"/>
      <c r="S455" s="119" t="s">
        <v>895</v>
      </c>
      <c r="T455" s="320" t="s">
        <v>5178</v>
      </c>
      <c r="U455" s="312" t="s">
        <v>5283</v>
      </c>
      <c r="V455" s="287">
        <v>45118</v>
      </c>
      <c r="W455" s="552">
        <v>14</v>
      </c>
      <c r="X455" s="331">
        <f t="shared" si="23"/>
        <v>45132</v>
      </c>
      <c r="Y455" s="321"/>
      <c r="Z455" s="318" t="e">
        <f t="shared" si="21"/>
        <v>#NUM!</v>
      </c>
      <c r="AA455" s="331"/>
      <c r="AB455" s="331"/>
      <c r="AC455" s="331"/>
      <c r="AD455" s="331"/>
      <c r="AE455" s="331"/>
      <c r="AF455" s="331"/>
      <c r="AG455" s="331"/>
      <c r="AH455" s="321">
        <f t="shared" ca="1" si="22"/>
        <v>46153</v>
      </c>
      <c r="AI455" s="322"/>
      <c r="AJ455" s="316" t="s">
        <v>5284</v>
      </c>
      <c r="AK455" s="320"/>
    </row>
    <row r="456" spans="1:37" ht="23.25" hidden="1" customHeight="1">
      <c r="A456" s="111">
        <v>129</v>
      </c>
      <c r="B456" s="112">
        <v>5</v>
      </c>
      <c r="C456" s="113" t="s">
        <v>2433</v>
      </c>
      <c r="D456" s="147" t="s">
        <v>2434</v>
      </c>
      <c r="E456" s="114" t="s">
        <v>2435</v>
      </c>
      <c r="F456" s="115" t="s">
        <v>994</v>
      </c>
      <c r="G456" s="115" t="s">
        <v>995</v>
      </c>
      <c r="H456" s="116">
        <v>13.884607300000001</v>
      </c>
      <c r="I456" s="131">
        <v>100.60213450000001</v>
      </c>
      <c r="J456" s="115" t="s">
        <v>2108</v>
      </c>
      <c r="K456" s="117" t="s">
        <v>2109</v>
      </c>
      <c r="L456" s="117" t="s">
        <v>2110</v>
      </c>
      <c r="M456" s="121" t="s">
        <v>972</v>
      </c>
      <c r="N456" s="121" t="s">
        <v>972</v>
      </c>
      <c r="O456" s="121" t="s">
        <v>995</v>
      </c>
      <c r="P456" s="117" t="s">
        <v>1876</v>
      </c>
      <c r="Q456" s="125" t="s">
        <v>972</v>
      </c>
      <c r="R456" s="125" t="s">
        <v>972</v>
      </c>
      <c r="S456" s="125" t="s">
        <v>972</v>
      </c>
      <c r="T456" s="222"/>
      <c r="U456" s="222"/>
      <c r="V456" s="222"/>
      <c r="W456" s="230"/>
      <c r="X456" s="331">
        <f t="shared" si="23"/>
        <v>0</v>
      </c>
      <c r="Y456" s="222"/>
      <c r="Z456" s="272">
        <f t="shared" si="21"/>
        <v>0</v>
      </c>
      <c r="AA456" s="331"/>
      <c r="AB456" s="331"/>
      <c r="AC456" s="331"/>
      <c r="AD456" s="331"/>
      <c r="AE456" s="331"/>
      <c r="AF456" s="331"/>
      <c r="AG456" s="331"/>
      <c r="AH456" s="241">
        <f t="shared" ca="1" si="22"/>
        <v>46153</v>
      </c>
      <c r="AI456" s="272"/>
      <c r="AJ456" s="222"/>
      <c r="AK456" s="222"/>
    </row>
    <row r="457" spans="1:37" ht="23" hidden="1">
      <c r="A457" s="111">
        <v>173</v>
      </c>
      <c r="B457" s="112">
        <v>8</v>
      </c>
      <c r="C457" s="113" t="s">
        <v>2552</v>
      </c>
      <c r="D457" s="147" t="s">
        <v>2553</v>
      </c>
      <c r="E457" s="114" t="s">
        <v>2554</v>
      </c>
      <c r="F457" s="115" t="s">
        <v>994</v>
      </c>
      <c r="G457" s="115" t="s">
        <v>1094</v>
      </c>
      <c r="H457" s="116">
        <v>13.804444200000001</v>
      </c>
      <c r="I457" s="116">
        <v>100.5546253</v>
      </c>
      <c r="J457" s="116" t="s">
        <v>969</v>
      </c>
      <c r="K457" s="115" t="s">
        <v>1048</v>
      </c>
      <c r="L457" s="117" t="s">
        <v>2555</v>
      </c>
      <c r="M457" s="117">
        <v>77098355</v>
      </c>
      <c r="N457" s="121" t="s">
        <v>1050</v>
      </c>
      <c r="O457" s="121" t="s">
        <v>995</v>
      </c>
      <c r="P457" s="117" t="s">
        <v>952</v>
      </c>
      <c r="Q457" s="125" t="s">
        <v>972</v>
      </c>
      <c r="R457" s="125" t="s">
        <v>972</v>
      </c>
      <c r="S457" s="125" t="s">
        <v>972</v>
      </c>
      <c r="T457" s="222"/>
      <c r="U457" s="222"/>
      <c r="V457" s="222"/>
      <c r="W457" s="230"/>
      <c r="X457" s="331">
        <f t="shared" si="23"/>
        <v>0</v>
      </c>
      <c r="Y457" s="222"/>
      <c r="Z457" s="272">
        <f t="shared" si="21"/>
        <v>0</v>
      </c>
      <c r="AA457" s="331"/>
      <c r="AB457" s="331"/>
      <c r="AC457" s="331"/>
      <c r="AD457" s="331"/>
      <c r="AE457" s="331"/>
      <c r="AF457" s="331"/>
      <c r="AG457" s="331"/>
      <c r="AH457" s="241">
        <f t="shared" ca="1" si="22"/>
        <v>46153</v>
      </c>
      <c r="AI457" s="272"/>
      <c r="AJ457" s="222"/>
      <c r="AK457" s="222"/>
    </row>
    <row r="458" spans="1:37" ht="23.25" hidden="1" customHeight="1">
      <c r="A458" s="111">
        <v>190</v>
      </c>
      <c r="B458" s="112">
        <v>3</v>
      </c>
      <c r="C458" s="122" t="s">
        <v>2599</v>
      </c>
      <c r="D458" s="147" t="s">
        <v>2600</v>
      </c>
      <c r="E458" s="123" t="s">
        <v>2601</v>
      </c>
      <c r="F458" s="115" t="s">
        <v>994</v>
      </c>
      <c r="G458" s="115" t="s">
        <v>1094</v>
      </c>
      <c r="H458" s="116">
        <v>13.853524</v>
      </c>
      <c r="I458" s="116">
        <v>100.583788</v>
      </c>
      <c r="J458" s="115" t="s">
        <v>2108</v>
      </c>
      <c r="K458" s="117" t="s">
        <v>2109</v>
      </c>
      <c r="L458" s="117" t="s">
        <v>2110</v>
      </c>
      <c r="M458" s="121" t="s">
        <v>972</v>
      </c>
      <c r="N458" s="121" t="s">
        <v>972</v>
      </c>
      <c r="O458" s="121" t="s">
        <v>995</v>
      </c>
      <c r="P458" s="117" t="s">
        <v>1876</v>
      </c>
      <c r="Q458" s="125" t="s">
        <v>972</v>
      </c>
      <c r="R458" s="125" t="s">
        <v>972</v>
      </c>
      <c r="S458" s="125" t="s">
        <v>972</v>
      </c>
      <c r="T458" s="222"/>
      <c r="U458" s="222"/>
      <c r="V458" s="222"/>
      <c r="W458" s="230"/>
      <c r="X458" s="331">
        <f t="shared" si="23"/>
        <v>0</v>
      </c>
      <c r="Y458" s="222"/>
      <c r="Z458" s="272">
        <f t="shared" si="21"/>
        <v>0</v>
      </c>
      <c r="AA458" s="331"/>
      <c r="AB458" s="331"/>
      <c r="AC458" s="331"/>
      <c r="AD458" s="331"/>
      <c r="AE458" s="331"/>
      <c r="AF458" s="331"/>
      <c r="AG458" s="331"/>
      <c r="AH458" s="241">
        <f t="shared" ca="1" si="22"/>
        <v>46153</v>
      </c>
      <c r="AI458" s="272"/>
      <c r="AJ458" s="222"/>
      <c r="AK458" s="222"/>
    </row>
    <row r="459" spans="1:37" ht="23" hidden="1">
      <c r="A459" s="111">
        <v>191</v>
      </c>
      <c r="B459" s="112">
        <v>3</v>
      </c>
      <c r="C459" s="122" t="s">
        <v>2602</v>
      </c>
      <c r="D459" s="147" t="s">
        <v>2603</v>
      </c>
      <c r="E459" s="123" t="s">
        <v>2604</v>
      </c>
      <c r="F459" s="115" t="s">
        <v>994</v>
      </c>
      <c r="G459" s="115" t="s">
        <v>983</v>
      </c>
      <c r="H459" s="116">
        <v>13.784223300000001</v>
      </c>
      <c r="I459" s="116">
        <v>100.54617589999999</v>
      </c>
      <c r="J459" s="115" t="s">
        <v>2108</v>
      </c>
      <c r="K459" s="117" t="s">
        <v>2109</v>
      </c>
      <c r="L459" s="117" t="s">
        <v>2110</v>
      </c>
      <c r="M459" s="121" t="s">
        <v>972</v>
      </c>
      <c r="N459" s="121" t="s">
        <v>972</v>
      </c>
      <c r="O459" s="121" t="s">
        <v>958</v>
      </c>
      <c r="P459" s="117" t="s">
        <v>1876</v>
      </c>
      <c r="Q459" s="125" t="s">
        <v>972</v>
      </c>
      <c r="R459" s="125" t="s">
        <v>972</v>
      </c>
      <c r="S459" s="125" t="s">
        <v>972</v>
      </c>
      <c r="T459" s="222"/>
      <c r="U459" s="222"/>
      <c r="V459" s="222"/>
      <c r="W459" s="230"/>
      <c r="X459" s="331">
        <f t="shared" si="23"/>
        <v>0</v>
      </c>
      <c r="Y459" s="222"/>
      <c r="Z459" s="272">
        <f t="shared" si="21"/>
        <v>0</v>
      </c>
      <c r="AA459" s="331"/>
      <c r="AB459" s="331"/>
      <c r="AC459" s="331"/>
      <c r="AD459" s="331"/>
      <c r="AE459" s="331"/>
      <c r="AF459" s="331"/>
      <c r="AG459" s="331"/>
      <c r="AH459" s="241">
        <f t="shared" ca="1" si="22"/>
        <v>46153</v>
      </c>
      <c r="AI459" s="272"/>
      <c r="AJ459" s="222"/>
      <c r="AK459" s="222"/>
    </row>
    <row r="460" spans="1:37" ht="23.25" hidden="1" customHeight="1">
      <c r="A460" s="111">
        <v>313</v>
      </c>
      <c r="B460" s="112" t="s">
        <v>1818</v>
      </c>
      <c r="C460" s="122" t="s">
        <v>2611</v>
      </c>
      <c r="D460" s="160" t="s">
        <v>2612</v>
      </c>
      <c r="E460" s="156" t="s">
        <v>2613</v>
      </c>
      <c r="F460" s="118" t="s">
        <v>994</v>
      </c>
      <c r="G460" s="148" t="s">
        <v>1094</v>
      </c>
      <c r="H460" s="117" t="s">
        <v>2614</v>
      </c>
      <c r="I460" s="117">
        <v>100.5781992</v>
      </c>
      <c r="J460" s="117" t="s">
        <v>890</v>
      </c>
      <c r="K460" s="121" t="s">
        <v>891</v>
      </c>
      <c r="L460" s="121" t="s">
        <v>891</v>
      </c>
      <c r="M460" s="117">
        <v>97030602</v>
      </c>
      <c r="N460" s="117" t="s">
        <v>892</v>
      </c>
      <c r="O460" s="117" t="s">
        <v>995</v>
      </c>
      <c r="P460" s="117" t="s">
        <v>894</v>
      </c>
      <c r="Q460" s="119"/>
      <c r="R460" s="119"/>
      <c r="S460" s="119" t="s">
        <v>895</v>
      </c>
      <c r="T460" s="222"/>
      <c r="U460" s="222"/>
      <c r="V460" s="222"/>
      <c r="W460" s="230"/>
      <c r="X460" s="331">
        <f t="shared" si="23"/>
        <v>0</v>
      </c>
      <c r="Y460" s="222"/>
      <c r="Z460" s="272">
        <f t="shared" si="21"/>
        <v>0</v>
      </c>
      <c r="AA460" s="331"/>
      <c r="AB460" s="331"/>
      <c r="AC460" s="331"/>
      <c r="AD460" s="331"/>
      <c r="AE460" s="331"/>
      <c r="AF460" s="331"/>
      <c r="AG460" s="331"/>
      <c r="AH460" s="241">
        <f t="shared" ca="1" si="22"/>
        <v>46153</v>
      </c>
      <c r="AI460" s="272"/>
      <c r="AJ460" s="222"/>
      <c r="AK460" s="222"/>
    </row>
    <row r="461" spans="1:37" ht="23.25" hidden="1" customHeight="1">
      <c r="A461" s="111">
        <v>318</v>
      </c>
      <c r="B461" s="112">
        <v>15</v>
      </c>
      <c r="C461" s="122" t="s">
        <v>2622</v>
      </c>
      <c r="D461" s="160" t="s">
        <v>2623</v>
      </c>
      <c r="E461" s="158" t="s">
        <v>2624</v>
      </c>
      <c r="F461" s="118" t="s">
        <v>994</v>
      </c>
      <c r="G461" s="148" t="s">
        <v>1094</v>
      </c>
      <c r="H461" s="117" t="s">
        <v>2625</v>
      </c>
      <c r="I461" s="117">
        <v>100.5783277</v>
      </c>
      <c r="J461" s="117" t="s">
        <v>890</v>
      </c>
      <c r="K461" s="121" t="s">
        <v>891</v>
      </c>
      <c r="L461" s="121" t="s">
        <v>891</v>
      </c>
      <c r="M461" s="117">
        <v>97030604</v>
      </c>
      <c r="N461" s="117" t="s">
        <v>892</v>
      </c>
      <c r="O461" s="117" t="s">
        <v>995</v>
      </c>
      <c r="P461" s="117" t="s">
        <v>894</v>
      </c>
      <c r="Q461" s="119"/>
      <c r="R461" s="119"/>
      <c r="S461" s="119" t="s">
        <v>895</v>
      </c>
      <c r="T461" s="222"/>
      <c r="U461" s="222"/>
      <c r="V461" s="222"/>
      <c r="W461" s="230"/>
      <c r="X461" s="331">
        <f t="shared" si="23"/>
        <v>0</v>
      </c>
      <c r="Y461" s="222"/>
      <c r="Z461" s="272">
        <f t="shared" si="21"/>
        <v>0</v>
      </c>
      <c r="AA461" s="331"/>
      <c r="AB461" s="331"/>
      <c r="AC461" s="331"/>
      <c r="AD461" s="331"/>
      <c r="AE461" s="331"/>
      <c r="AF461" s="331"/>
      <c r="AG461" s="331"/>
      <c r="AH461" s="241">
        <f t="shared" ca="1" si="22"/>
        <v>46153</v>
      </c>
      <c r="AI461" s="272"/>
      <c r="AJ461" s="222"/>
      <c r="AK461" s="222"/>
    </row>
    <row r="462" spans="1:37" ht="24" hidden="1" customHeight="1">
      <c r="A462" s="111">
        <v>230</v>
      </c>
      <c r="B462" s="112" t="s">
        <v>1098</v>
      </c>
      <c r="C462" s="113" t="s">
        <v>2712</v>
      </c>
      <c r="D462" s="147" t="s">
        <v>2713</v>
      </c>
      <c r="E462" s="114" t="s">
        <v>2714</v>
      </c>
      <c r="F462" s="115" t="s">
        <v>994</v>
      </c>
      <c r="G462" s="115" t="s">
        <v>1094</v>
      </c>
      <c r="H462" s="116">
        <v>13.802792699999999</v>
      </c>
      <c r="I462" s="116">
        <v>100.55368489999999</v>
      </c>
      <c r="J462" s="116" t="s">
        <v>969</v>
      </c>
      <c r="K462" s="117" t="s">
        <v>1048</v>
      </c>
      <c r="L462" s="117" t="s">
        <v>5173</v>
      </c>
      <c r="M462" s="117">
        <v>96942320</v>
      </c>
      <c r="N462" s="121" t="s">
        <v>1050</v>
      </c>
      <c r="O462" s="121" t="s">
        <v>995</v>
      </c>
      <c r="P462" s="117" t="s">
        <v>952</v>
      </c>
      <c r="Q462" s="125" t="s">
        <v>972</v>
      </c>
      <c r="R462" s="125" t="s">
        <v>972</v>
      </c>
      <c r="S462" s="125" t="s">
        <v>972</v>
      </c>
      <c r="T462" s="222"/>
      <c r="U462" s="222"/>
      <c r="V462" s="222"/>
      <c r="W462" s="230"/>
      <c r="X462" s="331">
        <f t="shared" si="23"/>
        <v>0</v>
      </c>
      <c r="Y462" s="222"/>
      <c r="Z462" s="272">
        <f t="shared" si="21"/>
        <v>0</v>
      </c>
      <c r="AA462" s="331"/>
      <c r="AB462" s="331"/>
      <c r="AC462" s="331"/>
      <c r="AD462" s="331"/>
      <c r="AE462" s="331"/>
      <c r="AF462" s="331"/>
      <c r="AG462" s="331"/>
      <c r="AH462" s="241">
        <f t="shared" ca="1" si="22"/>
        <v>46153</v>
      </c>
      <c r="AI462" s="272"/>
      <c r="AJ462" s="222"/>
      <c r="AK462" s="222"/>
    </row>
    <row r="463" spans="1:37" ht="23.25" hidden="1" customHeight="1">
      <c r="A463" s="111">
        <v>338</v>
      </c>
      <c r="B463" s="112" t="s">
        <v>1013</v>
      </c>
      <c r="C463" s="122" t="s">
        <v>2715</v>
      </c>
      <c r="D463" s="147" t="s">
        <v>2716</v>
      </c>
      <c r="E463" s="123" t="s">
        <v>2717</v>
      </c>
      <c r="F463" s="116" t="s">
        <v>994</v>
      </c>
      <c r="G463" s="116" t="s">
        <v>983</v>
      </c>
      <c r="H463" s="116">
        <v>13.789403999999999</v>
      </c>
      <c r="I463" s="116">
        <v>100.5482164</v>
      </c>
      <c r="J463" s="116" t="s">
        <v>890</v>
      </c>
      <c r="K463" s="115" t="s">
        <v>1212</v>
      </c>
      <c r="L463" s="117" t="s">
        <v>1213</v>
      </c>
      <c r="M463" s="117">
        <v>87107246</v>
      </c>
      <c r="N463" s="121" t="s">
        <v>1050</v>
      </c>
      <c r="O463" s="121" t="s">
        <v>958</v>
      </c>
      <c r="P463" s="117" t="s">
        <v>952</v>
      </c>
      <c r="Q463" s="118">
        <v>80057501</v>
      </c>
      <c r="R463" s="125" t="s">
        <v>972</v>
      </c>
      <c r="S463" s="125" t="s">
        <v>895</v>
      </c>
      <c r="T463" s="316" t="s">
        <v>5178</v>
      </c>
      <c r="U463" s="305" t="s">
        <v>5231</v>
      </c>
      <c r="V463" s="287">
        <v>45103</v>
      </c>
      <c r="W463" s="552">
        <v>4</v>
      </c>
      <c r="X463" s="331">
        <f t="shared" si="23"/>
        <v>45107</v>
      </c>
      <c r="Y463" s="316"/>
      <c r="Z463" s="318" t="e">
        <f t="shared" si="21"/>
        <v>#NUM!</v>
      </c>
      <c r="AA463" s="331"/>
      <c r="AB463" s="331"/>
      <c r="AC463" s="331"/>
      <c r="AD463" s="331"/>
      <c r="AE463" s="331"/>
      <c r="AF463" s="331"/>
      <c r="AG463" s="331"/>
      <c r="AH463" s="317">
        <f t="shared" ca="1" si="22"/>
        <v>46153</v>
      </c>
      <c r="AI463" s="318"/>
      <c r="AJ463" s="316" t="s">
        <v>5224</v>
      </c>
      <c r="AK463" s="316"/>
    </row>
    <row r="464" spans="1:37" ht="23" hidden="1">
      <c r="A464" s="111">
        <v>261</v>
      </c>
      <c r="B464" s="112">
        <v>2</v>
      </c>
      <c r="C464" s="122" t="s">
        <v>2795</v>
      </c>
      <c r="D464" s="147" t="s">
        <v>2796</v>
      </c>
      <c r="E464" s="123" t="s">
        <v>2797</v>
      </c>
      <c r="F464" s="115" t="s">
        <v>994</v>
      </c>
      <c r="G464" s="115" t="s">
        <v>983</v>
      </c>
      <c r="H464" s="116">
        <v>13.795938</v>
      </c>
      <c r="I464" s="116">
        <v>100.550355</v>
      </c>
      <c r="J464" s="115" t="s">
        <v>2108</v>
      </c>
      <c r="K464" s="117" t="s">
        <v>2109</v>
      </c>
      <c r="L464" s="117" t="s">
        <v>2110</v>
      </c>
      <c r="M464" s="121" t="s">
        <v>972</v>
      </c>
      <c r="N464" s="121" t="s">
        <v>972</v>
      </c>
      <c r="O464" s="121" t="s">
        <v>958</v>
      </c>
      <c r="P464" s="117" t="s">
        <v>1876</v>
      </c>
      <c r="Q464" s="125" t="s">
        <v>972</v>
      </c>
      <c r="R464" s="125" t="s">
        <v>972</v>
      </c>
      <c r="S464" s="125" t="s">
        <v>972</v>
      </c>
      <c r="T464" s="222"/>
      <c r="U464" s="222"/>
      <c r="V464" s="222"/>
      <c r="W464" s="230"/>
      <c r="X464" s="331">
        <f t="shared" si="23"/>
        <v>0</v>
      </c>
      <c r="Y464" s="222"/>
      <c r="Z464" s="272">
        <f t="shared" si="21"/>
        <v>0</v>
      </c>
      <c r="AA464" s="331"/>
      <c r="AB464" s="331"/>
      <c r="AC464" s="331"/>
      <c r="AD464" s="331"/>
      <c r="AE464" s="331"/>
      <c r="AF464" s="331"/>
      <c r="AG464" s="331"/>
      <c r="AH464" s="241">
        <f t="shared" ca="1" si="22"/>
        <v>46153</v>
      </c>
      <c r="AI464" s="272"/>
      <c r="AJ464" s="222"/>
      <c r="AK464" s="222"/>
    </row>
    <row r="465" spans="1:37" ht="23" hidden="1">
      <c r="A465" s="111">
        <v>514</v>
      </c>
      <c r="B465" s="112">
        <v>13</v>
      </c>
      <c r="C465" s="113" t="s">
        <v>2872</v>
      </c>
      <c r="D465" s="147" t="s">
        <v>2873</v>
      </c>
      <c r="E465" s="114" t="s">
        <v>2874</v>
      </c>
      <c r="F465" s="115" t="s">
        <v>994</v>
      </c>
      <c r="G465" s="115" t="s">
        <v>983</v>
      </c>
      <c r="H465" s="116">
        <v>13.7836146</v>
      </c>
      <c r="I465" s="116">
        <v>100.5461377</v>
      </c>
      <c r="J465" s="116" t="s">
        <v>890</v>
      </c>
      <c r="K465" s="115" t="s">
        <v>1212</v>
      </c>
      <c r="L465" s="117" t="s">
        <v>1213</v>
      </c>
      <c r="M465" s="117">
        <v>87107242</v>
      </c>
      <c r="N465" s="121" t="s">
        <v>1050</v>
      </c>
      <c r="O465" s="121" t="s">
        <v>984</v>
      </c>
      <c r="P465" s="117" t="s">
        <v>952</v>
      </c>
      <c r="Q465" s="118">
        <v>80057501</v>
      </c>
      <c r="R465" s="125" t="s">
        <v>972</v>
      </c>
      <c r="S465" s="125" t="s">
        <v>895</v>
      </c>
      <c r="T465" s="222"/>
      <c r="U465" s="222"/>
      <c r="V465" s="222"/>
      <c r="W465" s="230"/>
      <c r="X465" s="331">
        <f t="shared" si="23"/>
        <v>0</v>
      </c>
      <c r="Y465" s="222"/>
      <c r="Z465" s="272">
        <f t="shared" si="21"/>
        <v>0</v>
      </c>
      <c r="AA465" s="331"/>
      <c r="AB465" s="331"/>
      <c r="AC465" s="331"/>
      <c r="AD465" s="331"/>
      <c r="AE465" s="331"/>
      <c r="AF465" s="331"/>
      <c r="AG465" s="331"/>
      <c r="AH465" s="241">
        <f t="shared" ca="1" si="22"/>
        <v>46153</v>
      </c>
      <c r="AI465" s="272"/>
      <c r="AJ465" s="222"/>
      <c r="AK465" s="222"/>
    </row>
    <row r="466" spans="1:37" ht="23.25" hidden="1" customHeight="1">
      <c r="A466" s="111">
        <v>294</v>
      </c>
      <c r="B466" s="112">
        <v>4</v>
      </c>
      <c r="C466" s="122" t="s">
        <v>2875</v>
      </c>
      <c r="D466" s="147" t="s">
        <v>2876</v>
      </c>
      <c r="E466" s="123" t="s">
        <v>2877</v>
      </c>
      <c r="F466" s="116" t="s">
        <v>994</v>
      </c>
      <c r="G466" s="116" t="s">
        <v>983</v>
      </c>
      <c r="H466" s="116">
        <v>13.7686809</v>
      </c>
      <c r="I466" s="116">
        <v>100.5404887</v>
      </c>
      <c r="J466" s="115" t="s">
        <v>2108</v>
      </c>
      <c r="K466" s="117" t="s">
        <v>2109</v>
      </c>
      <c r="L466" s="117" t="s">
        <v>2110</v>
      </c>
      <c r="M466" s="121" t="s">
        <v>972</v>
      </c>
      <c r="N466" s="121" t="s">
        <v>972</v>
      </c>
      <c r="O466" s="121" t="s">
        <v>958</v>
      </c>
      <c r="P466" s="117" t="s">
        <v>952</v>
      </c>
      <c r="Q466" s="125" t="s">
        <v>972</v>
      </c>
      <c r="R466" s="125" t="s">
        <v>972</v>
      </c>
      <c r="S466" s="125" t="s">
        <v>972</v>
      </c>
      <c r="T466" s="222"/>
      <c r="U466" s="222"/>
      <c r="V466" s="222"/>
      <c r="W466" s="230"/>
      <c r="X466" s="331">
        <f t="shared" si="23"/>
        <v>0</v>
      </c>
      <c r="Y466" s="222"/>
      <c r="Z466" s="272">
        <f t="shared" si="21"/>
        <v>0</v>
      </c>
      <c r="AA466" s="331"/>
      <c r="AB466" s="331"/>
      <c r="AC466" s="331"/>
      <c r="AD466" s="331"/>
      <c r="AE466" s="331"/>
      <c r="AF466" s="331"/>
      <c r="AG466" s="331"/>
      <c r="AH466" s="241">
        <f t="shared" ca="1" si="22"/>
        <v>46153</v>
      </c>
      <c r="AI466" s="272"/>
      <c r="AJ466" s="222"/>
      <c r="AK466" s="222"/>
    </row>
    <row r="467" spans="1:37" ht="23" hidden="1">
      <c r="A467" s="111">
        <v>297</v>
      </c>
      <c r="B467" s="112">
        <v>15</v>
      </c>
      <c r="C467" s="122" t="s">
        <v>2878</v>
      </c>
      <c r="D467" s="147" t="s">
        <v>2879</v>
      </c>
      <c r="E467" s="123" t="s">
        <v>2880</v>
      </c>
      <c r="F467" s="116" t="s">
        <v>994</v>
      </c>
      <c r="G467" s="116" t="s">
        <v>983</v>
      </c>
      <c r="H467" s="116">
        <v>13.7725717</v>
      </c>
      <c r="I467" s="116">
        <v>100.54217389999999</v>
      </c>
      <c r="J467" s="115" t="s">
        <v>2108</v>
      </c>
      <c r="K467" s="117" t="s">
        <v>2109</v>
      </c>
      <c r="L467" s="117" t="s">
        <v>2110</v>
      </c>
      <c r="M467" s="121" t="s">
        <v>972</v>
      </c>
      <c r="N467" s="121" t="s">
        <v>972</v>
      </c>
      <c r="O467" s="121" t="s">
        <v>958</v>
      </c>
      <c r="P467" s="117" t="s">
        <v>952</v>
      </c>
      <c r="Q467" s="125" t="s">
        <v>972</v>
      </c>
      <c r="R467" s="125" t="s">
        <v>972</v>
      </c>
      <c r="S467" s="125" t="s">
        <v>972</v>
      </c>
      <c r="T467" s="222"/>
      <c r="U467" s="222"/>
      <c r="V467" s="222"/>
      <c r="W467" s="230"/>
      <c r="X467" s="331">
        <f t="shared" si="23"/>
        <v>0</v>
      </c>
      <c r="Y467" s="222"/>
      <c r="Z467" s="272">
        <f t="shared" si="21"/>
        <v>0</v>
      </c>
      <c r="AA467" s="331"/>
      <c r="AB467" s="331"/>
      <c r="AC467" s="331"/>
      <c r="AD467" s="331"/>
      <c r="AE467" s="331"/>
      <c r="AF467" s="331"/>
      <c r="AG467" s="331"/>
      <c r="AH467" s="241">
        <f t="shared" ca="1" si="22"/>
        <v>46153</v>
      </c>
      <c r="AI467" s="272"/>
      <c r="AJ467" s="222"/>
      <c r="AK467" s="222"/>
    </row>
    <row r="468" spans="1:37" ht="23" hidden="1">
      <c r="A468" s="111">
        <v>309</v>
      </c>
      <c r="B468" s="112">
        <v>3</v>
      </c>
      <c r="C468" s="122" t="s">
        <v>2892</v>
      </c>
      <c r="D468" s="147" t="s">
        <v>2893</v>
      </c>
      <c r="E468" s="123" t="s">
        <v>2894</v>
      </c>
      <c r="F468" s="115" t="s">
        <v>994</v>
      </c>
      <c r="G468" s="115" t="s">
        <v>1094</v>
      </c>
      <c r="H468" s="116">
        <v>13.843693999999999</v>
      </c>
      <c r="I468" s="116">
        <v>100.5779915</v>
      </c>
      <c r="J468" s="116" t="s">
        <v>2108</v>
      </c>
      <c r="K468" s="117" t="s">
        <v>2109</v>
      </c>
      <c r="L468" s="117" t="s">
        <v>2895</v>
      </c>
      <c r="M468" s="117"/>
      <c r="N468" s="117" t="s">
        <v>892</v>
      </c>
      <c r="O468" s="121" t="s">
        <v>995</v>
      </c>
      <c r="P468" s="117" t="s">
        <v>952</v>
      </c>
      <c r="Q468" s="125" t="s">
        <v>972</v>
      </c>
      <c r="R468" s="125" t="s">
        <v>972</v>
      </c>
      <c r="S468" s="130" t="s">
        <v>972</v>
      </c>
      <c r="T468" s="222"/>
      <c r="U468" s="222"/>
      <c r="V468" s="222"/>
      <c r="W468" s="230"/>
      <c r="X468" s="331">
        <f t="shared" si="23"/>
        <v>0</v>
      </c>
      <c r="Y468" s="222"/>
      <c r="Z468" s="272">
        <f t="shared" si="21"/>
        <v>0</v>
      </c>
      <c r="AA468" s="331"/>
      <c r="AB468" s="331"/>
      <c r="AC468" s="331"/>
      <c r="AD468" s="331"/>
      <c r="AE468" s="331"/>
      <c r="AF468" s="331"/>
      <c r="AG468" s="331"/>
      <c r="AH468" s="241">
        <f t="shared" ca="1" si="22"/>
        <v>46153</v>
      </c>
      <c r="AI468" s="272"/>
      <c r="AJ468" s="222"/>
      <c r="AK468" s="222"/>
    </row>
    <row r="469" spans="1:37" ht="23" hidden="1">
      <c r="A469" s="111">
        <v>329</v>
      </c>
      <c r="B469" s="112">
        <v>7</v>
      </c>
      <c r="C469" s="113" t="s">
        <v>2938</v>
      </c>
      <c r="D469" s="147" t="s">
        <v>2939</v>
      </c>
      <c r="E469" s="114" t="s">
        <v>2940</v>
      </c>
      <c r="F469" s="115" t="s">
        <v>994</v>
      </c>
      <c r="G469" s="115" t="s">
        <v>1094</v>
      </c>
      <c r="H469" s="117">
        <v>13.803339599999999</v>
      </c>
      <c r="I469" s="117">
        <v>100.5543231</v>
      </c>
      <c r="J469" s="116" t="s">
        <v>969</v>
      </c>
      <c r="K469" s="115" t="s">
        <v>1048</v>
      </c>
      <c r="L469" s="117" t="s">
        <v>2941</v>
      </c>
      <c r="M469" s="117">
        <v>77098357</v>
      </c>
      <c r="N469" s="121" t="s">
        <v>1050</v>
      </c>
      <c r="O469" s="121" t="s">
        <v>995</v>
      </c>
      <c r="P469" s="117" t="s">
        <v>952</v>
      </c>
      <c r="Q469" s="125" t="s">
        <v>972</v>
      </c>
      <c r="R469" s="125" t="s">
        <v>972</v>
      </c>
      <c r="S469" s="125" t="s">
        <v>972</v>
      </c>
      <c r="T469" s="222"/>
      <c r="U469" s="222"/>
      <c r="V469" s="222"/>
      <c r="W469" s="230"/>
      <c r="X469" s="331">
        <f t="shared" si="23"/>
        <v>0</v>
      </c>
      <c r="Y469" s="222"/>
      <c r="Z469" s="272">
        <f t="shared" si="21"/>
        <v>0</v>
      </c>
      <c r="AA469" s="331"/>
      <c r="AB469" s="331"/>
      <c r="AC469" s="331"/>
      <c r="AD469" s="331"/>
      <c r="AE469" s="331"/>
      <c r="AF469" s="331"/>
      <c r="AG469" s="331"/>
      <c r="AH469" s="241">
        <f t="shared" ca="1" si="22"/>
        <v>46153</v>
      </c>
      <c r="AI469" s="272"/>
      <c r="AJ469" s="222"/>
      <c r="AK469" s="222"/>
    </row>
    <row r="470" spans="1:37" ht="23" hidden="1">
      <c r="A470" s="111">
        <v>330</v>
      </c>
      <c r="B470" s="112">
        <v>3</v>
      </c>
      <c r="C470" s="122" t="s">
        <v>2942</v>
      </c>
      <c r="D470" s="147" t="s">
        <v>2943</v>
      </c>
      <c r="E470" s="123" t="s">
        <v>2944</v>
      </c>
      <c r="F470" s="115" t="s">
        <v>994</v>
      </c>
      <c r="G470" s="115" t="s">
        <v>1094</v>
      </c>
      <c r="H470" s="116">
        <v>13.805726200000001</v>
      </c>
      <c r="I470" s="116">
        <v>100.5557596</v>
      </c>
      <c r="J470" s="116" t="s">
        <v>969</v>
      </c>
      <c r="K470" s="116" t="s">
        <v>970</v>
      </c>
      <c r="L470" s="117" t="s">
        <v>2945</v>
      </c>
      <c r="M470" s="117" t="s">
        <v>2946</v>
      </c>
      <c r="N470" s="121" t="s">
        <v>1050</v>
      </c>
      <c r="O470" s="121" t="s">
        <v>995</v>
      </c>
      <c r="P470" s="117" t="s">
        <v>952</v>
      </c>
      <c r="Q470" s="125" t="s">
        <v>972</v>
      </c>
      <c r="R470" s="125" t="s">
        <v>972</v>
      </c>
      <c r="S470" s="125" t="s">
        <v>972</v>
      </c>
      <c r="T470" s="316" t="s">
        <v>5178</v>
      </c>
      <c r="U470" s="312" t="s">
        <v>5231</v>
      </c>
      <c r="V470" s="287">
        <v>45104</v>
      </c>
      <c r="W470" s="552">
        <v>4</v>
      </c>
      <c r="X470" s="331">
        <f t="shared" si="23"/>
        <v>45108</v>
      </c>
      <c r="Y470" s="316"/>
      <c r="Z470" s="318" t="e">
        <f t="shared" si="21"/>
        <v>#NUM!</v>
      </c>
      <c r="AA470" s="331"/>
      <c r="AB470" s="331"/>
      <c r="AC470" s="331"/>
      <c r="AD470" s="331"/>
      <c r="AE470" s="331"/>
      <c r="AF470" s="331"/>
      <c r="AG470" s="331"/>
      <c r="AH470" s="317">
        <f t="shared" ca="1" si="22"/>
        <v>46153</v>
      </c>
      <c r="AI470" s="318"/>
      <c r="AJ470" s="316" t="s">
        <v>5224</v>
      </c>
      <c r="AK470" s="316"/>
    </row>
    <row r="471" spans="1:37" ht="23" hidden="1">
      <c r="A471" s="111">
        <v>337</v>
      </c>
      <c r="B471" s="112">
        <v>3</v>
      </c>
      <c r="C471" s="122" t="s">
        <v>2961</v>
      </c>
      <c r="D471" s="147" t="s">
        <v>2962</v>
      </c>
      <c r="E471" s="123" t="s">
        <v>2963</v>
      </c>
      <c r="F471" s="115" t="s">
        <v>994</v>
      </c>
      <c r="G471" s="115" t="s">
        <v>983</v>
      </c>
      <c r="H471" s="116">
        <v>13.7943107</v>
      </c>
      <c r="I471" s="116">
        <v>100.5498388</v>
      </c>
      <c r="J471" s="115" t="s">
        <v>2108</v>
      </c>
      <c r="K471" s="117" t="s">
        <v>2109</v>
      </c>
      <c r="L471" s="117" t="s">
        <v>2110</v>
      </c>
      <c r="M471" s="121" t="s">
        <v>972</v>
      </c>
      <c r="N471" s="121" t="s">
        <v>972</v>
      </c>
      <c r="O471" s="121" t="s">
        <v>958</v>
      </c>
      <c r="P471" s="117" t="s">
        <v>1876</v>
      </c>
      <c r="Q471" s="125" t="s">
        <v>972</v>
      </c>
      <c r="R471" s="125" t="s">
        <v>972</v>
      </c>
      <c r="S471" s="125" t="s">
        <v>972</v>
      </c>
      <c r="T471" s="222"/>
      <c r="U471" s="222"/>
      <c r="V471" s="222"/>
      <c r="W471" s="230"/>
      <c r="X471" s="331">
        <f t="shared" si="23"/>
        <v>0</v>
      </c>
      <c r="Y471" s="222"/>
      <c r="Z471" s="272">
        <f t="shared" si="21"/>
        <v>0</v>
      </c>
      <c r="AA471" s="331"/>
      <c r="AB471" s="331"/>
      <c r="AC471" s="331"/>
      <c r="AD471" s="331"/>
      <c r="AE471" s="331"/>
      <c r="AF471" s="331"/>
      <c r="AG471" s="331"/>
      <c r="AH471" s="241">
        <f t="shared" ca="1" si="22"/>
        <v>46153</v>
      </c>
      <c r="AI471" s="272"/>
      <c r="AJ471" s="222"/>
      <c r="AK471" s="222"/>
    </row>
    <row r="472" spans="1:37" s="345" customFormat="1" ht="23" hidden="1">
      <c r="A472" s="111">
        <v>339</v>
      </c>
      <c r="B472" s="112" t="s">
        <v>919</v>
      </c>
      <c r="C472" s="122" t="s">
        <v>2967</v>
      </c>
      <c r="D472" s="147" t="s">
        <v>2968</v>
      </c>
      <c r="E472" s="123" t="s">
        <v>2969</v>
      </c>
      <c r="F472" s="116" t="s">
        <v>994</v>
      </c>
      <c r="G472" s="116" t="s">
        <v>983</v>
      </c>
      <c r="H472" s="116">
        <v>13.7885419</v>
      </c>
      <c r="I472" s="116">
        <v>100.5478899</v>
      </c>
      <c r="J472" s="115" t="s">
        <v>2108</v>
      </c>
      <c r="K472" s="117" t="s">
        <v>2109</v>
      </c>
      <c r="L472" s="117" t="s">
        <v>2110</v>
      </c>
      <c r="M472" s="121" t="s">
        <v>972</v>
      </c>
      <c r="N472" s="121" t="s">
        <v>972</v>
      </c>
      <c r="O472" s="121" t="s">
        <v>958</v>
      </c>
      <c r="P472" s="117" t="s">
        <v>1876</v>
      </c>
      <c r="Q472" s="125" t="s">
        <v>972</v>
      </c>
      <c r="R472" s="125" t="s">
        <v>972</v>
      </c>
      <c r="S472" s="125" t="s">
        <v>972</v>
      </c>
      <c r="T472" s="222"/>
      <c r="U472" s="222"/>
      <c r="V472" s="222"/>
      <c r="W472" s="230"/>
      <c r="X472" s="331">
        <f t="shared" si="23"/>
        <v>0</v>
      </c>
      <c r="Y472" s="222"/>
      <c r="Z472" s="272">
        <f t="shared" si="21"/>
        <v>0</v>
      </c>
      <c r="AA472" s="331"/>
      <c r="AB472" s="331"/>
      <c r="AC472" s="331"/>
      <c r="AD472" s="331"/>
      <c r="AE472" s="331"/>
      <c r="AF472" s="331"/>
      <c r="AG472" s="331"/>
      <c r="AH472" s="241">
        <f t="shared" ca="1" si="22"/>
        <v>46153</v>
      </c>
      <c r="AI472" s="272"/>
      <c r="AJ472" s="222"/>
      <c r="AK472" s="222"/>
    </row>
    <row r="473" spans="1:37" ht="23" hidden="1">
      <c r="A473" s="111">
        <v>363</v>
      </c>
      <c r="B473" s="112">
        <v>6</v>
      </c>
      <c r="C473" s="113" t="s">
        <v>3026</v>
      </c>
      <c r="D473" s="147" t="s">
        <v>3027</v>
      </c>
      <c r="E473" s="114" t="s">
        <v>3028</v>
      </c>
      <c r="F473" s="115" t="s">
        <v>994</v>
      </c>
      <c r="G473" s="115" t="s">
        <v>1094</v>
      </c>
      <c r="H473" s="116">
        <v>13.852037299999999</v>
      </c>
      <c r="I473" s="116">
        <v>100.5827306</v>
      </c>
      <c r="J473" s="115" t="s">
        <v>2108</v>
      </c>
      <c r="K473" s="117" t="s">
        <v>2109</v>
      </c>
      <c r="L473" s="117" t="s">
        <v>2110</v>
      </c>
      <c r="M473" s="199" t="s">
        <v>972</v>
      </c>
      <c r="N473" s="199" t="s">
        <v>972</v>
      </c>
      <c r="O473" s="199" t="s">
        <v>995</v>
      </c>
      <c r="P473" s="339" t="s">
        <v>952</v>
      </c>
      <c r="Q473" s="340" t="s">
        <v>972</v>
      </c>
      <c r="R473" s="340" t="s">
        <v>972</v>
      </c>
      <c r="S473" s="340" t="s">
        <v>972</v>
      </c>
      <c r="T473" s="342"/>
      <c r="U473" s="342"/>
      <c r="V473" s="342"/>
      <c r="W473" s="553"/>
      <c r="X473" s="331">
        <f t="shared" si="23"/>
        <v>0</v>
      </c>
      <c r="Y473" s="342"/>
      <c r="Z473" s="344">
        <f t="shared" si="21"/>
        <v>0</v>
      </c>
      <c r="AA473" s="331"/>
      <c r="AB473" s="331"/>
      <c r="AC473" s="331"/>
      <c r="AD473" s="331"/>
      <c r="AE473" s="331"/>
      <c r="AF473" s="331"/>
      <c r="AG473" s="331"/>
      <c r="AH473" s="343">
        <f t="shared" ca="1" si="22"/>
        <v>46153</v>
      </c>
      <c r="AI473" s="344"/>
      <c r="AJ473" s="342"/>
      <c r="AK473" s="342"/>
    </row>
    <row r="474" spans="1:37" ht="23" hidden="1">
      <c r="A474" s="111">
        <v>380</v>
      </c>
      <c r="B474" s="112">
        <v>13</v>
      </c>
      <c r="C474" s="113" t="s">
        <v>3062</v>
      </c>
      <c r="D474" s="147" t="s">
        <v>3063</v>
      </c>
      <c r="E474" s="114" t="s">
        <v>3064</v>
      </c>
      <c r="F474" s="115" t="s">
        <v>994</v>
      </c>
      <c r="G474" s="115" t="s">
        <v>983</v>
      </c>
      <c r="H474" s="116">
        <v>13.7692432</v>
      </c>
      <c r="I474" s="116">
        <v>100.5408001</v>
      </c>
      <c r="J474" s="116" t="s">
        <v>969</v>
      </c>
      <c r="K474" s="115" t="s">
        <v>1048</v>
      </c>
      <c r="L474" s="117" t="s">
        <v>3065</v>
      </c>
      <c r="M474" s="117">
        <v>96941197</v>
      </c>
      <c r="N474" s="121" t="s">
        <v>1050</v>
      </c>
      <c r="O474" s="121" t="s">
        <v>958</v>
      </c>
      <c r="P474" s="117" t="s">
        <v>1876</v>
      </c>
      <c r="Q474" s="125" t="s">
        <v>972</v>
      </c>
      <c r="R474" s="125" t="s">
        <v>972</v>
      </c>
      <c r="S474" s="125" t="s">
        <v>972</v>
      </c>
      <c r="T474" s="222"/>
      <c r="U474" s="222"/>
      <c r="V474" s="222"/>
      <c r="W474" s="230"/>
      <c r="X474" s="331">
        <f t="shared" si="23"/>
        <v>0</v>
      </c>
      <c r="Y474" s="222"/>
      <c r="Z474" s="272">
        <f t="shared" si="21"/>
        <v>0</v>
      </c>
      <c r="AA474" s="331"/>
      <c r="AB474" s="331"/>
      <c r="AC474" s="331"/>
      <c r="AD474" s="331"/>
      <c r="AE474" s="331"/>
      <c r="AF474" s="331"/>
      <c r="AG474" s="331"/>
      <c r="AH474" s="241">
        <f t="shared" ca="1" si="22"/>
        <v>46153</v>
      </c>
      <c r="AI474" s="272"/>
      <c r="AJ474" s="222"/>
      <c r="AK474" s="222"/>
    </row>
    <row r="475" spans="1:37" ht="23" hidden="1">
      <c r="A475" s="111">
        <v>381</v>
      </c>
      <c r="B475" s="112">
        <v>8</v>
      </c>
      <c r="C475" s="113" t="s">
        <v>3066</v>
      </c>
      <c r="D475" s="147" t="s">
        <v>3067</v>
      </c>
      <c r="E475" s="114" t="s">
        <v>3068</v>
      </c>
      <c r="F475" s="115" t="s">
        <v>994</v>
      </c>
      <c r="G475" s="115" t="s">
        <v>1094</v>
      </c>
      <c r="H475" s="116">
        <v>13.848164799999999</v>
      </c>
      <c r="I475" s="116">
        <v>100.58067990000001</v>
      </c>
      <c r="J475" s="116" t="s">
        <v>969</v>
      </c>
      <c r="K475" s="115" t="s">
        <v>1048</v>
      </c>
      <c r="L475" s="117" t="s">
        <v>3069</v>
      </c>
      <c r="M475" s="117">
        <v>96940076</v>
      </c>
      <c r="N475" s="121" t="s">
        <v>892</v>
      </c>
      <c r="O475" s="121" t="s">
        <v>995</v>
      </c>
      <c r="P475" s="118" t="s">
        <v>952</v>
      </c>
      <c r="Q475" s="125" t="s">
        <v>972</v>
      </c>
      <c r="R475" s="125" t="s">
        <v>972</v>
      </c>
      <c r="S475" s="125" t="s">
        <v>972</v>
      </c>
      <c r="T475" s="222"/>
      <c r="U475" s="222"/>
      <c r="V475" s="222"/>
      <c r="W475" s="230"/>
      <c r="X475" s="331">
        <f t="shared" si="23"/>
        <v>0</v>
      </c>
      <c r="Y475" s="222"/>
      <c r="Z475" s="272">
        <f t="shared" si="21"/>
        <v>0</v>
      </c>
      <c r="AA475" s="331"/>
      <c r="AB475" s="331"/>
      <c r="AC475" s="331"/>
      <c r="AD475" s="331"/>
      <c r="AE475" s="331"/>
      <c r="AF475" s="331"/>
      <c r="AG475" s="331"/>
      <c r="AH475" s="241">
        <f t="shared" ca="1" si="22"/>
        <v>46153</v>
      </c>
      <c r="AI475" s="272"/>
      <c r="AJ475" s="222"/>
      <c r="AK475" s="222"/>
    </row>
    <row r="476" spans="1:37" ht="23" hidden="1">
      <c r="A476" s="111">
        <v>382</v>
      </c>
      <c r="B476" s="112">
        <v>14</v>
      </c>
      <c r="C476" s="122" t="s">
        <v>3070</v>
      </c>
      <c r="D476" s="147" t="s">
        <v>3071</v>
      </c>
      <c r="E476" s="123" t="s">
        <v>3072</v>
      </c>
      <c r="F476" s="116" t="s">
        <v>994</v>
      </c>
      <c r="G476" s="116" t="s">
        <v>1094</v>
      </c>
      <c r="H476" s="116">
        <v>13.852399399999999</v>
      </c>
      <c r="I476" s="116">
        <v>100.5831603</v>
      </c>
      <c r="J476" s="116" t="s">
        <v>969</v>
      </c>
      <c r="K476" s="115" t="s">
        <v>1048</v>
      </c>
      <c r="L476" s="117" t="s">
        <v>3073</v>
      </c>
      <c r="M476" s="339">
        <v>96940071</v>
      </c>
      <c r="N476" s="199" t="s">
        <v>892</v>
      </c>
      <c r="O476" s="199" t="s">
        <v>995</v>
      </c>
      <c r="P476" s="346" t="s">
        <v>952</v>
      </c>
      <c r="Q476" s="340" t="s">
        <v>972</v>
      </c>
      <c r="R476" s="341" t="s">
        <v>972</v>
      </c>
      <c r="S476" s="340" t="s">
        <v>972</v>
      </c>
      <c r="T476" s="342"/>
      <c r="U476" s="342"/>
      <c r="V476" s="342"/>
      <c r="W476" s="553"/>
      <c r="X476" s="331">
        <f t="shared" si="23"/>
        <v>0</v>
      </c>
      <c r="Y476" s="342"/>
      <c r="Z476" s="344">
        <f t="shared" si="21"/>
        <v>0</v>
      </c>
      <c r="AA476" s="331"/>
      <c r="AB476" s="331"/>
      <c r="AC476" s="331"/>
      <c r="AD476" s="331"/>
      <c r="AE476" s="331"/>
      <c r="AF476" s="331"/>
      <c r="AG476" s="331"/>
      <c r="AH476" s="343">
        <f t="shared" ca="1" si="22"/>
        <v>46153</v>
      </c>
      <c r="AI476" s="344"/>
      <c r="AJ476" s="342"/>
      <c r="AK476" s="342"/>
    </row>
    <row r="477" spans="1:37" ht="23.25" hidden="1" customHeight="1">
      <c r="A477" s="111">
        <v>418</v>
      </c>
      <c r="B477" s="112">
        <v>11</v>
      </c>
      <c r="C477" s="113" t="s">
        <v>3153</v>
      </c>
      <c r="D477" s="147" t="s">
        <v>3154</v>
      </c>
      <c r="E477" s="114" t="s">
        <v>3155</v>
      </c>
      <c r="F477" s="115" t="s">
        <v>994</v>
      </c>
      <c r="G477" s="115" t="s">
        <v>983</v>
      </c>
      <c r="H477" s="116">
        <v>13.778033000000001</v>
      </c>
      <c r="I477" s="116">
        <v>100.54397299999999</v>
      </c>
      <c r="J477" s="115" t="s">
        <v>2108</v>
      </c>
      <c r="K477" s="117" t="s">
        <v>2109</v>
      </c>
      <c r="L477" s="117" t="s">
        <v>2110</v>
      </c>
      <c r="M477" s="121" t="s">
        <v>972</v>
      </c>
      <c r="N477" s="121" t="s">
        <v>972</v>
      </c>
      <c r="O477" s="121" t="s">
        <v>958</v>
      </c>
      <c r="P477" s="117" t="s">
        <v>952</v>
      </c>
      <c r="Q477" s="125" t="s">
        <v>972</v>
      </c>
      <c r="R477" s="125" t="s">
        <v>972</v>
      </c>
      <c r="S477" s="125" t="s">
        <v>972</v>
      </c>
      <c r="T477" s="222"/>
      <c r="U477" s="222"/>
      <c r="V477" s="222"/>
      <c r="W477" s="230"/>
      <c r="X477" s="331">
        <f t="shared" si="23"/>
        <v>0</v>
      </c>
      <c r="Y477" s="222"/>
      <c r="Z477" s="272">
        <f t="shared" si="21"/>
        <v>0</v>
      </c>
      <c r="AA477" s="331"/>
      <c r="AB477" s="331"/>
      <c r="AC477" s="331"/>
      <c r="AD477" s="331"/>
      <c r="AE477" s="331"/>
      <c r="AF477" s="331"/>
      <c r="AG477" s="331"/>
      <c r="AH477" s="241">
        <f t="shared" ca="1" si="22"/>
        <v>46153</v>
      </c>
      <c r="AI477" s="272"/>
      <c r="AJ477" s="222"/>
      <c r="AK477" s="222"/>
    </row>
    <row r="478" spans="1:37" ht="23" hidden="1">
      <c r="A478" s="111">
        <v>427</v>
      </c>
      <c r="B478" s="112" t="s">
        <v>979</v>
      </c>
      <c r="C478" s="122" t="s">
        <v>3178</v>
      </c>
      <c r="D478" s="147" t="s">
        <v>3179</v>
      </c>
      <c r="E478" s="123" t="s">
        <v>3180</v>
      </c>
      <c r="F478" s="116" t="s">
        <v>994</v>
      </c>
      <c r="G478" s="116" t="s">
        <v>983</v>
      </c>
      <c r="H478" s="116">
        <v>13.7821076</v>
      </c>
      <c r="I478" s="116">
        <v>100.5456039</v>
      </c>
      <c r="J478" s="115" t="s">
        <v>2108</v>
      </c>
      <c r="K478" s="117" t="s">
        <v>2109</v>
      </c>
      <c r="L478" s="117" t="s">
        <v>2110</v>
      </c>
      <c r="M478" s="121" t="s">
        <v>972</v>
      </c>
      <c r="N478" s="121" t="s">
        <v>972</v>
      </c>
      <c r="O478" s="121" t="s">
        <v>958</v>
      </c>
      <c r="P478" s="117" t="s">
        <v>1876</v>
      </c>
      <c r="Q478" s="125" t="s">
        <v>972</v>
      </c>
      <c r="R478" s="130" t="s">
        <v>972</v>
      </c>
      <c r="S478" s="125" t="s">
        <v>972</v>
      </c>
      <c r="T478" s="222"/>
      <c r="U478" s="222"/>
      <c r="V478" s="222"/>
      <c r="W478" s="230"/>
      <c r="X478" s="331">
        <f t="shared" si="23"/>
        <v>0</v>
      </c>
      <c r="Y478" s="222"/>
      <c r="Z478" s="272">
        <f t="shared" si="21"/>
        <v>0</v>
      </c>
      <c r="AA478" s="331"/>
      <c r="AB478" s="331"/>
      <c r="AC478" s="331"/>
      <c r="AD478" s="331"/>
      <c r="AE478" s="331"/>
      <c r="AF478" s="331"/>
      <c r="AG478" s="331"/>
      <c r="AH478" s="241">
        <f t="shared" ca="1" si="22"/>
        <v>46153</v>
      </c>
      <c r="AI478" s="272"/>
      <c r="AJ478" s="222"/>
      <c r="AK478" s="222"/>
    </row>
    <row r="479" spans="1:37" ht="23" hidden="1">
      <c r="A479" s="111">
        <v>468</v>
      </c>
      <c r="B479" s="112" t="s">
        <v>1553</v>
      </c>
      <c r="C479" s="122" t="s">
        <v>3272</v>
      </c>
      <c r="D479" s="147" t="s">
        <v>3273</v>
      </c>
      <c r="E479" s="123" t="s">
        <v>3274</v>
      </c>
      <c r="F479" s="116" t="s">
        <v>994</v>
      </c>
      <c r="G479" s="116" t="s">
        <v>983</v>
      </c>
      <c r="H479" s="116">
        <v>13.778612499999999</v>
      </c>
      <c r="I479" s="116">
        <v>100.544144</v>
      </c>
      <c r="J479" s="115" t="s">
        <v>2108</v>
      </c>
      <c r="K479" s="117" t="s">
        <v>2109</v>
      </c>
      <c r="L479" s="117" t="s">
        <v>2110</v>
      </c>
      <c r="M479" s="121" t="s">
        <v>972</v>
      </c>
      <c r="N479" s="121" t="s">
        <v>972</v>
      </c>
      <c r="O479" s="121" t="s">
        <v>958</v>
      </c>
      <c r="P479" s="117" t="s">
        <v>952</v>
      </c>
      <c r="Q479" s="125" t="s">
        <v>972</v>
      </c>
      <c r="R479" s="130" t="s">
        <v>972</v>
      </c>
      <c r="S479" s="125" t="s">
        <v>972</v>
      </c>
      <c r="T479" s="222"/>
      <c r="U479" s="222"/>
      <c r="V479" s="222"/>
      <c r="W479" s="230"/>
      <c r="X479" s="331">
        <f t="shared" si="23"/>
        <v>0</v>
      </c>
      <c r="Y479" s="222"/>
      <c r="Z479" s="272">
        <f t="shared" si="21"/>
        <v>0</v>
      </c>
      <c r="AA479" s="331"/>
      <c r="AB479" s="331"/>
      <c r="AC479" s="331"/>
      <c r="AD479" s="331"/>
      <c r="AE479" s="331"/>
      <c r="AF479" s="331"/>
      <c r="AG479" s="331"/>
      <c r="AH479" s="241">
        <f t="shared" ca="1" si="22"/>
        <v>46153</v>
      </c>
      <c r="AI479" s="272"/>
      <c r="AJ479" s="222"/>
      <c r="AK479" s="222"/>
    </row>
    <row r="480" spans="1:37" ht="23" hidden="1">
      <c r="A480" s="111">
        <v>484</v>
      </c>
      <c r="B480" s="112">
        <v>12</v>
      </c>
      <c r="C480" s="122" t="s">
        <v>3315</v>
      </c>
      <c r="D480" s="147" t="s">
        <v>3316</v>
      </c>
      <c r="E480" s="123" t="s">
        <v>3317</v>
      </c>
      <c r="F480" s="116" t="s">
        <v>994</v>
      </c>
      <c r="G480" s="116" t="s">
        <v>1094</v>
      </c>
      <c r="H480" s="116">
        <v>13.8017912</v>
      </c>
      <c r="I480" s="116">
        <v>100.5534318</v>
      </c>
      <c r="J480" s="115" t="s">
        <v>2108</v>
      </c>
      <c r="K480" s="117" t="s">
        <v>2109</v>
      </c>
      <c r="L480" s="117" t="s">
        <v>2110</v>
      </c>
      <c r="M480" s="121" t="s">
        <v>972</v>
      </c>
      <c r="N480" s="121" t="s">
        <v>972</v>
      </c>
      <c r="O480" s="121" t="s">
        <v>995</v>
      </c>
      <c r="P480" s="117" t="s">
        <v>952</v>
      </c>
      <c r="Q480" s="125" t="s">
        <v>972</v>
      </c>
      <c r="R480" s="130" t="s">
        <v>972</v>
      </c>
      <c r="S480" s="125" t="s">
        <v>972</v>
      </c>
      <c r="T480" s="222"/>
      <c r="U480" s="222"/>
      <c r="V480" s="222"/>
      <c r="W480" s="230"/>
      <c r="X480" s="331">
        <f t="shared" si="23"/>
        <v>0</v>
      </c>
      <c r="Y480" s="222"/>
      <c r="Z480" s="272">
        <f t="shared" si="21"/>
        <v>0</v>
      </c>
      <c r="AA480" s="331"/>
      <c r="AB480" s="331"/>
      <c r="AC480" s="331"/>
      <c r="AD480" s="331"/>
      <c r="AE480" s="331"/>
      <c r="AF480" s="331"/>
      <c r="AG480" s="331"/>
      <c r="AH480" s="241">
        <f t="shared" ca="1" si="22"/>
        <v>46153</v>
      </c>
      <c r="AI480" s="272"/>
      <c r="AJ480" s="222"/>
      <c r="AK480" s="222"/>
    </row>
    <row r="481" spans="1:37" ht="23" hidden="1">
      <c r="A481" s="111">
        <v>511</v>
      </c>
      <c r="B481" s="112">
        <v>13</v>
      </c>
      <c r="C481" s="113" t="s">
        <v>3397</v>
      </c>
      <c r="D481" s="147" t="s">
        <v>3398</v>
      </c>
      <c r="E481" s="114" t="s">
        <v>3399</v>
      </c>
      <c r="F481" s="115" t="s">
        <v>994</v>
      </c>
      <c r="G481" s="115" t="s">
        <v>1094</v>
      </c>
      <c r="H481" s="116">
        <v>13.81034</v>
      </c>
      <c r="I481" s="116">
        <v>100.558151</v>
      </c>
      <c r="J481" s="115" t="s">
        <v>2108</v>
      </c>
      <c r="K481" s="117" t="s">
        <v>2109</v>
      </c>
      <c r="L481" s="117" t="s">
        <v>2110</v>
      </c>
      <c r="M481" s="121" t="s">
        <v>972</v>
      </c>
      <c r="N481" s="121" t="s">
        <v>972</v>
      </c>
      <c r="O481" s="121" t="s">
        <v>995</v>
      </c>
      <c r="P481" s="117" t="s">
        <v>1876</v>
      </c>
      <c r="Q481" s="125" t="s">
        <v>972</v>
      </c>
      <c r="R481" s="130" t="s">
        <v>972</v>
      </c>
      <c r="S481" s="125" t="s">
        <v>972</v>
      </c>
      <c r="T481" s="222"/>
      <c r="U481" s="222"/>
      <c r="V481" s="222"/>
      <c r="W481" s="230"/>
      <c r="X481" s="331">
        <f t="shared" si="23"/>
        <v>0</v>
      </c>
      <c r="Y481" s="222"/>
      <c r="Z481" s="272">
        <f t="shared" si="21"/>
        <v>0</v>
      </c>
      <c r="AA481" s="331"/>
      <c r="AB481" s="331"/>
      <c r="AC481" s="331"/>
      <c r="AD481" s="331"/>
      <c r="AE481" s="331"/>
      <c r="AF481" s="331"/>
      <c r="AG481" s="331"/>
      <c r="AH481" s="241">
        <f t="shared" ca="1" si="22"/>
        <v>46153</v>
      </c>
      <c r="AI481" s="272"/>
      <c r="AJ481" s="222"/>
      <c r="AK481" s="222"/>
    </row>
    <row r="482" spans="1:37" s="345" customFormat="1" ht="23" hidden="1">
      <c r="A482" s="111">
        <v>512</v>
      </c>
      <c r="B482" s="112">
        <v>12</v>
      </c>
      <c r="C482" s="122" t="s">
        <v>3400</v>
      </c>
      <c r="D482" s="147" t="s">
        <v>3401</v>
      </c>
      <c r="E482" s="123" t="s">
        <v>3402</v>
      </c>
      <c r="F482" s="116" t="s">
        <v>994</v>
      </c>
      <c r="G482" s="116" t="s">
        <v>983</v>
      </c>
      <c r="H482" s="116">
        <v>13.7797775</v>
      </c>
      <c r="I482" s="116">
        <v>100.5445812</v>
      </c>
      <c r="J482" s="115" t="s">
        <v>2108</v>
      </c>
      <c r="K482" s="117" t="s">
        <v>2109</v>
      </c>
      <c r="L482" s="117" t="s">
        <v>2110</v>
      </c>
      <c r="M482" s="121" t="s">
        <v>972</v>
      </c>
      <c r="N482" s="121" t="s">
        <v>972</v>
      </c>
      <c r="O482" s="121" t="s">
        <v>958</v>
      </c>
      <c r="P482" s="117" t="s">
        <v>952</v>
      </c>
      <c r="Q482" s="125" t="s">
        <v>972</v>
      </c>
      <c r="R482" s="125" t="s">
        <v>972</v>
      </c>
      <c r="S482" s="125" t="s">
        <v>972</v>
      </c>
      <c r="T482" s="222"/>
      <c r="U482" s="222"/>
      <c r="V482" s="222"/>
      <c r="W482" s="230"/>
      <c r="X482" s="331">
        <f t="shared" si="23"/>
        <v>0</v>
      </c>
      <c r="Y482" s="222"/>
      <c r="Z482" s="272">
        <f t="shared" si="21"/>
        <v>0</v>
      </c>
      <c r="AA482" s="331"/>
      <c r="AB482" s="331"/>
      <c r="AC482" s="331"/>
      <c r="AD482" s="331"/>
      <c r="AE482" s="331"/>
      <c r="AF482" s="331"/>
      <c r="AG482" s="331"/>
      <c r="AH482" s="241">
        <f t="shared" ca="1" si="22"/>
        <v>46153</v>
      </c>
      <c r="AI482" s="272"/>
      <c r="AJ482" s="222"/>
      <c r="AK482" s="222"/>
    </row>
    <row r="483" spans="1:37" ht="23" hidden="1">
      <c r="A483" s="111">
        <v>517</v>
      </c>
      <c r="B483" s="112">
        <v>6</v>
      </c>
      <c r="C483" s="113" t="s">
        <v>3418</v>
      </c>
      <c r="D483" s="147" t="s">
        <v>3419</v>
      </c>
      <c r="E483" s="114" t="s">
        <v>3420</v>
      </c>
      <c r="F483" s="115" t="s">
        <v>994</v>
      </c>
      <c r="G483" s="115" t="s">
        <v>1094</v>
      </c>
      <c r="H483" s="116">
        <v>13.821009999999999</v>
      </c>
      <c r="I483" s="116">
        <v>100.56472599999999</v>
      </c>
      <c r="J483" s="116" t="s">
        <v>2097</v>
      </c>
      <c r="K483" s="116" t="s">
        <v>2097</v>
      </c>
      <c r="L483" s="117" t="s">
        <v>2132</v>
      </c>
      <c r="M483" s="116" t="s">
        <v>1347</v>
      </c>
      <c r="N483" s="121" t="s">
        <v>892</v>
      </c>
      <c r="O483" s="121" t="s">
        <v>995</v>
      </c>
      <c r="P483" s="117" t="s">
        <v>952</v>
      </c>
      <c r="Q483" s="125" t="s">
        <v>972</v>
      </c>
      <c r="R483" s="125" t="s">
        <v>972</v>
      </c>
      <c r="S483" s="125" t="s">
        <v>972</v>
      </c>
      <c r="T483" s="222"/>
      <c r="U483" s="222"/>
      <c r="V483" s="222"/>
      <c r="W483" s="230"/>
      <c r="X483" s="331">
        <f t="shared" si="23"/>
        <v>0</v>
      </c>
      <c r="Y483" s="222"/>
      <c r="Z483" s="272">
        <f t="shared" si="21"/>
        <v>0</v>
      </c>
      <c r="AA483" s="331"/>
      <c r="AB483" s="331"/>
      <c r="AC483" s="331"/>
      <c r="AD483" s="331"/>
      <c r="AE483" s="331"/>
      <c r="AF483" s="331"/>
      <c r="AG483" s="331"/>
      <c r="AH483" s="241">
        <f t="shared" ca="1" si="22"/>
        <v>46153</v>
      </c>
      <c r="AI483" s="272"/>
      <c r="AJ483" s="222"/>
      <c r="AK483" s="222"/>
    </row>
    <row r="484" spans="1:37" ht="23" hidden="1">
      <c r="A484" s="111">
        <v>521</v>
      </c>
      <c r="B484" s="112">
        <v>15</v>
      </c>
      <c r="C484" s="113" t="s">
        <v>3424</v>
      </c>
      <c r="D484" s="147" t="s">
        <v>3425</v>
      </c>
      <c r="E484" s="114" t="s">
        <v>3426</v>
      </c>
      <c r="F484" s="115" t="s">
        <v>994</v>
      </c>
      <c r="G484" s="115" t="s">
        <v>1094</v>
      </c>
      <c r="H484" s="116">
        <v>13.8214896</v>
      </c>
      <c r="I484" s="116">
        <v>100.56479299999999</v>
      </c>
      <c r="J484" s="116" t="s">
        <v>969</v>
      </c>
      <c r="K484" s="115" t="s">
        <v>1048</v>
      </c>
      <c r="L484" s="117" t="s">
        <v>3427</v>
      </c>
      <c r="M484" s="117">
        <v>96941169</v>
      </c>
      <c r="N484" s="121" t="s">
        <v>892</v>
      </c>
      <c r="O484" s="121" t="s">
        <v>995</v>
      </c>
      <c r="P484" s="117" t="s">
        <v>952</v>
      </c>
      <c r="Q484" s="125" t="s">
        <v>972</v>
      </c>
      <c r="R484" s="130" t="s">
        <v>972</v>
      </c>
      <c r="S484" s="125" t="s">
        <v>972</v>
      </c>
      <c r="T484" s="222"/>
      <c r="U484" s="222"/>
      <c r="V484" s="222"/>
      <c r="W484" s="230"/>
      <c r="X484" s="331">
        <f t="shared" si="23"/>
        <v>0</v>
      </c>
      <c r="Y484" s="222"/>
      <c r="Z484" s="272">
        <f t="shared" si="21"/>
        <v>0</v>
      </c>
      <c r="AA484" s="331"/>
      <c r="AB484" s="331"/>
      <c r="AC484" s="331"/>
      <c r="AD484" s="331"/>
      <c r="AE484" s="331"/>
      <c r="AF484" s="331"/>
      <c r="AG484" s="331"/>
      <c r="AH484" s="241">
        <f t="shared" ca="1" si="22"/>
        <v>46153</v>
      </c>
      <c r="AI484" s="272"/>
      <c r="AJ484" s="222"/>
      <c r="AK484" s="222"/>
    </row>
    <row r="485" spans="1:37" ht="23" hidden="1">
      <c r="A485" s="111">
        <v>533</v>
      </c>
      <c r="B485" s="112" t="s">
        <v>979</v>
      </c>
      <c r="C485" s="113" t="s">
        <v>3455</v>
      </c>
      <c r="D485" s="147" t="s">
        <v>3456</v>
      </c>
      <c r="E485" s="114" t="s">
        <v>3457</v>
      </c>
      <c r="F485" s="115" t="s">
        <v>994</v>
      </c>
      <c r="G485" s="115" t="s">
        <v>1094</v>
      </c>
      <c r="H485" s="116">
        <v>13.845389000000001</v>
      </c>
      <c r="I485" s="116">
        <v>100.57896100000001</v>
      </c>
      <c r="J485" s="115" t="s">
        <v>2108</v>
      </c>
      <c r="K485" s="115" t="s">
        <v>2136</v>
      </c>
      <c r="L485" s="115" t="s">
        <v>2136</v>
      </c>
      <c r="M485" s="121" t="s">
        <v>972</v>
      </c>
      <c r="N485" s="121" t="s">
        <v>972</v>
      </c>
      <c r="O485" s="121" t="s">
        <v>995</v>
      </c>
      <c r="P485" s="117" t="s">
        <v>952</v>
      </c>
      <c r="Q485" s="125" t="s">
        <v>972</v>
      </c>
      <c r="R485" s="130" t="s">
        <v>972</v>
      </c>
      <c r="S485" s="125" t="s">
        <v>972</v>
      </c>
      <c r="T485" s="222"/>
      <c r="U485" s="222"/>
      <c r="V485" s="222"/>
      <c r="W485" s="230"/>
      <c r="X485" s="331">
        <f t="shared" si="23"/>
        <v>0</v>
      </c>
      <c r="Y485" s="222"/>
      <c r="Z485" s="272">
        <f t="shared" si="21"/>
        <v>0</v>
      </c>
      <c r="AA485" s="331"/>
      <c r="AB485" s="331"/>
      <c r="AC485" s="331"/>
      <c r="AD485" s="331"/>
      <c r="AE485" s="331"/>
      <c r="AF485" s="331"/>
      <c r="AG485" s="331"/>
      <c r="AH485" s="241">
        <f t="shared" ca="1" si="22"/>
        <v>46153</v>
      </c>
      <c r="AI485" s="272"/>
      <c r="AJ485" s="222"/>
      <c r="AK485" s="222"/>
    </row>
    <row r="486" spans="1:37" ht="23" hidden="1">
      <c r="A486" s="111">
        <v>563</v>
      </c>
      <c r="B486" s="112" t="s">
        <v>1553</v>
      </c>
      <c r="C486" s="122" t="s">
        <v>3520</v>
      </c>
      <c r="D486" s="147" t="s">
        <v>3521</v>
      </c>
      <c r="E486" s="114" t="s">
        <v>3522</v>
      </c>
      <c r="F486" s="115" t="s">
        <v>994</v>
      </c>
      <c r="G486" s="115" t="s">
        <v>1094</v>
      </c>
      <c r="H486" s="115">
        <v>13.822505100000001</v>
      </c>
      <c r="I486" s="115">
        <v>100.56559900000001</v>
      </c>
      <c r="J486" s="116" t="s">
        <v>969</v>
      </c>
      <c r="K486" s="115" t="s">
        <v>1048</v>
      </c>
      <c r="L486" s="118" t="s">
        <v>3523</v>
      </c>
      <c r="M486" s="117">
        <v>5405399</v>
      </c>
      <c r="N486" s="121" t="s">
        <v>892</v>
      </c>
      <c r="O486" s="121" t="s">
        <v>995</v>
      </c>
      <c r="P486" s="118" t="s">
        <v>952</v>
      </c>
      <c r="Q486" s="125" t="s">
        <v>972</v>
      </c>
      <c r="R486" s="125" t="s">
        <v>972</v>
      </c>
      <c r="S486" s="125" t="s">
        <v>972</v>
      </c>
      <c r="T486" s="222"/>
      <c r="U486" s="222"/>
      <c r="V486" s="222"/>
      <c r="W486" s="230"/>
      <c r="X486" s="331">
        <f t="shared" si="23"/>
        <v>0</v>
      </c>
      <c r="Y486" s="222"/>
      <c r="Z486" s="272">
        <f t="shared" si="21"/>
        <v>0</v>
      </c>
      <c r="AA486" s="331"/>
      <c r="AB486" s="331"/>
      <c r="AC486" s="331"/>
      <c r="AD486" s="331"/>
      <c r="AE486" s="331"/>
      <c r="AF486" s="331"/>
      <c r="AG486" s="331"/>
      <c r="AH486" s="241">
        <f t="shared" ca="1" si="22"/>
        <v>46153</v>
      </c>
      <c r="AI486" s="272"/>
      <c r="AJ486" s="222"/>
      <c r="AK486" s="222"/>
    </row>
    <row r="487" spans="1:37" ht="23" hidden="1">
      <c r="A487" s="111">
        <v>564</v>
      </c>
      <c r="B487" s="112">
        <v>2</v>
      </c>
      <c r="C487" s="113" t="s">
        <v>3524</v>
      </c>
      <c r="D487" s="147" t="s">
        <v>3525</v>
      </c>
      <c r="E487" s="114" t="s">
        <v>3526</v>
      </c>
      <c r="F487" s="115" t="s">
        <v>994</v>
      </c>
      <c r="G487" s="115" t="s">
        <v>1094</v>
      </c>
      <c r="H487" s="116">
        <v>13.845508000000001</v>
      </c>
      <c r="I487" s="116">
        <v>100.578886</v>
      </c>
      <c r="J487" s="116" t="s">
        <v>969</v>
      </c>
      <c r="K487" s="115" t="s">
        <v>1048</v>
      </c>
      <c r="L487" s="117" t="s">
        <v>3527</v>
      </c>
      <c r="M487" s="121">
        <v>77098237</v>
      </c>
      <c r="N487" s="121" t="s">
        <v>892</v>
      </c>
      <c r="O487" s="121" t="s">
        <v>995</v>
      </c>
      <c r="P487" s="118" t="s">
        <v>952</v>
      </c>
      <c r="Q487" s="125" t="s">
        <v>972</v>
      </c>
      <c r="R487" s="130" t="s">
        <v>972</v>
      </c>
      <c r="S487" s="125" t="s">
        <v>972</v>
      </c>
      <c r="T487" s="222"/>
      <c r="U487" s="222"/>
      <c r="V487" s="222"/>
      <c r="W487" s="230"/>
      <c r="X487" s="331">
        <f t="shared" si="23"/>
        <v>0</v>
      </c>
      <c r="Y487" s="222"/>
      <c r="Z487" s="272">
        <f t="shared" si="21"/>
        <v>0</v>
      </c>
      <c r="AA487" s="331"/>
      <c r="AB487" s="331"/>
      <c r="AC487" s="331"/>
      <c r="AD487" s="331"/>
      <c r="AE487" s="331"/>
      <c r="AF487" s="331"/>
      <c r="AG487" s="331"/>
      <c r="AH487" s="241">
        <f t="shared" ca="1" si="22"/>
        <v>46153</v>
      </c>
      <c r="AI487" s="272"/>
      <c r="AJ487" s="222"/>
      <c r="AK487" s="222"/>
    </row>
    <row r="488" spans="1:37" ht="23" hidden="1">
      <c r="A488" s="111">
        <v>565</v>
      </c>
      <c r="B488" s="112" t="s">
        <v>1086</v>
      </c>
      <c r="C488" s="122" t="s">
        <v>3528</v>
      </c>
      <c r="D488" s="147" t="s">
        <v>3529</v>
      </c>
      <c r="E488" s="114" t="s">
        <v>3530</v>
      </c>
      <c r="F488" s="115" t="s">
        <v>994</v>
      </c>
      <c r="G488" s="115" t="s">
        <v>1094</v>
      </c>
      <c r="H488" s="115">
        <v>13.843242200000001</v>
      </c>
      <c r="I488" s="115">
        <v>100.5777185</v>
      </c>
      <c r="J488" s="116" t="s">
        <v>969</v>
      </c>
      <c r="K488" s="115" t="s">
        <v>1048</v>
      </c>
      <c r="L488" s="117" t="s">
        <v>3531</v>
      </c>
      <c r="M488" s="117">
        <v>96940091</v>
      </c>
      <c r="N488" s="121" t="s">
        <v>892</v>
      </c>
      <c r="O488" s="121" t="s">
        <v>995</v>
      </c>
      <c r="P488" s="117" t="s">
        <v>952</v>
      </c>
      <c r="Q488" s="125" t="s">
        <v>972</v>
      </c>
      <c r="R488" s="130" t="s">
        <v>972</v>
      </c>
      <c r="S488" s="125" t="s">
        <v>972</v>
      </c>
      <c r="T488" s="222"/>
      <c r="U488" s="222"/>
      <c r="V488" s="222"/>
      <c r="W488" s="230"/>
      <c r="X488" s="331">
        <f t="shared" si="23"/>
        <v>0</v>
      </c>
      <c r="Y488" s="222"/>
      <c r="Z488" s="272">
        <f t="shared" si="21"/>
        <v>0</v>
      </c>
      <c r="AA488" s="331"/>
      <c r="AB488" s="331"/>
      <c r="AC488" s="331"/>
      <c r="AD488" s="331"/>
      <c r="AE488" s="331"/>
      <c r="AF488" s="331"/>
      <c r="AG488" s="331"/>
      <c r="AH488" s="241">
        <f t="shared" ca="1" si="22"/>
        <v>46153</v>
      </c>
      <c r="AI488" s="272"/>
      <c r="AJ488" s="222"/>
      <c r="AK488" s="222"/>
    </row>
    <row r="489" spans="1:37" ht="23.25" hidden="1" customHeight="1">
      <c r="A489" s="111">
        <v>868</v>
      </c>
      <c r="B489" s="112">
        <v>15</v>
      </c>
      <c r="C489" s="113" t="s">
        <v>3584</v>
      </c>
      <c r="D489" s="147" t="s">
        <v>3585</v>
      </c>
      <c r="E489" s="114" t="s">
        <v>3586</v>
      </c>
      <c r="F489" s="115" t="s">
        <v>994</v>
      </c>
      <c r="G489" s="115" t="s">
        <v>983</v>
      </c>
      <c r="H489" s="116">
        <v>13.794953</v>
      </c>
      <c r="I489" s="116">
        <v>100.550234</v>
      </c>
      <c r="J489" s="116" t="s">
        <v>890</v>
      </c>
      <c r="K489" s="115" t="s">
        <v>891</v>
      </c>
      <c r="L489" s="117" t="s">
        <v>891</v>
      </c>
      <c r="M489" s="117">
        <v>97024711</v>
      </c>
      <c r="N489" s="121" t="s">
        <v>1050</v>
      </c>
      <c r="O489" s="121" t="s">
        <v>958</v>
      </c>
      <c r="P489" s="117" t="s">
        <v>952</v>
      </c>
      <c r="Q489" s="125" t="s">
        <v>972</v>
      </c>
      <c r="R489" s="119" t="s">
        <v>895</v>
      </c>
      <c r="S489" s="119" t="s">
        <v>895</v>
      </c>
      <c r="T489" s="222"/>
      <c r="U489" s="222"/>
      <c r="V489" s="222"/>
      <c r="W489" s="230"/>
      <c r="X489" s="331">
        <f t="shared" si="23"/>
        <v>0</v>
      </c>
      <c r="Y489" s="222"/>
      <c r="Z489" s="272">
        <f t="shared" si="21"/>
        <v>0</v>
      </c>
      <c r="AA489" s="331"/>
      <c r="AB489" s="331"/>
      <c r="AC489" s="331"/>
      <c r="AD489" s="331"/>
      <c r="AE489" s="331"/>
      <c r="AF489" s="331"/>
      <c r="AG489" s="331"/>
      <c r="AH489" s="241">
        <f t="shared" ca="1" si="22"/>
        <v>46153</v>
      </c>
      <c r="AI489" s="272"/>
      <c r="AJ489" s="222"/>
      <c r="AK489" s="222"/>
    </row>
    <row r="490" spans="1:37" ht="16.5" hidden="1" customHeight="1">
      <c r="A490" s="111">
        <v>666</v>
      </c>
      <c r="B490" s="112">
        <v>16</v>
      </c>
      <c r="C490" s="113" t="s">
        <v>3788</v>
      </c>
      <c r="D490" s="147" t="s">
        <v>3789</v>
      </c>
      <c r="E490" s="114" t="s">
        <v>3790</v>
      </c>
      <c r="F490" s="115" t="s">
        <v>994</v>
      </c>
      <c r="G490" s="115" t="s">
        <v>1094</v>
      </c>
      <c r="H490" s="116">
        <v>13.801261</v>
      </c>
      <c r="I490" s="116">
        <v>100.553129</v>
      </c>
      <c r="J490" s="115" t="s">
        <v>2108</v>
      </c>
      <c r="K490" s="117" t="s">
        <v>2109</v>
      </c>
      <c r="L490" s="117" t="s">
        <v>2110</v>
      </c>
      <c r="M490" s="121" t="s">
        <v>972</v>
      </c>
      <c r="N490" s="121" t="s">
        <v>972</v>
      </c>
      <c r="O490" s="121" t="s">
        <v>995</v>
      </c>
      <c r="P490" s="117" t="s">
        <v>952</v>
      </c>
      <c r="Q490" s="125" t="s">
        <v>972</v>
      </c>
      <c r="R490" s="125" t="s">
        <v>972</v>
      </c>
      <c r="S490" s="125" t="s">
        <v>972</v>
      </c>
      <c r="T490" s="222"/>
      <c r="U490" s="222"/>
      <c r="V490" s="222"/>
      <c r="W490" s="230"/>
      <c r="X490" s="331">
        <f t="shared" si="23"/>
        <v>0</v>
      </c>
      <c r="Y490" s="222"/>
      <c r="Z490" s="272">
        <f t="shared" si="21"/>
        <v>0</v>
      </c>
      <c r="AA490" s="331"/>
      <c r="AB490" s="331"/>
      <c r="AC490" s="331"/>
      <c r="AD490" s="331"/>
      <c r="AE490" s="331"/>
      <c r="AF490" s="331"/>
      <c r="AG490" s="331"/>
      <c r="AH490" s="241">
        <f t="shared" ca="1" si="22"/>
        <v>46153</v>
      </c>
      <c r="AI490" s="272"/>
      <c r="AJ490" s="222"/>
      <c r="AK490" s="222"/>
    </row>
    <row r="491" spans="1:37" ht="23" hidden="1">
      <c r="A491" s="111">
        <v>1029</v>
      </c>
      <c r="B491" s="112">
        <v>16</v>
      </c>
      <c r="C491" s="122" t="s">
        <v>3802</v>
      </c>
      <c r="D491" s="147" t="s">
        <v>3803</v>
      </c>
      <c r="E491" s="114" t="s">
        <v>3804</v>
      </c>
      <c r="F491" s="115" t="s">
        <v>994</v>
      </c>
      <c r="G491" s="115" t="s">
        <v>983</v>
      </c>
      <c r="H491" s="115">
        <v>13.7815572</v>
      </c>
      <c r="I491" s="115">
        <v>100.5452126</v>
      </c>
      <c r="J491" s="116" t="s">
        <v>890</v>
      </c>
      <c r="K491" s="115" t="s">
        <v>1212</v>
      </c>
      <c r="L491" s="117" t="s">
        <v>1213</v>
      </c>
      <c r="M491" s="117">
        <v>88018506</v>
      </c>
      <c r="N491" s="121" t="s">
        <v>1050</v>
      </c>
      <c r="O491" s="121" t="s">
        <v>958</v>
      </c>
      <c r="P491" s="117" t="s">
        <v>952</v>
      </c>
      <c r="Q491" s="118">
        <v>80057501</v>
      </c>
      <c r="R491" s="125" t="s">
        <v>972</v>
      </c>
      <c r="S491" s="125" t="s">
        <v>895</v>
      </c>
      <c r="T491" s="222"/>
      <c r="U491" s="222"/>
      <c r="V491" s="222"/>
      <c r="W491" s="230"/>
      <c r="X491" s="331">
        <f t="shared" si="23"/>
        <v>0</v>
      </c>
      <c r="Y491" s="222"/>
      <c r="Z491" s="272">
        <f t="shared" si="21"/>
        <v>0</v>
      </c>
      <c r="AA491" s="331"/>
      <c r="AB491" s="331"/>
      <c r="AC491" s="331"/>
      <c r="AD491" s="331"/>
      <c r="AE491" s="331"/>
      <c r="AF491" s="331"/>
      <c r="AG491" s="331"/>
      <c r="AH491" s="241">
        <f t="shared" ca="1" si="22"/>
        <v>46153</v>
      </c>
      <c r="AI491" s="272"/>
      <c r="AJ491" s="222"/>
      <c r="AK491" s="222"/>
    </row>
    <row r="492" spans="1:37" ht="23" hidden="1">
      <c r="A492" s="111">
        <v>684</v>
      </c>
      <c r="B492" s="112">
        <v>1</v>
      </c>
      <c r="C492" s="113" t="s">
        <v>3815</v>
      </c>
      <c r="D492" s="147" t="s">
        <v>3816</v>
      </c>
      <c r="E492" s="114" t="s">
        <v>3817</v>
      </c>
      <c r="F492" s="115" t="s">
        <v>994</v>
      </c>
      <c r="G492" s="115" t="s">
        <v>1094</v>
      </c>
      <c r="H492" s="116">
        <v>13.83095</v>
      </c>
      <c r="I492" s="116">
        <v>100.570391</v>
      </c>
      <c r="J492" s="115" t="s">
        <v>2108</v>
      </c>
      <c r="K492" s="117" t="s">
        <v>2109</v>
      </c>
      <c r="L492" s="117" t="s">
        <v>2110</v>
      </c>
      <c r="M492" s="121" t="s">
        <v>972</v>
      </c>
      <c r="N492" s="121" t="s">
        <v>972</v>
      </c>
      <c r="O492" s="121" t="s">
        <v>995</v>
      </c>
      <c r="P492" s="117" t="s">
        <v>1876</v>
      </c>
      <c r="Q492" s="125" t="s">
        <v>972</v>
      </c>
      <c r="R492" s="125" t="s">
        <v>972</v>
      </c>
      <c r="S492" s="125" t="s">
        <v>972</v>
      </c>
      <c r="T492" s="222"/>
      <c r="U492" s="222"/>
      <c r="V492" s="222"/>
      <c r="W492" s="230"/>
      <c r="X492" s="331">
        <f t="shared" si="23"/>
        <v>0</v>
      </c>
      <c r="Y492" s="222"/>
      <c r="Z492" s="272">
        <f t="shared" si="21"/>
        <v>0</v>
      </c>
      <c r="AA492" s="331"/>
      <c r="AB492" s="331"/>
      <c r="AC492" s="331"/>
      <c r="AD492" s="331"/>
      <c r="AE492" s="331"/>
      <c r="AF492" s="331"/>
      <c r="AG492" s="331"/>
      <c r="AH492" s="241">
        <f t="shared" ca="1" si="22"/>
        <v>46153</v>
      </c>
      <c r="AI492" s="272"/>
      <c r="AJ492" s="222"/>
      <c r="AK492" s="222"/>
    </row>
    <row r="493" spans="1:37" ht="23" hidden="1">
      <c r="A493" s="111">
        <v>1086</v>
      </c>
      <c r="B493" s="112">
        <v>2</v>
      </c>
      <c r="C493" s="113" t="s">
        <v>3873</v>
      </c>
      <c r="D493" s="147" t="s">
        <v>3874</v>
      </c>
      <c r="E493" s="114" t="s">
        <v>3875</v>
      </c>
      <c r="F493" s="115" t="s">
        <v>994</v>
      </c>
      <c r="G493" s="115" t="s">
        <v>1094</v>
      </c>
      <c r="H493" s="116">
        <v>13.831118999999999</v>
      </c>
      <c r="I493" s="116">
        <v>100.57065</v>
      </c>
      <c r="J493" s="116" t="s">
        <v>890</v>
      </c>
      <c r="K493" s="117" t="s">
        <v>2180</v>
      </c>
      <c r="L493" s="117" t="s">
        <v>2180</v>
      </c>
      <c r="M493" s="117">
        <v>96385143</v>
      </c>
      <c r="N493" s="121" t="s">
        <v>892</v>
      </c>
      <c r="O493" s="121" t="s">
        <v>995</v>
      </c>
      <c r="P493" s="117" t="s">
        <v>952</v>
      </c>
      <c r="Q493" s="125" t="s">
        <v>972</v>
      </c>
      <c r="R493" s="119" t="s">
        <v>895</v>
      </c>
      <c r="S493" s="119" t="s">
        <v>895</v>
      </c>
      <c r="T493" s="222"/>
      <c r="U493" s="222"/>
      <c r="V493" s="222"/>
      <c r="W493" s="230"/>
      <c r="X493" s="331">
        <f t="shared" si="23"/>
        <v>0</v>
      </c>
      <c r="Y493" s="222"/>
      <c r="Z493" s="272">
        <f t="shared" si="21"/>
        <v>0</v>
      </c>
      <c r="AA493" s="331"/>
      <c r="AB493" s="331"/>
      <c r="AC493" s="331"/>
      <c r="AD493" s="331"/>
      <c r="AE493" s="331"/>
      <c r="AF493" s="331"/>
      <c r="AG493" s="331"/>
      <c r="AH493" s="241">
        <f t="shared" ca="1" si="22"/>
        <v>46153</v>
      </c>
      <c r="AI493" s="272"/>
      <c r="AJ493" s="222"/>
      <c r="AK493" s="222"/>
    </row>
    <row r="494" spans="1:37" ht="23" hidden="1">
      <c r="A494" s="111">
        <v>712</v>
      </c>
      <c r="B494" s="112">
        <v>3</v>
      </c>
      <c r="C494" s="122" t="s">
        <v>3879</v>
      </c>
      <c r="D494" s="147" t="s">
        <v>3880</v>
      </c>
      <c r="E494" s="123" t="s">
        <v>3881</v>
      </c>
      <c r="F494" s="115" t="s">
        <v>994</v>
      </c>
      <c r="G494" s="115" t="s">
        <v>1094</v>
      </c>
      <c r="H494" s="116">
        <v>13.836387</v>
      </c>
      <c r="I494" s="116">
        <v>100.57299</v>
      </c>
      <c r="J494" s="115" t="s">
        <v>2108</v>
      </c>
      <c r="K494" s="117" t="s">
        <v>2109</v>
      </c>
      <c r="L494" s="117" t="s">
        <v>2110</v>
      </c>
      <c r="M494" s="121" t="s">
        <v>972</v>
      </c>
      <c r="N494" s="121" t="s">
        <v>972</v>
      </c>
      <c r="O494" s="121" t="s">
        <v>995</v>
      </c>
      <c r="P494" s="118" t="s">
        <v>1876</v>
      </c>
      <c r="Q494" s="125" t="s">
        <v>972</v>
      </c>
      <c r="R494" s="130" t="s">
        <v>972</v>
      </c>
      <c r="S494" s="125" t="s">
        <v>972</v>
      </c>
      <c r="T494" s="222"/>
      <c r="U494" s="222"/>
      <c r="V494" s="222"/>
      <c r="W494" s="230"/>
      <c r="X494" s="331">
        <f t="shared" si="23"/>
        <v>0</v>
      </c>
      <c r="Y494" s="222"/>
      <c r="Z494" s="272">
        <f t="shared" si="21"/>
        <v>0</v>
      </c>
      <c r="AA494" s="331"/>
      <c r="AB494" s="331"/>
      <c r="AC494" s="331"/>
      <c r="AD494" s="331"/>
      <c r="AE494" s="331"/>
      <c r="AF494" s="331"/>
      <c r="AG494" s="331"/>
      <c r="AH494" s="241">
        <f t="shared" ca="1" si="22"/>
        <v>46153</v>
      </c>
      <c r="AI494" s="272"/>
      <c r="AJ494" s="222"/>
      <c r="AK494" s="222"/>
    </row>
    <row r="495" spans="1:37" ht="23" hidden="1">
      <c r="A495" s="111">
        <v>754</v>
      </c>
      <c r="B495" s="112">
        <v>14</v>
      </c>
      <c r="C495" s="113" t="s">
        <v>3986</v>
      </c>
      <c r="D495" s="147" t="s">
        <v>3987</v>
      </c>
      <c r="E495" s="114" t="s">
        <v>3988</v>
      </c>
      <c r="F495" s="115" t="s">
        <v>994</v>
      </c>
      <c r="G495" s="115" t="s">
        <v>983</v>
      </c>
      <c r="H495" s="116">
        <v>13.784279</v>
      </c>
      <c r="I495" s="116">
        <v>100.546319</v>
      </c>
      <c r="J495" s="115" t="s">
        <v>2108</v>
      </c>
      <c r="K495" s="117" t="s">
        <v>2109</v>
      </c>
      <c r="L495" s="117" t="s">
        <v>2110</v>
      </c>
      <c r="M495" s="121" t="s">
        <v>972</v>
      </c>
      <c r="N495" s="121" t="s">
        <v>972</v>
      </c>
      <c r="O495" s="121" t="s">
        <v>958</v>
      </c>
      <c r="P495" s="117" t="s">
        <v>952</v>
      </c>
      <c r="Q495" s="125" t="s">
        <v>972</v>
      </c>
      <c r="R495" s="125" t="s">
        <v>972</v>
      </c>
      <c r="S495" s="125" t="s">
        <v>972</v>
      </c>
      <c r="T495" s="222"/>
      <c r="U495" s="222"/>
      <c r="V495" s="222"/>
      <c r="W495" s="230"/>
      <c r="X495" s="331">
        <f t="shared" si="23"/>
        <v>0</v>
      </c>
      <c r="Y495" s="222"/>
      <c r="Z495" s="272">
        <f t="shared" si="21"/>
        <v>0</v>
      </c>
      <c r="AA495" s="331"/>
      <c r="AB495" s="331"/>
      <c r="AC495" s="331"/>
      <c r="AD495" s="331"/>
      <c r="AE495" s="331"/>
      <c r="AF495" s="331"/>
      <c r="AG495" s="331"/>
      <c r="AH495" s="241">
        <f t="shared" ca="1" si="22"/>
        <v>46153</v>
      </c>
      <c r="AI495" s="272"/>
      <c r="AJ495" s="222"/>
      <c r="AK495" s="222"/>
    </row>
    <row r="496" spans="1:37" ht="23" hidden="1">
      <c r="A496" s="111">
        <v>764</v>
      </c>
      <c r="B496" s="112">
        <v>15</v>
      </c>
      <c r="C496" s="113" t="s">
        <v>4000</v>
      </c>
      <c r="D496" s="147" t="s">
        <v>4001</v>
      </c>
      <c r="E496" s="114" t="s">
        <v>4002</v>
      </c>
      <c r="F496" s="115" t="s">
        <v>994</v>
      </c>
      <c r="G496" s="115" t="s">
        <v>983</v>
      </c>
      <c r="H496" s="116">
        <v>13.777989</v>
      </c>
      <c r="I496" s="116">
        <v>100.544085</v>
      </c>
      <c r="J496" s="116" t="s">
        <v>969</v>
      </c>
      <c r="K496" s="115" t="s">
        <v>1048</v>
      </c>
      <c r="L496" s="117" t="s">
        <v>4003</v>
      </c>
      <c r="M496" s="117">
        <v>96941195</v>
      </c>
      <c r="N496" s="121" t="s">
        <v>1050</v>
      </c>
      <c r="O496" s="121" t="s">
        <v>958</v>
      </c>
      <c r="P496" s="117" t="s">
        <v>952</v>
      </c>
      <c r="Q496" s="125" t="s">
        <v>972</v>
      </c>
      <c r="R496" s="125" t="s">
        <v>972</v>
      </c>
      <c r="S496" s="125" t="s">
        <v>972</v>
      </c>
      <c r="T496" s="222"/>
      <c r="U496" s="222"/>
      <c r="V496" s="222"/>
      <c r="W496" s="230"/>
      <c r="X496" s="331">
        <f t="shared" si="23"/>
        <v>0</v>
      </c>
      <c r="Y496" s="222"/>
      <c r="Z496" s="272">
        <f t="shared" si="21"/>
        <v>0</v>
      </c>
      <c r="AA496" s="331"/>
      <c r="AB496" s="331"/>
      <c r="AC496" s="331"/>
      <c r="AD496" s="331"/>
      <c r="AE496" s="331"/>
      <c r="AF496" s="331"/>
      <c r="AG496" s="331"/>
      <c r="AH496" s="241">
        <f t="shared" ca="1" si="22"/>
        <v>46153</v>
      </c>
      <c r="AI496" s="272"/>
      <c r="AJ496" s="222"/>
      <c r="AK496" s="222"/>
    </row>
    <row r="497" spans="1:37" ht="23" hidden="1">
      <c r="A497" s="111">
        <v>777</v>
      </c>
      <c r="B497" s="112" t="s">
        <v>1155</v>
      </c>
      <c r="C497" s="113" t="s">
        <v>4035</v>
      </c>
      <c r="D497" s="147" t="s">
        <v>4036</v>
      </c>
      <c r="E497" s="114" t="s">
        <v>4037</v>
      </c>
      <c r="F497" s="115" t="s">
        <v>994</v>
      </c>
      <c r="G497" s="115" t="s">
        <v>1094</v>
      </c>
      <c r="H497" s="116">
        <v>13.8544082</v>
      </c>
      <c r="I497" s="116">
        <v>100.5843466</v>
      </c>
      <c r="J497" s="116" t="s">
        <v>969</v>
      </c>
      <c r="K497" s="115" t="s">
        <v>1048</v>
      </c>
      <c r="L497" s="117" t="s">
        <v>4003</v>
      </c>
      <c r="M497" s="339">
        <v>96941195</v>
      </c>
      <c r="N497" s="199" t="s">
        <v>892</v>
      </c>
      <c r="O497" s="199" t="s">
        <v>995</v>
      </c>
      <c r="P497" s="339" t="s">
        <v>952</v>
      </c>
      <c r="Q497" s="340" t="s">
        <v>972</v>
      </c>
      <c r="R497" s="341" t="s">
        <v>972</v>
      </c>
      <c r="S497" s="340" t="s">
        <v>972</v>
      </c>
      <c r="T497" s="342"/>
      <c r="U497" s="342"/>
      <c r="V497" s="342"/>
      <c r="W497" s="553"/>
      <c r="X497" s="331">
        <f t="shared" si="23"/>
        <v>0</v>
      </c>
      <c r="Y497" s="342"/>
      <c r="Z497" s="344">
        <f t="shared" si="21"/>
        <v>0</v>
      </c>
      <c r="AA497" s="331"/>
      <c r="AB497" s="331"/>
      <c r="AC497" s="331"/>
      <c r="AD497" s="331"/>
      <c r="AE497" s="331"/>
      <c r="AF497" s="331"/>
      <c r="AG497" s="331"/>
      <c r="AH497" s="343">
        <f t="shared" ca="1" si="22"/>
        <v>46153</v>
      </c>
      <c r="AI497" s="344"/>
      <c r="AJ497" s="342"/>
      <c r="AK497" s="342"/>
    </row>
    <row r="498" spans="1:37" ht="23.25" hidden="1" customHeight="1">
      <c r="A498" s="111">
        <v>1175</v>
      </c>
      <c r="B498" s="150" t="s">
        <v>3989</v>
      </c>
      <c r="C498" s="150" t="s">
        <v>3989</v>
      </c>
      <c r="D498" s="150" t="s">
        <v>4114</v>
      </c>
      <c r="E498" s="156" t="s">
        <v>4115</v>
      </c>
      <c r="F498" s="118" t="s">
        <v>994</v>
      </c>
      <c r="G498" s="148" t="s">
        <v>1094</v>
      </c>
      <c r="H498" s="117" t="s">
        <v>4116</v>
      </c>
      <c r="I498" s="117">
        <v>100.5773835</v>
      </c>
      <c r="J498" s="117" t="s">
        <v>3993</v>
      </c>
      <c r="K498" s="121" t="s">
        <v>891</v>
      </c>
      <c r="L498" s="121" t="s">
        <v>891</v>
      </c>
      <c r="M498" s="117">
        <v>97030601</v>
      </c>
      <c r="N498" s="117" t="s">
        <v>892</v>
      </c>
      <c r="O498" s="117" t="s">
        <v>995</v>
      </c>
      <c r="P498" s="117" t="s">
        <v>894</v>
      </c>
      <c r="Q498" s="119"/>
      <c r="R498" s="138"/>
      <c r="S498" s="119" t="s">
        <v>895</v>
      </c>
      <c r="T498" s="222"/>
      <c r="U498" s="222"/>
      <c r="V498" s="222"/>
      <c r="W498" s="230"/>
      <c r="X498" s="331">
        <f t="shared" si="23"/>
        <v>0</v>
      </c>
      <c r="Y498" s="222"/>
      <c r="Z498" s="272">
        <f t="shared" si="21"/>
        <v>0</v>
      </c>
      <c r="AA498" s="331"/>
      <c r="AB498" s="331"/>
      <c r="AC498" s="331"/>
      <c r="AD498" s="331"/>
      <c r="AE498" s="331"/>
      <c r="AF498" s="331"/>
      <c r="AG498" s="331"/>
      <c r="AH498" s="241">
        <f t="shared" ca="1" si="22"/>
        <v>46153</v>
      </c>
      <c r="AI498" s="272"/>
      <c r="AJ498" s="222"/>
      <c r="AK498" s="222"/>
    </row>
    <row r="499" spans="1:37" ht="16.5" hidden="1" customHeight="1">
      <c r="A499" s="111">
        <v>1176</v>
      </c>
      <c r="B499" s="150" t="s">
        <v>3989</v>
      </c>
      <c r="C499" s="150" t="s">
        <v>3989</v>
      </c>
      <c r="D499" s="536" t="s">
        <v>4120</v>
      </c>
      <c r="E499" s="477" t="s">
        <v>4121</v>
      </c>
      <c r="F499" s="484" t="s">
        <v>994</v>
      </c>
      <c r="G499" s="489" t="s">
        <v>1094</v>
      </c>
      <c r="H499" s="117" t="s">
        <v>4122</v>
      </c>
      <c r="I499" s="117">
        <v>100.577028</v>
      </c>
      <c r="J499" s="117" t="s">
        <v>3993</v>
      </c>
      <c r="K499" s="121" t="s">
        <v>891</v>
      </c>
      <c r="L499" s="121" t="s">
        <v>891</v>
      </c>
      <c r="M499" s="117">
        <v>97030605</v>
      </c>
      <c r="N499" s="117" t="s">
        <v>892</v>
      </c>
      <c r="O499" s="117" t="s">
        <v>995</v>
      </c>
      <c r="P499" s="117" t="s">
        <v>894</v>
      </c>
      <c r="Q499" s="119"/>
      <c r="R499" s="138"/>
      <c r="S499" s="119" t="s">
        <v>895</v>
      </c>
      <c r="T499" s="222"/>
      <c r="U499" s="222"/>
      <c r="V499" s="222"/>
      <c r="W499" s="230"/>
      <c r="X499" s="331">
        <f t="shared" si="23"/>
        <v>0</v>
      </c>
      <c r="Y499" s="222"/>
      <c r="Z499" s="272">
        <f t="shared" si="21"/>
        <v>0</v>
      </c>
      <c r="AA499" s="331"/>
      <c r="AB499" s="331"/>
      <c r="AC499" s="331"/>
      <c r="AD499" s="331"/>
      <c r="AE499" s="331"/>
      <c r="AF499" s="331"/>
      <c r="AG499" s="331"/>
      <c r="AH499" s="241">
        <f t="shared" ca="1" si="22"/>
        <v>46153</v>
      </c>
      <c r="AI499" s="272"/>
      <c r="AJ499" s="222"/>
      <c r="AK499" s="222"/>
    </row>
    <row r="500" spans="1:37" ht="23" hidden="1">
      <c r="A500" s="111">
        <v>822</v>
      </c>
      <c r="B500" s="112">
        <v>3</v>
      </c>
      <c r="C500" s="122" t="s">
        <v>4145</v>
      </c>
      <c r="D500" s="147" t="s">
        <v>4146</v>
      </c>
      <c r="E500" s="123" t="s">
        <v>4147</v>
      </c>
      <c r="F500" s="115" t="s">
        <v>994</v>
      </c>
      <c r="G500" s="115" t="s">
        <v>1094</v>
      </c>
      <c r="H500" s="116">
        <v>13.855267</v>
      </c>
      <c r="I500" s="116">
        <v>100.58461800000001</v>
      </c>
      <c r="J500" s="116" t="s">
        <v>969</v>
      </c>
      <c r="K500" s="115" t="s">
        <v>1048</v>
      </c>
      <c r="L500" s="118" t="s">
        <v>2093</v>
      </c>
      <c r="M500" s="121">
        <v>96940064</v>
      </c>
      <c r="N500" s="121" t="s">
        <v>892</v>
      </c>
      <c r="O500" s="121" t="s">
        <v>995</v>
      </c>
      <c r="P500" s="117" t="s">
        <v>952</v>
      </c>
      <c r="Q500" s="125" t="s">
        <v>972</v>
      </c>
      <c r="R500" s="130" t="s">
        <v>972</v>
      </c>
      <c r="S500" s="125" t="s">
        <v>972</v>
      </c>
      <c r="T500" s="222"/>
      <c r="U500" s="222"/>
      <c r="V500" s="222"/>
      <c r="W500" s="230"/>
      <c r="X500" s="331">
        <f t="shared" si="23"/>
        <v>0</v>
      </c>
      <c r="Y500" s="222"/>
      <c r="Z500" s="272">
        <f t="shared" si="21"/>
        <v>0</v>
      </c>
      <c r="AA500" s="331"/>
      <c r="AB500" s="331"/>
      <c r="AC500" s="331"/>
      <c r="AD500" s="331"/>
      <c r="AE500" s="331"/>
      <c r="AF500" s="331"/>
      <c r="AG500" s="331"/>
      <c r="AH500" s="241">
        <f t="shared" ca="1" si="22"/>
        <v>46153</v>
      </c>
      <c r="AI500" s="272"/>
      <c r="AJ500" s="222"/>
      <c r="AK500" s="222"/>
    </row>
    <row r="501" spans="1:37" ht="23" hidden="1">
      <c r="A501" s="111">
        <v>844</v>
      </c>
      <c r="B501" s="112" t="s">
        <v>1013</v>
      </c>
      <c r="C501" s="113" t="s">
        <v>4190</v>
      </c>
      <c r="D501" s="147" t="s">
        <v>4191</v>
      </c>
      <c r="E501" s="114" t="s">
        <v>4192</v>
      </c>
      <c r="F501" s="115" t="s">
        <v>994</v>
      </c>
      <c r="G501" s="115" t="s">
        <v>1094</v>
      </c>
      <c r="H501" s="116">
        <v>13.8472037</v>
      </c>
      <c r="I501" s="116">
        <v>100.57988949999999</v>
      </c>
      <c r="J501" s="115" t="s">
        <v>2108</v>
      </c>
      <c r="K501" s="117" t="s">
        <v>2109</v>
      </c>
      <c r="L501" s="118" t="s">
        <v>2110</v>
      </c>
      <c r="M501" s="121" t="s">
        <v>972</v>
      </c>
      <c r="N501" s="121" t="s">
        <v>1347</v>
      </c>
      <c r="O501" s="121" t="s">
        <v>995</v>
      </c>
      <c r="P501" s="117" t="s">
        <v>952</v>
      </c>
      <c r="Q501" s="125" t="s">
        <v>972</v>
      </c>
      <c r="R501" s="125" t="s">
        <v>972</v>
      </c>
      <c r="S501" s="125" t="s">
        <v>972</v>
      </c>
      <c r="T501" s="305" t="s">
        <v>5212</v>
      </c>
      <c r="U501" s="305" t="s">
        <v>5231</v>
      </c>
      <c r="V501" s="331">
        <v>45103</v>
      </c>
      <c r="W501" s="326">
        <v>4</v>
      </c>
      <c r="X501" s="331">
        <f t="shared" si="23"/>
        <v>45107</v>
      </c>
      <c r="Y501" s="331">
        <v>45115</v>
      </c>
      <c r="Z501" s="332">
        <f t="shared" si="21"/>
        <v>8</v>
      </c>
      <c r="AA501" s="331"/>
      <c r="AB501" s="331"/>
      <c r="AC501" s="331"/>
      <c r="AD501" s="331"/>
      <c r="AE501" s="331"/>
      <c r="AF501" s="331"/>
      <c r="AG501" s="331"/>
      <c r="AH501" s="331">
        <f t="shared" ca="1" si="22"/>
        <v>46153</v>
      </c>
      <c r="AI501" s="332"/>
      <c r="AJ501" s="312" t="s">
        <v>5143</v>
      </c>
      <c r="AK501" s="305"/>
    </row>
    <row r="502" spans="1:37" ht="23" hidden="1">
      <c r="A502" s="111">
        <v>850</v>
      </c>
      <c r="B502" s="112">
        <v>7</v>
      </c>
      <c r="C502" s="113" t="s">
        <v>4206</v>
      </c>
      <c r="D502" s="147" t="s">
        <v>4207</v>
      </c>
      <c r="E502" s="114" t="s">
        <v>4208</v>
      </c>
      <c r="F502" s="115" t="s">
        <v>994</v>
      </c>
      <c r="G502" s="115" t="s">
        <v>1094</v>
      </c>
      <c r="H502" s="117">
        <v>13.850013000000001</v>
      </c>
      <c r="I502" s="117">
        <v>100.58154829999999</v>
      </c>
      <c r="J502" s="115" t="s">
        <v>2108</v>
      </c>
      <c r="K502" s="117" t="s">
        <v>2109</v>
      </c>
      <c r="L502" s="117" t="s">
        <v>2110</v>
      </c>
      <c r="M502" s="121" t="s">
        <v>972</v>
      </c>
      <c r="N502" s="121" t="s">
        <v>972</v>
      </c>
      <c r="O502" s="121" t="s">
        <v>995</v>
      </c>
      <c r="P502" s="117" t="s">
        <v>1876</v>
      </c>
      <c r="Q502" s="125" t="s">
        <v>972</v>
      </c>
      <c r="R502" s="130" t="s">
        <v>972</v>
      </c>
      <c r="S502" s="125" t="s">
        <v>972</v>
      </c>
      <c r="T502" s="222"/>
      <c r="U502" s="222"/>
      <c r="V502" s="222"/>
      <c r="W502" s="230"/>
      <c r="X502" s="331">
        <f t="shared" si="23"/>
        <v>0</v>
      </c>
      <c r="Y502" s="222"/>
      <c r="Z502" s="272">
        <f t="shared" si="21"/>
        <v>0</v>
      </c>
      <c r="AA502" s="331"/>
      <c r="AB502" s="331"/>
      <c r="AC502" s="331"/>
      <c r="AD502" s="331"/>
      <c r="AE502" s="331"/>
      <c r="AF502" s="331"/>
      <c r="AG502" s="331"/>
      <c r="AH502" s="241">
        <f t="shared" ca="1" si="22"/>
        <v>46153</v>
      </c>
      <c r="AI502" s="272"/>
      <c r="AJ502" s="222"/>
      <c r="AK502" s="222"/>
    </row>
    <row r="503" spans="1:37" ht="23.25" hidden="1" customHeight="1">
      <c r="A503" s="111">
        <v>7</v>
      </c>
      <c r="B503" s="112" t="s">
        <v>1459</v>
      </c>
      <c r="C503" s="113" t="s">
        <v>4399</v>
      </c>
      <c r="D503" s="147" t="s">
        <v>4400</v>
      </c>
      <c r="E503" s="114" t="s">
        <v>4401</v>
      </c>
      <c r="F503" s="115" t="s">
        <v>994</v>
      </c>
      <c r="G503" s="115" t="s">
        <v>983</v>
      </c>
      <c r="H503" s="116">
        <v>13.793369200000001</v>
      </c>
      <c r="I503" s="116">
        <v>100.54966210000001</v>
      </c>
      <c r="J503" s="116" t="s">
        <v>890</v>
      </c>
      <c r="K503" s="117" t="s">
        <v>1212</v>
      </c>
      <c r="L503" s="117" t="s">
        <v>1213</v>
      </c>
      <c r="M503" s="117">
        <v>95380716</v>
      </c>
      <c r="N503" s="121" t="s">
        <v>1050</v>
      </c>
      <c r="O503" s="121" t="s">
        <v>958</v>
      </c>
      <c r="P503" s="129" t="s">
        <v>952</v>
      </c>
      <c r="Q503" s="125" t="s">
        <v>972</v>
      </c>
      <c r="R503" s="125" t="s">
        <v>972</v>
      </c>
      <c r="S503" s="119" t="s">
        <v>895</v>
      </c>
      <c r="T503" s="222"/>
      <c r="U503" s="222"/>
      <c r="V503" s="222"/>
      <c r="W503" s="230"/>
      <c r="X503" s="331">
        <f t="shared" si="23"/>
        <v>0</v>
      </c>
      <c r="Y503" s="222"/>
      <c r="Z503" s="272">
        <f t="shared" si="21"/>
        <v>0</v>
      </c>
      <c r="AA503" s="331"/>
      <c r="AB503" s="331"/>
      <c r="AC503" s="331"/>
      <c r="AD503" s="331"/>
      <c r="AE503" s="331"/>
      <c r="AF503" s="331"/>
      <c r="AG503" s="331"/>
      <c r="AH503" s="241">
        <f t="shared" ca="1" si="22"/>
        <v>46153</v>
      </c>
      <c r="AI503" s="272"/>
      <c r="AJ503" s="222"/>
      <c r="AK503" s="222"/>
    </row>
    <row r="504" spans="1:37" ht="23.25" hidden="1" customHeight="1">
      <c r="A504" s="111">
        <v>163</v>
      </c>
      <c r="B504" s="112" t="s">
        <v>985</v>
      </c>
      <c r="C504" s="122" t="s">
        <v>4406</v>
      </c>
      <c r="D504" s="160" t="s">
        <v>4407</v>
      </c>
      <c r="E504" s="156" t="s">
        <v>4408</v>
      </c>
      <c r="F504" s="118" t="s">
        <v>994</v>
      </c>
      <c r="G504" s="148" t="s">
        <v>1094</v>
      </c>
      <c r="H504" s="117" t="s">
        <v>4409</v>
      </c>
      <c r="I504" s="117">
        <v>100.57633130000001</v>
      </c>
      <c r="J504" s="117" t="s">
        <v>890</v>
      </c>
      <c r="K504" s="121" t="s">
        <v>891</v>
      </c>
      <c r="L504" s="121" t="s">
        <v>891</v>
      </c>
      <c r="M504" s="339">
        <v>97030598</v>
      </c>
      <c r="N504" s="339" t="s">
        <v>892</v>
      </c>
      <c r="O504" s="339" t="s">
        <v>995</v>
      </c>
      <c r="P504" s="339" t="s">
        <v>894</v>
      </c>
      <c r="Q504" s="349"/>
      <c r="R504" s="504"/>
      <c r="S504" s="349" t="s">
        <v>4410</v>
      </c>
      <c r="T504" s="342"/>
      <c r="U504" s="342"/>
      <c r="V504" s="342"/>
      <c r="W504" s="553"/>
      <c r="X504" s="331">
        <f t="shared" si="23"/>
        <v>0</v>
      </c>
      <c r="Y504" s="342"/>
      <c r="Z504" s="344">
        <f t="shared" si="21"/>
        <v>0</v>
      </c>
      <c r="AA504" s="331"/>
      <c r="AB504" s="331"/>
      <c r="AC504" s="331"/>
      <c r="AD504" s="331"/>
      <c r="AE504" s="331"/>
      <c r="AF504" s="331"/>
      <c r="AG504" s="331"/>
      <c r="AH504" s="343">
        <f t="shared" ca="1" si="22"/>
        <v>46153</v>
      </c>
      <c r="AI504" s="344"/>
      <c r="AJ504" s="342"/>
      <c r="AK504" s="342"/>
    </row>
    <row r="505" spans="1:37" ht="23.25" hidden="1" customHeight="1">
      <c r="A505" s="111">
        <v>351</v>
      </c>
      <c r="B505" s="112">
        <v>13</v>
      </c>
      <c r="C505" s="122" t="s">
        <v>4411</v>
      </c>
      <c r="D505" s="147" t="s">
        <v>4412</v>
      </c>
      <c r="E505" s="123" t="s">
        <v>4413</v>
      </c>
      <c r="F505" s="116" t="s">
        <v>994</v>
      </c>
      <c r="G505" s="116" t="s">
        <v>983</v>
      </c>
      <c r="H505" s="116">
        <v>13.776239</v>
      </c>
      <c r="I505" s="116">
        <v>100.543479</v>
      </c>
      <c r="J505" s="116" t="s">
        <v>890</v>
      </c>
      <c r="K505" s="115" t="s">
        <v>1212</v>
      </c>
      <c r="L505" s="117" t="s">
        <v>1213</v>
      </c>
      <c r="M505" s="174" t="s">
        <v>972</v>
      </c>
      <c r="N505" s="121" t="s">
        <v>1050</v>
      </c>
      <c r="O505" s="121" t="s">
        <v>958</v>
      </c>
      <c r="P505" s="117" t="s">
        <v>1876</v>
      </c>
      <c r="Q505" s="125" t="s">
        <v>972</v>
      </c>
      <c r="R505" s="125" t="s">
        <v>972</v>
      </c>
      <c r="S505" s="125" t="s">
        <v>2830</v>
      </c>
      <c r="T505" s="222"/>
      <c r="U505" s="222"/>
      <c r="V505" s="222"/>
      <c r="W505" s="230"/>
      <c r="X505" s="331">
        <f t="shared" si="23"/>
        <v>0</v>
      </c>
      <c r="Y505" s="222"/>
      <c r="Z505" s="272">
        <f t="shared" si="21"/>
        <v>0</v>
      </c>
      <c r="AA505" s="331"/>
      <c r="AB505" s="331"/>
      <c r="AC505" s="331"/>
      <c r="AD505" s="331"/>
      <c r="AE505" s="331"/>
      <c r="AF505" s="331"/>
      <c r="AG505" s="331"/>
      <c r="AH505" s="241">
        <f t="shared" ca="1" si="22"/>
        <v>46153</v>
      </c>
      <c r="AI505" s="272"/>
      <c r="AJ505" s="222"/>
      <c r="AK505" s="222"/>
    </row>
    <row r="506" spans="1:37" ht="23.25" hidden="1" customHeight="1">
      <c r="A506" s="111">
        <v>906</v>
      </c>
      <c r="B506" s="112">
        <v>5</v>
      </c>
      <c r="C506" s="113" t="s">
        <v>4421</v>
      </c>
      <c r="D506" s="147" t="s">
        <v>4422</v>
      </c>
      <c r="E506" s="114" t="s">
        <v>4423</v>
      </c>
      <c r="F506" s="115" t="s">
        <v>994</v>
      </c>
      <c r="G506" s="115" t="s">
        <v>1094</v>
      </c>
      <c r="H506" s="116">
        <v>13.8176559999999</v>
      </c>
      <c r="I506" s="116">
        <v>100.562485</v>
      </c>
      <c r="J506" s="116" t="s">
        <v>890</v>
      </c>
      <c r="K506" s="115" t="s">
        <v>1212</v>
      </c>
      <c r="L506" s="117" t="s">
        <v>1213</v>
      </c>
      <c r="M506" s="117">
        <v>96357171</v>
      </c>
      <c r="N506" s="121" t="s">
        <v>892</v>
      </c>
      <c r="O506" s="121" t="s">
        <v>995</v>
      </c>
      <c r="P506" s="117" t="s">
        <v>952</v>
      </c>
      <c r="Q506" s="125" t="s">
        <v>972</v>
      </c>
      <c r="R506" s="130" t="s">
        <v>972</v>
      </c>
      <c r="S506" s="119" t="s">
        <v>895</v>
      </c>
      <c r="T506" s="222"/>
      <c r="U506" s="222"/>
      <c r="V506" s="222"/>
      <c r="W506" s="230"/>
      <c r="X506" s="331">
        <f t="shared" si="23"/>
        <v>0</v>
      </c>
      <c r="Y506" s="222"/>
      <c r="Z506" s="272">
        <f t="shared" si="21"/>
        <v>0</v>
      </c>
      <c r="AA506" s="331"/>
      <c r="AB506" s="331"/>
      <c r="AC506" s="331"/>
      <c r="AD506" s="331"/>
      <c r="AE506" s="331"/>
      <c r="AF506" s="331"/>
      <c r="AG506" s="331"/>
      <c r="AH506" s="241">
        <f t="shared" ca="1" si="22"/>
        <v>46153</v>
      </c>
      <c r="AI506" s="272"/>
      <c r="AJ506" s="222"/>
      <c r="AK506" s="222"/>
    </row>
    <row r="507" spans="1:37" ht="23" hidden="1">
      <c r="A507" s="111">
        <v>1044</v>
      </c>
      <c r="B507" s="112" t="s">
        <v>1569</v>
      </c>
      <c r="C507" s="122" t="s">
        <v>4435</v>
      </c>
      <c r="D507" s="147" t="s">
        <v>4436</v>
      </c>
      <c r="E507" s="123" t="s">
        <v>4437</v>
      </c>
      <c r="F507" s="116" t="s">
        <v>994</v>
      </c>
      <c r="G507" s="116" t="s">
        <v>1094</v>
      </c>
      <c r="H507" s="116">
        <v>13.806993800000001</v>
      </c>
      <c r="I507" s="116">
        <v>100.5564736</v>
      </c>
      <c r="J507" s="116" t="s">
        <v>890</v>
      </c>
      <c r="K507" s="115" t="s">
        <v>891</v>
      </c>
      <c r="L507" s="117" t="s">
        <v>1050</v>
      </c>
      <c r="M507" s="117">
        <v>97327635</v>
      </c>
      <c r="N507" s="121" t="s">
        <v>1050</v>
      </c>
      <c r="O507" s="121" t="s">
        <v>995</v>
      </c>
      <c r="P507" s="117" t="s">
        <v>952</v>
      </c>
      <c r="Q507" s="125" t="s">
        <v>972</v>
      </c>
      <c r="R507" s="125" t="s">
        <v>972</v>
      </c>
      <c r="S507" s="130" t="s">
        <v>2830</v>
      </c>
      <c r="T507" s="316" t="s">
        <v>5178</v>
      </c>
      <c r="U507" s="305" t="s">
        <v>5231</v>
      </c>
      <c r="V507" s="287">
        <v>45102</v>
      </c>
      <c r="W507" s="552">
        <v>4</v>
      </c>
      <c r="X507" s="331">
        <f t="shared" si="23"/>
        <v>45106</v>
      </c>
      <c r="Y507" s="316"/>
      <c r="Z507" s="318" t="e">
        <f t="shared" si="21"/>
        <v>#NUM!</v>
      </c>
      <c r="AA507" s="331"/>
      <c r="AB507" s="331"/>
      <c r="AC507" s="331"/>
      <c r="AD507" s="331"/>
      <c r="AE507" s="331"/>
      <c r="AF507" s="331"/>
      <c r="AG507" s="331"/>
      <c r="AH507" s="317">
        <f t="shared" ca="1" si="22"/>
        <v>46153</v>
      </c>
      <c r="AI507" s="318"/>
      <c r="AJ507" s="316" t="s">
        <v>5224</v>
      </c>
      <c r="AK507" s="316"/>
    </row>
    <row r="508" spans="1:37" ht="23" hidden="1">
      <c r="A508" s="111">
        <v>935</v>
      </c>
      <c r="B508" s="112">
        <v>10</v>
      </c>
      <c r="C508" s="122" t="s">
        <v>4458</v>
      </c>
      <c r="D508" s="147" t="s">
        <v>4459</v>
      </c>
      <c r="E508" s="114" t="s">
        <v>4460</v>
      </c>
      <c r="F508" s="115" t="s">
        <v>994</v>
      </c>
      <c r="G508" s="115" t="s">
        <v>1094</v>
      </c>
      <c r="H508" s="116">
        <v>13.818493699999999</v>
      </c>
      <c r="I508" s="116">
        <v>100.5630829</v>
      </c>
      <c r="J508" s="116" t="s">
        <v>969</v>
      </c>
      <c r="K508" s="115" t="s">
        <v>1048</v>
      </c>
      <c r="L508" s="117" t="s">
        <v>4461</v>
      </c>
      <c r="M508" s="117">
        <v>96941156</v>
      </c>
      <c r="N508" s="121" t="s">
        <v>892</v>
      </c>
      <c r="O508" s="121" t="s">
        <v>995</v>
      </c>
      <c r="P508" s="117" t="s">
        <v>952</v>
      </c>
      <c r="Q508" s="125" t="s">
        <v>972</v>
      </c>
      <c r="R508" s="130" t="s">
        <v>972</v>
      </c>
      <c r="S508" s="125" t="s">
        <v>972</v>
      </c>
      <c r="T508" s="222"/>
      <c r="U508" s="222"/>
      <c r="V508" s="222"/>
      <c r="W508" s="230"/>
      <c r="X508" s="331">
        <f t="shared" si="23"/>
        <v>0</v>
      </c>
      <c r="Y508" s="222"/>
      <c r="Z508" s="272">
        <f t="shared" si="21"/>
        <v>0</v>
      </c>
      <c r="AA508" s="331"/>
      <c r="AB508" s="331"/>
      <c r="AC508" s="331"/>
      <c r="AD508" s="331"/>
      <c r="AE508" s="331"/>
      <c r="AF508" s="331"/>
      <c r="AG508" s="331"/>
      <c r="AH508" s="241">
        <f t="shared" ca="1" si="22"/>
        <v>46153</v>
      </c>
      <c r="AI508" s="272"/>
      <c r="AJ508" s="222"/>
      <c r="AK508" s="222"/>
    </row>
    <row r="509" spans="1:37" ht="23" hidden="1">
      <c r="A509" s="111">
        <v>942</v>
      </c>
      <c r="B509" s="112">
        <v>13</v>
      </c>
      <c r="C509" s="113" t="s">
        <v>4479</v>
      </c>
      <c r="D509" s="147" t="s">
        <v>4480</v>
      </c>
      <c r="E509" s="114" t="s">
        <v>4481</v>
      </c>
      <c r="F509" s="115" t="s">
        <v>994</v>
      </c>
      <c r="G509" s="115" t="s">
        <v>1094</v>
      </c>
      <c r="H509" s="116">
        <v>13.8315912</v>
      </c>
      <c r="I509" s="116">
        <v>100.5709332</v>
      </c>
      <c r="J509" s="115" t="s">
        <v>2108</v>
      </c>
      <c r="K509" s="117" t="s">
        <v>2109</v>
      </c>
      <c r="L509" s="117" t="s">
        <v>2110</v>
      </c>
      <c r="M509" s="121" t="s">
        <v>972</v>
      </c>
      <c r="N509" s="121" t="s">
        <v>972</v>
      </c>
      <c r="O509" s="121" t="s">
        <v>995</v>
      </c>
      <c r="P509" s="117" t="s">
        <v>952</v>
      </c>
      <c r="Q509" s="125" t="s">
        <v>972</v>
      </c>
      <c r="R509" s="125" t="s">
        <v>972</v>
      </c>
      <c r="S509" s="125" t="s">
        <v>972</v>
      </c>
      <c r="T509" s="222"/>
      <c r="U509" s="222"/>
      <c r="V509" s="222"/>
      <c r="W509" s="230"/>
      <c r="X509" s="331">
        <f t="shared" si="23"/>
        <v>0</v>
      </c>
      <c r="Y509" s="222"/>
      <c r="Z509" s="272">
        <f t="shared" si="21"/>
        <v>0</v>
      </c>
      <c r="AA509" s="331"/>
      <c r="AB509" s="331"/>
      <c r="AC509" s="331"/>
      <c r="AD509" s="331"/>
      <c r="AE509" s="331"/>
      <c r="AF509" s="331"/>
      <c r="AG509" s="331"/>
      <c r="AH509" s="241">
        <f t="shared" ca="1" si="22"/>
        <v>46153</v>
      </c>
      <c r="AI509" s="272"/>
      <c r="AJ509" s="222"/>
      <c r="AK509" s="222"/>
    </row>
    <row r="510" spans="1:37" ht="23" hidden="1">
      <c r="A510" s="111">
        <v>970</v>
      </c>
      <c r="B510" s="112">
        <v>2</v>
      </c>
      <c r="C510" s="122" t="s">
        <v>4548</v>
      </c>
      <c r="D510" s="147" t="s">
        <v>4549</v>
      </c>
      <c r="E510" s="123" t="s">
        <v>4550</v>
      </c>
      <c r="F510" s="116" t="s">
        <v>994</v>
      </c>
      <c r="G510" s="116" t="s">
        <v>1094</v>
      </c>
      <c r="H510" s="116">
        <v>13.8044674</v>
      </c>
      <c r="I510" s="116">
        <v>100.5550228</v>
      </c>
      <c r="J510" s="116" t="s">
        <v>969</v>
      </c>
      <c r="K510" s="115" t="s">
        <v>1048</v>
      </c>
      <c r="L510" s="117" t="s">
        <v>4551</v>
      </c>
      <c r="M510" s="121">
        <v>77077711</v>
      </c>
      <c r="N510" s="121" t="s">
        <v>1050</v>
      </c>
      <c r="O510" s="121" t="s">
        <v>995</v>
      </c>
      <c r="P510" s="117" t="s">
        <v>952</v>
      </c>
      <c r="Q510" s="125" t="s">
        <v>972</v>
      </c>
      <c r="R510" s="125" t="s">
        <v>972</v>
      </c>
      <c r="S510" s="130" t="s">
        <v>972</v>
      </c>
      <c r="T510" s="222"/>
      <c r="U510" s="222"/>
      <c r="V510" s="222"/>
      <c r="W510" s="230"/>
      <c r="X510" s="331">
        <f t="shared" si="23"/>
        <v>0</v>
      </c>
      <c r="Y510" s="222"/>
      <c r="Z510" s="272">
        <f t="shared" si="21"/>
        <v>0</v>
      </c>
      <c r="AA510" s="331"/>
      <c r="AB510" s="331"/>
      <c r="AC510" s="331"/>
      <c r="AD510" s="331"/>
      <c r="AE510" s="331"/>
      <c r="AF510" s="331"/>
      <c r="AG510" s="331"/>
      <c r="AH510" s="241">
        <f t="shared" ca="1" si="22"/>
        <v>46153</v>
      </c>
      <c r="AI510" s="272"/>
      <c r="AJ510" s="222"/>
      <c r="AK510" s="222"/>
    </row>
    <row r="511" spans="1:37" ht="23" hidden="1">
      <c r="A511" s="111">
        <v>993</v>
      </c>
      <c r="B511" s="112">
        <v>5</v>
      </c>
      <c r="C511" s="113" t="s">
        <v>4606</v>
      </c>
      <c r="D511" s="147" t="s">
        <v>4607</v>
      </c>
      <c r="E511" s="114" t="s">
        <v>4608</v>
      </c>
      <c r="F511" s="115" t="s">
        <v>994</v>
      </c>
      <c r="G511" s="115" t="s">
        <v>983</v>
      </c>
      <c r="H511" s="115">
        <v>13.769845399999999</v>
      </c>
      <c r="I511" s="115">
        <v>100.54113630000001</v>
      </c>
      <c r="J511" s="116" t="s">
        <v>969</v>
      </c>
      <c r="K511" s="115" t="s">
        <v>1048</v>
      </c>
      <c r="L511" s="117" t="s">
        <v>4609</v>
      </c>
      <c r="M511" s="121">
        <v>96938123</v>
      </c>
      <c r="N511" s="121" t="s">
        <v>1050</v>
      </c>
      <c r="O511" s="121" t="s">
        <v>958</v>
      </c>
      <c r="P511" s="117" t="s">
        <v>952</v>
      </c>
      <c r="Q511" s="125" t="s">
        <v>972</v>
      </c>
      <c r="R511" s="125" t="s">
        <v>972</v>
      </c>
      <c r="S511" s="125" t="s">
        <v>972</v>
      </c>
      <c r="T511" s="222"/>
      <c r="U511" s="222"/>
      <c r="V511" s="222"/>
      <c r="W511" s="230"/>
      <c r="X511" s="331">
        <f t="shared" si="23"/>
        <v>0</v>
      </c>
      <c r="Y511" s="222"/>
      <c r="Z511" s="272">
        <f t="shared" si="21"/>
        <v>0</v>
      </c>
      <c r="AA511" s="331"/>
      <c r="AB511" s="331"/>
      <c r="AC511" s="331"/>
      <c r="AD511" s="331"/>
      <c r="AE511" s="331"/>
      <c r="AF511" s="331"/>
      <c r="AG511" s="331"/>
      <c r="AH511" s="241">
        <f t="shared" ca="1" si="22"/>
        <v>46153</v>
      </c>
      <c r="AI511" s="272"/>
      <c r="AJ511" s="222"/>
      <c r="AK511" s="222"/>
    </row>
    <row r="512" spans="1:37" ht="23" hidden="1">
      <c r="A512" s="111">
        <v>994</v>
      </c>
      <c r="B512" s="112">
        <v>1</v>
      </c>
      <c r="C512" s="113" t="s">
        <v>4610</v>
      </c>
      <c r="D512" s="147" t="s">
        <v>4611</v>
      </c>
      <c r="E512" s="114" t="s">
        <v>4612</v>
      </c>
      <c r="F512" s="115" t="s">
        <v>994</v>
      </c>
      <c r="G512" s="115" t="s">
        <v>983</v>
      </c>
      <c r="H512" s="116">
        <v>13.787682</v>
      </c>
      <c r="I512" s="116">
        <v>100.54759199999999</v>
      </c>
      <c r="J512" s="115" t="s">
        <v>2108</v>
      </c>
      <c r="K512" s="117" t="s">
        <v>2109</v>
      </c>
      <c r="L512" s="117" t="s">
        <v>2110</v>
      </c>
      <c r="M512" s="121" t="s">
        <v>972</v>
      </c>
      <c r="N512" s="121" t="s">
        <v>972</v>
      </c>
      <c r="O512" s="121" t="s">
        <v>958</v>
      </c>
      <c r="P512" s="117" t="s">
        <v>1876</v>
      </c>
      <c r="Q512" s="125" t="s">
        <v>972</v>
      </c>
      <c r="R512" s="130" t="s">
        <v>972</v>
      </c>
      <c r="S512" s="125" t="s">
        <v>972</v>
      </c>
      <c r="T512" s="222"/>
      <c r="U512" s="222"/>
      <c r="V512" s="222"/>
      <c r="W512" s="230"/>
      <c r="X512" s="331">
        <f t="shared" si="23"/>
        <v>0</v>
      </c>
      <c r="Y512" s="222"/>
      <c r="Z512" s="272">
        <f t="shared" si="21"/>
        <v>0</v>
      </c>
      <c r="AA512" s="331"/>
      <c r="AB512" s="331"/>
      <c r="AC512" s="331"/>
      <c r="AD512" s="331"/>
      <c r="AE512" s="331"/>
      <c r="AF512" s="331"/>
      <c r="AG512" s="331"/>
      <c r="AH512" s="241">
        <f t="shared" ca="1" si="22"/>
        <v>46153</v>
      </c>
      <c r="AI512" s="272"/>
      <c r="AJ512" s="222"/>
      <c r="AK512" s="222"/>
    </row>
    <row r="513" spans="1:37" ht="23" hidden="1">
      <c r="A513" s="111">
        <v>1043</v>
      </c>
      <c r="B513" s="112">
        <v>12</v>
      </c>
      <c r="C513" s="113" t="s">
        <v>4716</v>
      </c>
      <c r="D513" s="147" t="s">
        <v>4717</v>
      </c>
      <c r="E513" s="114" t="s">
        <v>4718</v>
      </c>
      <c r="F513" s="115" t="s">
        <v>994</v>
      </c>
      <c r="G513" s="115" t="s">
        <v>1094</v>
      </c>
      <c r="H513" s="116">
        <v>13.797436100000001</v>
      </c>
      <c r="I513" s="116">
        <v>100.5507899</v>
      </c>
      <c r="J513" s="115" t="s">
        <v>890</v>
      </c>
      <c r="K513" s="117" t="s">
        <v>2180</v>
      </c>
      <c r="L513" s="117" t="s">
        <v>2180</v>
      </c>
      <c r="M513" s="121">
        <v>77114965</v>
      </c>
      <c r="N513" s="121" t="s">
        <v>1050</v>
      </c>
      <c r="O513" s="121" t="s">
        <v>995</v>
      </c>
      <c r="P513" s="117" t="s">
        <v>952</v>
      </c>
      <c r="Q513" s="125" t="s">
        <v>972</v>
      </c>
      <c r="R513" s="125" t="s">
        <v>972</v>
      </c>
      <c r="S513" s="125" t="s">
        <v>972</v>
      </c>
      <c r="T513" s="222"/>
      <c r="U513" s="222"/>
      <c r="V513" s="222"/>
      <c r="W513" s="230"/>
      <c r="X513" s="331">
        <f t="shared" si="23"/>
        <v>0</v>
      </c>
      <c r="Y513" s="222"/>
      <c r="Z513" s="272">
        <f t="shared" si="21"/>
        <v>0</v>
      </c>
      <c r="AA513" s="331"/>
      <c r="AB513" s="331"/>
      <c r="AC513" s="331"/>
      <c r="AD513" s="331"/>
      <c r="AE513" s="331"/>
      <c r="AF513" s="331"/>
      <c r="AG513" s="331"/>
      <c r="AH513" s="241">
        <f t="shared" ca="1" si="22"/>
        <v>46153</v>
      </c>
      <c r="AI513" s="272"/>
      <c r="AJ513" s="222"/>
      <c r="AK513" s="222"/>
    </row>
    <row r="514" spans="1:37" ht="23" hidden="1">
      <c r="A514" s="111">
        <v>1045</v>
      </c>
      <c r="B514" s="112">
        <v>10</v>
      </c>
      <c r="C514" s="113" t="s">
        <v>4724</v>
      </c>
      <c r="D514" s="147" t="s">
        <v>4725</v>
      </c>
      <c r="E514" s="114" t="s">
        <v>4726</v>
      </c>
      <c r="F514" s="115" t="s">
        <v>994</v>
      </c>
      <c r="G514" s="115" t="s">
        <v>983</v>
      </c>
      <c r="H514" s="116">
        <v>13.779897</v>
      </c>
      <c r="I514" s="116">
        <v>100.544805</v>
      </c>
      <c r="J514" s="115" t="s">
        <v>2108</v>
      </c>
      <c r="K514" s="117" t="s">
        <v>2109</v>
      </c>
      <c r="L514" s="117" t="s">
        <v>2110</v>
      </c>
      <c r="M514" s="121" t="s">
        <v>972</v>
      </c>
      <c r="N514" s="121" t="s">
        <v>972</v>
      </c>
      <c r="O514" s="121" t="s">
        <v>958</v>
      </c>
      <c r="P514" s="117" t="s">
        <v>1876</v>
      </c>
      <c r="Q514" s="125" t="s">
        <v>972</v>
      </c>
      <c r="R514" s="125" t="s">
        <v>972</v>
      </c>
      <c r="S514" s="125" t="s">
        <v>972</v>
      </c>
      <c r="T514" s="222"/>
      <c r="U514" s="222"/>
      <c r="V514" s="222"/>
      <c r="W514" s="230"/>
      <c r="X514" s="331">
        <f t="shared" si="23"/>
        <v>0</v>
      </c>
      <c r="Y514" s="222"/>
      <c r="Z514" s="272">
        <f t="shared" si="21"/>
        <v>0</v>
      </c>
      <c r="AA514" s="331"/>
      <c r="AB514" s="331"/>
      <c r="AC514" s="331"/>
      <c r="AD514" s="331"/>
      <c r="AE514" s="331"/>
      <c r="AF514" s="331"/>
      <c r="AG514" s="331"/>
      <c r="AH514" s="241">
        <f t="shared" ca="1" si="22"/>
        <v>46153</v>
      </c>
      <c r="AI514" s="272"/>
      <c r="AJ514" s="222"/>
      <c r="AK514" s="222"/>
    </row>
    <row r="515" spans="1:37" ht="23" hidden="1">
      <c r="A515" s="111">
        <v>1049</v>
      </c>
      <c r="B515" s="112">
        <v>8</v>
      </c>
      <c r="C515" s="113" t="s">
        <v>4730</v>
      </c>
      <c r="D515" s="147" t="s">
        <v>4731</v>
      </c>
      <c r="E515" s="114" t="s">
        <v>4732</v>
      </c>
      <c r="F515" s="115" t="s">
        <v>994</v>
      </c>
      <c r="G515" s="115" t="s">
        <v>983</v>
      </c>
      <c r="H515" s="116">
        <v>13.7733968</v>
      </c>
      <c r="I515" s="116">
        <v>100.54228879999999</v>
      </c>
      <c r="J515" s="116" t="s">
        <v>969</v>
      </c>
      <c r="K515" s="115" t="s">
        <v>1048</v>
      </c>
      <c r="L515" s="117" t="s">
        <v>4733</v>
      </c>
      <c r="M515" s="117">
        <v>96941192</v>
      </c>
      <c r="N515" s="121" t="s">
        <v>1050</v>
      </c>
      <c r="O515" s="121" t="s">
        <v>958</v>
      </c>
      <c r="P515" s="118" t="s">
        <v>1876</v>
      </c>
      <c r="Q515" s="125" t="s">
        <v>972</v>
      </c>
      <c r="R515" s="130" t="s">
        <v>972</v>
      </c>
      <c r="S515" s="125" t="s">
        <v>972</v>
      </c>
      <c r="T515" s="222"/>
      <c r="U515" s="222"/>
      <c r="V515" s="222"/>
      <c r="W515" s="230"/>
      <c r="X515" s="331">
        <f t="shared" si="23"/>
        <v>0</v>
      </c>
      <c r="Y515" s="222"/>
      <c r="Z515" s="272">
        <f t="shared" ref="Z515:Z578" si="24">DATEDIF(X515,Y515,"d")</f>
        <v>0</v>
      </c>
      <c r="AA515" s="331"/>
      <c r="AB515" s="331"/>
      <c r="AC515" s="331"/>
      <c r="AD515" s="331"/>
      <c r="AE515" s="331"/>
      <c r="AF515" s="331"/>
      <c r="AG515" s="331"/>
      <c r="AH515" s="241">
        <f t="shared" ref="AH515:AH578" ca="1" si="25">TODAY()</f>
        <v>46153</v>
      </c>
      <c r="AI515" s="272"/>
      <c r="AJ515" s="222"/>
      <c r="AK515" s="222"/>
    </row>
    <row r="516" spans="1:37" ht="23" hidden="1">
      <c r="A516" s="111">
        <v>1055</v>
      </c>
      <c r="B516" s="112">
        <v>7</v>
      </c>
      <c r="C516" s="113" t="s">
        <v>4743</v>
      </c>
      <c r="D516" s="147" t="s">
        <v>4744</v>
      </c>
      <c r="E516" s="114" t="s">
        <v>4745</v>
      </c>
      <c r="F516" s="115" t="s">
        <v>994</v>
      </c>
      <c r="G516" s="115" t="s">
        <v>983</v>
      </c>
      <c r="H516" s="116">
        <v>13.781082</v>
      </c>
      <c r="I516" s="116">
        <v>100.545424</v>
      </c>
      <c r="J516" s="115" t="s">
        <v>2108</v>
      </c>
      <c r="K516" s="117" t="s">
        <v>2109</v>
      </c>
      <c r="L516" s="117" t="s">
        <v>2110</v>
      </c>
      <c r="M516" s="121" t="s">
        <v>972</v>
      </c>
      <c r="N516" s="121" t="s">
        <v>972</v>
      </c>
      <c r="O516" s="121" t="s">
        <v>958</v>
      </c>
      <c r="P516" s="117" t="s">
        <v>1876</v>
      </c>
      <c r="Q516" s="125" t="s">
        <v>972</v>
      </c>
      <c r="R516" s="130" t="s">
        <v>972</v>
      </c>
      <c r="S516" s="125" t="s">
        <v>972</v>
      </c>
      <c r="T516" s="222"/>
      <c r="U516" s="222"/>
      <c r="V516" s="222"/>
      <c r="W516" s="230"/>
      <c r="X516" s="331">
        <f t="shared" ref="X516:X579" si="26">V516+(W516)</f>
        <v>0</v>
      </c>
      <c r="Y516" s="222"/>
      <c r="Z516" s="272">
        <f t="shared" si="24"/>
        <v>0</v>
      </c>
      <c r="AA516" s="331"/>
      <c r="AB516" s="331"/>
      <c r="AC516" s="331"/>
      <c r="AD516" s="331"/>
      <c r="AE516" s="331"/>
      <c r="AF516" s="331"/>
      <c r="AG516" s="331"/>
      <c r="AH516" s="241">
        <f t="shared" ca="1" si="25"/>
        <v>46153</v>
      </c>
      <c r="AI516" s="272"/>
      <c r="AJ516" s="222"/>
      <c r="AK516" s="222"/>
    </row>
    <row r="517" spans="1:37" ht="23" hidden="1">
      <c r="A517" s="111">
        <v>1057</v>
      </c>
      <c r="B517" s="112">
        <v>11</v>
      </c>
      <c r="C517" s="113" t="s">
        <v>4750</v>
      </c>
      <c r="D517" s="147" t="s">
        <v>4751</v>
      </c>
      <c r="E517" s="114" t="s">
        <v>4752</v>
      </c>
      <c r="F517" s="115" t="s">
        <v>994</v>
      </c>
      <c r="G517" s="115" t="s">
        <v>1094</v>
      </c>
      <c r="H517" s="116">
        <v>13.819845000000001</v>
      </c>
      <c r="I517" s="116">
        <v>100.56403899999999</v>
      </c>
      <c r="J517" s="116" t="s">
        <v>969</v>
      </c>
      <c r="K517" s="115" t="s">
        <v>1048</v>
      </c>
      <c r="L517" s="117" t="s">
        <v>4753</v>
      </c>
      <c r="M517" s="117">
        <v>96964386</v>
      </c>
      <c r="N517" s="121" t="s">
        <v>892</v>
      </c>
      <c r="O517" s="121" t="s">
        <v>995</v>
      </c>
      <c r="P517" s="117" t="s">
        <v>952</v>
      </c>
      <c r="Q517" s="125" t="s">
        <v>972</v>
      </c>
      <c r="R517" s="125" t="s">
        <v>972</v>
      </c>
      <c r="S517" s="125" t="s">
        <v>972</v>
      </c>
      <c r="T517" s="222"/>
      <c r="U517" s="222"/>
      <c r="V517" s="222"/>
      <c r="W517" s="230"/>
      <c r="X517" s="331">
        <f t="shared" si="26"/>
        <v>0</v>
      </c>
      <c r="Y517" s="222"/>
      <c r="Z517" s="272">
        <f t="shared" si="24"/>
        <v>0</v>
      </c>
      <c r="AA517" s="331"/>
      <c r="AB517" s="331"/>
      <c r="AC517" s="331"/>
      <c r="AD517" s="331"/>
      <c r="AE517" s="331"/>
      <c r="AF517" s="331"/>
      <c r="AG517" s="331"/>
      <c r="AH517" s="241">
        <f t="shared" ca="1" si="25"/>
        <v>46153</v>
      </c>
      <c r="AI517" s="272"/>
      <c r="AJ517" s="222"/>
      <c r="AK517" s="222"/>
    </row>
    <row r="518" spans="1:37" ht="23" hidden="1">
      <c r="A518" s="111">
        <v>1058</v>
      </c>
      <c r="B518" s="112" t="s">
        <v>1459</v>
      </c>
      <c r="C518" s="122" t="s">
        <v>4754</v>
      </c>
      <c r="D518" s="147" t="s">
        <v>4755</v>
      </c>
      <c r="E518" s="114" t="s">
        <v>4756</v>
      </c>
      <c r="F518" s="115" t="s">
        <v>994</v>
      </c>
      <c r="G518" s="115" t="s">
        <v>1094</v>
      </c>
      <c r="H518" s="116">
        <v>13.8064351</v>
      </c>
      <c r="I518" s="116">
        <v>100.55581309999999</v>
      </c>
      <c r="J518" s="115" t="s">
        <v>2108</v>
      </c>
      <c r="K518" s="117" t="s">
        <v>2109</v>
      </c>
      <c r="L518" s="117" t="s">
        <v>2110</v>
      </c>
      <c r="M518" s="121" t="s">
        <v>972</v>
      </c>
      <c r="N518" s="121" t="s">
        <v>972</v>
      </c>
      <c r="O518" s="121" t="s">
        <v>995</v>
      </c>
      <c r="P518" s="117" t="s">
        <v>1876</v>
      </c>
      <c r="Q518" s="125" t="s">
        <v>972</v>
      </c>
      <c r="R518" s="130" t="s">
        <v>972</v>
      </c>
      <c r="S518" s="125" t="s">
        <v>972</v>
      </c>
      <c r="T518" s="222"/>
      <c r="U518" s="222"/>
      <c r="V518" s="222"/>
      <c r="W518" s="230"/>
      <c r="X518" s="331">
        <f t="shared" si="26"/>
        <v>0</v>
      </c>
      <c r="Y518" s="222"/>
      <c r="Z518" s="272">
        <f t="shared" si="24"/>
        <v>0</v>
      </c>
      <c r="AA518" s="331"/>
      <c r="AB518" s="331"/>
      <c r="AC518" s="331"/>
      <c r="AD518" s="331"/>
      <c r="AE518" s="331"/>
      <c r="AF518" s="331"/>
      <c r="AG518" s="331"/>
      <c r="AH518" s="241">
        <f t="shared" ca="1" si="25"/>
        <v>46153</v>
      </c>
      <c r="AI518" s="272"/>
      <c r="AJ518" s="222"/>
      <c r="AK518" s="222"/>
    </row>
    <row r="519" spans="1:37" ht="23" hidden="1">
      <c r="A519" s="111">
        <v>1118</v>
      </c>
      <c r="B519" s="112" t="s">
        <v>1082</v>
      </c>
      <c r="C519" s="122" t="s">
        <v>4895</v>
      </c>
      <c r="D519" s="147" t="s">
        <v>4896</v>
      </c>
      <c r="E519" s="114" t="s">
        <v>4897</v>
      </c>
      <c r="F519" s="115" t="s">
        <v>994</v>
      </c>
      <c r="G519" s="115" t="s">
        <v>1094</v>
      </c>
      <c r="H519" s="115">
        <v>13.848395200000001</v>
      </c>
      <c r="I519" s="115">
        <v>100.58062940000001</v>
      </c>
      <c r="J519" s="116" t="s">
        <v>969</v>
      </c>
      <c r="K519" s="115" t="s">
        <v>1048</v>
      </c>
      <c r="L519" s="117" t="s">
        <v>4898</v>
      </c>
      <c r="M519" s="117">
        <v>96940075</v>
      </c>
      <c r="N519" s="121" t="s">
        <v>892</v>
      </c>
      <c r="O519" s="121" t="s">
        <v>995</v>
      </c>
      <c r="P519" s="117" t="s">
        <v>952</v>
      </c>
      <c r="Q519" s="125" t="s">
        <v>972</v>
      </c>
      <c r="R519" s="125" t="s">
        <v>972</v>
      </c>
      <c r="S519" s="125" t="s">
        <v>972</v>
      </c>
      <c r="T519" s="222"/>
      <c r="U519" s="222"/>
      <c r="V519" s="222"/>
      <c r="W519" s="230"/>
      <c r="X519" s="331">
        <f t="shared" si="26"/>
        <v>0</v>
      </c>
      <c r="Y519" s="222"/>
      <c r="Z519" s="272">
        <f t="shared" si="24"/>
        <v>0</v>
      </c>
      <c r="AA519" s="331"/>
      <c r="AB519" s="331"/>
      <c r="AC519" s="331"/>
      <c r="AD519" s="331"/>
      <c r="AE519" s="331"/>
      <c r="AF519" s="331"/>
      <c r="AG519" s="331"/>
      <c r="AH519" s="241">
        <f t="shared" ca="1" si="25"/>
        <v>46153</v>
      </c>
      <c r="AI519" s="272"/>
      <c r="AJ519" s="222"/>
      <c r="AK519" s="222"/>
    </row>
    <row r="520" spans="1:37" ht="23.25" hidden="1" customHeight="1">
      <c r="A520" s="111">
        <v>1128</v>
      </c>
      <c r="B520" s="112">
        <v>3</v>
      </c>
      <c r="C520" s="113" t="s">
        <v>4921</v>
      </c>
      <c r="D520" s="147" t="s">
        <v>4922</v>
      </c>
      <c r="E520" s="114" t="s">
        <v>4923</v>
      </c>
      <c r="F520" s="115" t="s">
        <v>994</v>
      </c>
      <c r="G520" s="115" t="s">
        <v>983</v>
      </c>
      <c r="H520" s="116">
        <v>13.7875771</v>
      </c>
      <c r="I520" s="116">
        <v>100.5473776</v>
      </c>
      <c r="J520" s="115" t="s">
        <v>2108</v>
      </c>
      <c r="K520" s="117" t="s">
        <v>2109</v>
      </c>
      <c r="L520" s="117" t="s">
        <v>2110</v>
      </c>
      <c r="M520" s="121" t="s">
        <v>972</v>
      </c>
      <c r="N520" s="121" t="s">
        <v>972</v>
      </c>
      <c r="O520" s="121" t="s">
        <v>958</v>
      </c>
      <c r="P520" s="117" t="s">
        <v>952</v>
      </c>
      <c r="Q520" s="125" t="s">
        <v>972</v>
      </c>
      <c r="R520" s="125" t="s">
        <v>972</v>
      </c>
      <c r="S520" s="125" t="s">
        <v>972</v>
      </c>
      <c r="T520" s="222"/>
      <c r="U520" s="222"/>
      <c r="V520" s="222"/>
      <c r="W520" s="230"/>
      <c r="X520" s="331">
        <f t="shared" si="26"/>
        <v>0</v>
      </c>
      <c r="Y520" s="222"/>
      <c r="Z520" s="272">
        <f t="shared" si="24"/>
        <v>0</v>
      </c>
      <c r="AA520" s="331"/>
      <c r="AB520" s="331"/>
      <c r="AC520" s="331"/>
      <c r="AD520" s="331"/>
      <c r="AE520" s="331"/>
      <c r="AF520" s="331"/>
      <c r="AG520" s="331"/>
      <c r="AH520" s="241">
        <f t="shared" ca="1" si="25"/>
        <v>46153</v>
      </c>
      <c r="AI520" s="272"/>
      <c r="AJ520" s="222"/>
      <c r="AK520" s="222"/>
    </row>
    <row r="521" spans="1:37" ht="23" hidden="1">
      <c r="A521" s="111">
        <v>1167</v>
      </c>
      <c r="B521" s="112">
        <v>9</v>
      </c>
      <c r="C521" s="122" t="s">
        <v>5037</v>
      </c>
      <c r="D521" s="147" t="s">
        <v>5038</v>
      </c>
      <c r="E521" s="114" t="s">
        <v>5039</v>
      </c>
      <c r="F521" s="115" t="s">
        <v>994</v>
      </c>
      <c r="G521" s="115" t="s">
        <v>983</v>
      </c>
      <c r="H521" s="116">
        <v>13.777484100000001</v>
      </c>
      <c r="I521" s="116">
        <v>100.5439193</v>
      </c>
      <c r="J521" s="116" t="s">
        <v>969</v>
      </c>
      <c r="K521" s="115" t="s">
        <v>1048</v>
      </c>
      <c r="L521" s="117" t="s">
        <v>4003</v>
      </c>
      <c r="M521" s="117">
        <v>96941195</v>
      </c>
      <c r="N521" s="121" t="s">
        <v>1050</v>
      </c>
      <c r="O521" s="121" t="s">
        <v>958</v>
      </c>
      <c r="P521" s="117" t="s">
        <v>952</v>
      </c>
      <c r="Q521" s="125" t="s">
        <v>972</v>
      </c>
      <c r="R521" s="130" t="s">
        <v>972</v>
      </c>
      <c r="S521" s="125" t="s">
        <v>972</v>
      </c>
      <c r="T521" s="222"/>
      <c r="U521" s="222"/>
      <c r="V521" s="222"/>
      <c r="W521" s="230"/>
      <c r="X521" s="331">
        <f t="shared" si="26"/>
        <v>0</v>
      </c>
      <c r="Y521" s="222"/>
      <c r="Z521" s="272">
        <f t="shared" si="24"/>
        <v>0</v>
      </c>
      <c r="AA521" s="331"/>
      <c r="AB521" s="331"/>
      <c r="AC521" s="331"/>
      <c r="AD521" s="331"/>
      <c r="AE521" s="331"/>
      <c r="AF521" s="331"/>
      <c r="AG521" s="331"/>
      <c r="AH521" s="241">
        <f t="shared" ca="1" si="25"/>
        <v>46153</v>
      </c>
      <c r="AI521" s="272"/>
      <c r="AJ521" s="222"/>
      <c r="AK521" s="222"/>
    </row>
    <row r="522" spans="1:37" ht="16.5" hidden="1" customHeight="1">
      <c r="A522" s="111">
        <v>1168</v>
      </c>
      <c r="B522" s="112">
        <v>3</v>
      </c>
      <c r="C522" s="113" t="s">
        <v>5040</v>
      </c>
      <c r="D522" s="147" t="s">
        <v>5041</v>
      </c>
      <c r="E522" s="114" t="s">
        <v>5042</v>
      </c>
      <c r="F522" s="115" t="s">
        <v>994</v>
      </c>
      <c r="G522" s="115" t="s">
        <v>983</v>
      </c>
      <c r="H522" s="116">
        <v>13.7741015</v>
      </c>
      <c r="I522" s="116">
        <v>100.54272090000001</v>
      </c>
      <c r="J522" s="115" t="s">
        <v>2108</v>
      </c>
      <c r="K522" s="117" t="s">
        <v>2109</v>
      </c>
      <c r="L522" s="117" t="s">
        <v>2110</v>
      </c>
      <c r="M522" s="121" t="s">
        <v>972</v>
      </c>
      <c r="N522" s="121" t="s">
        <v>972</v>
      </c>
      <c r="O522" s="121" t="s">
        <v>958</v>
      </c>
      <c r="P522" s="117" t="s">
        <v>1876</v>
      </c>
      <c r="Q522" s="125" t="s">
        <v>972</v>
      </c>
      <c r="R522" s="125" t="s">
        <v>972</v>
      </c>
      <c r="S522" s="125" t="s">
        <v>972</v>
      </c>
      <c r="T522" s="222"/>
      <c r="U522" s="222"/>
      <c r="V522" s="222"/>
      <c r="W522" s="230"/>
      <c r="X522" s="331">
        <f t="shared" si="26"/>
        <v>0</v>
      </c>
      <c r="Y522" s="222"/>
      <c r="Z522" s="272">
        <f t="shared" si="24"/>
        <v>0</v>
      </c>
      <c r="AA522" s="331"/>
      <c r="AB522" s="331"/>
      <c r="AC522" s="331"/>
      <c r="AD522" s="331"/>
      <c r="AE522" s="331"/>
      <c r="AF522" s="331"/>
      <c r="AG522" s="331"/>
      <c r="AH522" s="241">
        <f t="shared" ca="1" si="25"/>
        <v>46153</v>
      </c>
      <c r="AI522" s="272"/>
      <c r="AJ522" s="222"/>
      <c r="AK522" s="222"/>
    </row>
    <row r="523" spans="1:37" ht="23.25" hidden="1" customHeight="1">
      <c r="A523" s="111">
        <v>1179</v>
      </c>
      <c r="B523" s="150" t="s">
        <v>1818</v>
      </c>
      <c r="C523" s="150" t="s">
        <v>1818</v>
      </c>
      <c r="D523" s="160" t="s">
        <v>5075</v>
      </c>
      <c r="E523" s="123" t="s">
        <v>5309</v>
      </c>
      <c r="F523" s="116" t="s">
        <v>994</v>
      </c>
      <c r="G523" s="116" t="s">
        <v>1094</v>
      </c>
      <c r="H523" s="116">
        <v>13.804229299999999</v>
      </c>
      <c r="I523" s="116">
        <v>100.5548474</v>
      </c>
      <c r="J523" s="117" t="s">
        <v>969</v>
      </c>
      <c r="K523" s="117" t="s">
        <v>1048</v>
      </c>
      <c r="L523" s="117" t="s">
        <v>5298</v>
      </c>
      <c r="M523" s="117"/>
      <c r="N523" s="117" t="s">
        <v>892</v>
      </c>
      <c r="O523" s="117" t="s">
        <v>995</v>
      </c>
      <c r="P523" s="117" t="s">
        <v>5305</v>
      </c>
      <c r="Q523" s="119"/>
      <c r="R523" s="119"/>
      <c r="S523" s="119"/>
      <c r="T523" s="271" t="s">
        <v>5183</v>
      </c>
      <c r="U523" s="271" t="s">
        <v>5183</v>
      </c>
      <c r="V523" s="271"/>
      <c r="W523" s="230"/>
      <c r="X523" s="331">
        <f t="shared" si="26"/>
        <v>0</v>
      </c>
      <c r="Y523" s="271"/>
      <c r="Z523" s="272">
        <f t="shared" si="24"/>
        <v>0</v>
      </c>
      <c r="AA523" s="331"/>
      <c r="AB523" s="331"/>
      <c r="AC523" s="331"/>
      <c r="AD523" s="331"/>
      <c r="AE523" s="331"/>
      <c r="AF523" s="331"/>
      <c r="AG523" s="331"/>
      <c r="AH523" s="273">
        <f t="shared" ca="1" si="25"/>
        <v>46153</v>
      </c>
      <c r="AI523" s="270"/>
      <c r="AJ523" s="275" t="s">
        <v>5204</v>
      </c>
      <c r="AK523" s="271" t="s">
        <v>5149</v>
      </c>
    </row>
    <row r="524" spans="1:37" ht="23.25" hidden="1" customHeight="1">
      <c r="A524" s="111">
        <v>1182</v>
      </c>
      <c r="B524" s="150" t="s">
        <v>2209</v>
      </c>
      <c r="C524" s="150" t="s">
        <v>2209</v>
      </c>
      <c r="D524" s="150" t="s">
        <v>5076</v>
      </c>
      <c r="E524" s="152" t="s">
        <v>5077</v>
      </c>
      <c r="F524" s="150" t="s">
        <v>994</v>
      </c>
      <c r="G524" s="206" t="s">
        <v>1094</v>
      </c>
      <c r="H524" s="117">
        <v>13.819074000000001</v>
      </c>
      <c r="I524" s="117">
        <v>100.56341</v>
      </c>
      <c r="J524" s="117" t="s">
        <v>5078</v>
      </c>
      <c r="K524" s="117" t="s">
        <v>5074</v>
      </c>
      <c r="L524" s="117" t="s">
        <v>5074</v>
      </c>
      <c r="M524" s="117" t="s">
        <v>5074</v>
      </c>
      <c r="N524" s="117" t="s">
        <v>5074</v>
      </c>
      <c r="O524" s="117" t="s">
        <v>5074</v>
      </c>
      <c r="P524" s="117" t="s">
        <v>5074</v>
      </c>
      <c r="Q524" s="119"/>
      <c r="R524" s="119"/>
      <c r="S524" s="119"/>
      <c r="T524" s="222"/>
      <c r="U524" s="222"/>
      <c r="V524" s="222"/>
      <c r="W524" s="230"/>
      <c r="X524" s="331">
        <f t="shared" si="26"/>
        <v>0</v>
      </c>
      <c r="Y524" s="222"/>
      <c r="Z524" s="272">
        <f t="shared" si="24"/>
        <v>0</v>
      </c>
      <c r="AA524" s="331"/>
      <c r="AB524" s="331"/>
      <c r="AC524" s="331"/>
      <c r="AD524" s="331"/>
      <c r="AE524" s="331"/>
      <c r="AF524" s="331"/>
      <c r="AG524" s="331"/>
      <c r="AH524" s="241">
        <f t="shared" ca="1" si="25"/>
        <v>46153</v>
      </c>
      <c r="AI524" s="272"/>
      <c r="AJ524" s="222"/>
      <c r="AK524" s="222"/>
    </row>
    <row r="525" spans="1:37" ht="23" hidden="1">
      <c r="A525" s="111">
        <v>106</v>
      </c>
      <c r="B525" s="112">
        <v>13</v>
      </c>
      <c r="C525" s="113" t="s">
        <v>1026</v>
      </c>
      <c r="D525" s="147" t="s">
        <v>1027</v>
      </c>
      <c r="E525" s="114" t="s">
        <v>1028</v>
      </c>
      <c r="F525" s="115" t="s">
        <v>1029</v>
      </c>
      <c r="G525" s="115" t="s">
        <v>1030</v>
      </c>
      <c r="H525" s="116">
        <v>13.739521999999999</v>
      </c>
      <c r="I525" s="116">
        <v>100.603639</v>
      </c>
      <c r="J525" s="116" t="s">
        <v>890</v>
      </c>
      <c r="K525" s="117" t="s">
        <v>891</v>
      </c>
      <c r="L525" s="117" t="s">
        <v>891</v>
      </c>
      <c r="M525" s="117">
        <v>96893539</v>
      </c>
      <c r="N525" s="117" t="s">
        <v>892</v>
      </c>
      <c r="O525" s="121" t="s">
        <v>901</v>
      </c>
      <c r="P525" s="117" t="s">
        <v>902</v>
      </c>
      <c r="Q525" s="118">
        <v>80057501</v>
      </c>
      <c r="R525" s="138" t="s">
        <v>895</v>
      </c>
      <c r="S525" s="119" t="s">
        <v>895</v>
      </c>
      <c r="T525" s="222"/>
      <c r="U525" s="222"/>
      <c r="V525" s="222"/>
      <c r="W525" s="230"/>
      <c r="X525" s="331">
        <f t="shared" si="26"/>
        <v>0</v>
      </c>
      <c r="Y525" s="222"/>
      <c r="Z525" s="272">
        <f t="shared" si="24"/>
        <v>0</v>
      </c>
      <c r="AA525" s="331"/>
      <c r="AB525" s="331"/>
      <c r="AC525" s="331"/>
      <c r="AD525" s="331"/>
      <c r="AE525" s="331"/>
      <c r="AF525" s="331"/>
      <c r="AG525" s="331"/>
      <c r="AH525" s="241">
        <f t="shared" ca="1" si="25"/>
        <v>46153</v>
      </c>
      <c r="AI525" s="272"/>
      <c r="AJ525" s="222"/>
      <c r="AK525" s="222"/>
    </row>
    <row r="526" spans="1:37" ht="23" hidden="1">
      <c r="A526" s="111">
        <v>215</v>
      </c>
      <c r="B526" s="112">
        <v>16</v>
      </c>
      <c r="C526" s="113" t="s">
        <v>1143</v>
      </c>
      <c r="D526" s="147" t="s">
        <v>1144</v>
      </c>
      <c r="E526" s="114" t="s">
        <v>1145</v>
      </c>
      <c r="F526" s="115" t="s">
        <v>1029</v>
      </c>
      <c r="G526" s="115" t="s">
        <v>1030</v>
      </c>
      <c r="H526" s="116">
        <v>13.737837000000001</v>
      </c>
      <c r="I526" s="116">
        <v>100.608389</v>
      </c>
      <c r="J526" s="116" t="s">
        <v>890</v>
      </c>
      <c r="K526" s="117" t="s">
        <v>891</v>
      </c>
      <c r="L526" s="129" t="s">
        <v>891</v>
      </c>
      <c r="M526" s="117">
        <v>96893540</v>
      </c>
      <c r="N526" s="117" t="s">
        <v>892</v>
      </c>
      <c r="O526" s="117" t="s">
        <v>901</v>
      </c>
      <c r="P526" s="129" t="s">
        <v>902</v>
      </c>
      <c r="Q526" s="118">
        <v>80057501</v>
      </c>
      <c r="R526" s="119" t="s">
        <v>895</v>
      </c>
      <c r="S526" s="119" t="s">
        <v>895</v>
      </c>
      <c r="T526" s="222"/>
      <c r="U526" s="222"/>
      <c r="V526" s="222"/>
      <c r="W526" s="230"/>
      <c r="X526" s="331">
        <f t="shared" si="26"/>
        <v>0</v>
      </c>
      <c r="Y526" s="222"/>
      <c r="Z526" s="272">
        <f t="shared" si="24"/>
        <v>0</v>
      </c>
      <c r="AA526" s="331"/>
      <c r="AB526" s="331"/>
      <c r="AC526" s="331"/>
      <c r="AD526" s="331"/>
      <c r="AE526" s="331"/>
      <c r="AF526" s="331"/>
      <c r="AG526" s="331"/>
      <c r="AH526" s="241">
        <f t="shared" ca="1" si="25"/>
        <v>46153</v>
      </c>
      <c r="AI526" s="272"/>
      <c r="AJ526" s="222"/>
      <c r="AK526" s="222"/>
    </row>
    <row r="527" spans="1:37" ht="23.25" hidden="1" customHeight="1">
      <c r="A527" s="111">
        <v>252</v>
      </c>
      <c r="B527" s="112">
        <v>15</v>
      </c>
      <c r="C527" s="113" t="s">
        <v>1166</v>
      </c>
      <c r="D527" s="557" t="s">
        <v>1167</v>
      </c>
      <c r="E527" s="114" t="s">
        <v>1168</v>
      </c>
      <c r="F527" s="115" t="s">
        <v>1029</v>
      </c>
      <c r="G527" s="115" t="s">
        <v>1030</v>
      </c>
      <c r="H527" s="116">
        <v>13.736950999999999</v>
      </c>
      <c r="I527" s="116">
        <v>100.625885</v>
      </c>
      <c r="J527" s="116" t="s">
        <v>890</v>
      </c>
      <c r="K527" s="117" t="s">
        <v>891</v>
      </c>
      <c r="L527" s="129" t="s">
        <v>891</v>
      </c>
      <c r="M527" s="117">
        <v>96893541</v>
      </c>
      <c r="N527" s="117" t="s">
        <v>892</v>
      </c>
      <c r="O527" s="121" t="s">
        <v>901</v>
      </c>
      <c r="P527" s="129" t="s">
        <v>902</v>
      </c>
      <c r="Q527" s="118">
        <v>80057501</v>
      </c>
      <c r="R527" s="138" t="s">
        <v>895</v>
      </c>
      <c r="S527" s="119" t="s">
        <v>895</v>
      </c>
      <c r="T527" s="222"/>
      <c r="U527" s="222"/>
      <c r="V527" s="222"/>
      <c r="W527" s="230"/>
      <c r="X527" s="331">
        <f t="shared" si="26"/>
        <v>0</v>
      </c>
      <c r="Y527" s="222"/>
      <c r="Z527" s="272">
        <f t="shared" si="24"/>
        <v>0</v>
      </c>
      <c r="AA527" s="331"/>
      <c r="AB527" s="331"/>
      <c r="AC527" s="331"/>
      <c r="AD527" s="331"/>
      <c r="AE527" s="331"/>
      <c r="AF527" s="331"/>
      <c r="AG527" s="331"/>
      <c r="AH527" s="241">
        <f t="shared" ca="1" si="25"/>
        <v>46153</v>
      </c>
      <c r="AI527" s="272"/>
      <c r="AJ527" s="222"/>
      <c r="AK527" s="222"/>
    </row>
    <row r="528" spans="1:37" ht="23.25" hidden="1" customHeight="1">
      <c r="A528" s="111">
        <v>296</v>
      </c>
      <c r="B528" s="112">
        <v>14</v>
      </c>
      <c r="C528" s="113" t="s">
        <v>1221</v>
      </c>
      <c r="D528" s="147" t="s">
        <v>1222</v>
      </c>
      <c r="E528" s="114" t="s">
        <v>1223</v>
      </c>
      <c r="F528" s="115" t="s">
        <v>1029</v>
      </c>
      <c r="G528" s="115" t="s">
        <v>1030</v>
      </c>
      <c r="H528" s="116">
        <v>13.737208000000001</v>
      </c>
      <c r="I528" s="116">
        <v>100.62578499999999</v>
      </c>
      <c r="J528" s="116" t="s">
        <v>890</v>
      </c>
      <c r="K528" s="117" t="s">
        <v>891</v>
      </c>
      <c r="L528" s="129" t="s">
        <v>891</v>
      </c>
      <c r="M528" s="117">
        <v>96893544</v>
      </c>
      <c r="N528" s="117" t="s">
        <v>892</v>
      </c>
      <c r="O528" s="121" t="s">
        <v>901</v>
      </c>
      <c r="P528" s="129" t="s">
        <v>902</v>
      </c>
      <c r="Q528" s="118">
        <v>80057501</v>
      </c>
      <c r="R528" s="138" t="s">
        <v>895</v>
      </c>
      <c r="S528" s="119" t="s">
        <v>895</v>
      </c>
      <c r="T528" s="222"/>
      <c r="U528" s="222"/>
      <c r="V528" s="222"/>
      <c r="W528" s="230"/>
      <c r="X528" s="331">
        <f t="shared" si="26"/>
        <v>0</v>
      </c>
      <c r="Y528" s="222"/>
      <c r="Z528" s="272">
        <f t="shared" si="24"/>
        <v>0</v>
      </c>
      <c r="AA528" s="331"/>
      <c r="AB528" s="331"/>
      <c r="AC528" s="331"/>
      <c r="AD528" s="331"/>
      <c r="AE528" s="331"/>
      <c r="AF528" s="331"/>
      <c r="AG528" s="331"/>
      <c r="AH528" s="241">
        <f t="shared" ca="1" si="25"/>
        <v>46153</v>
      </c>
      <c r="AI528" s="272"/>
      <c r="AJ528" s="222"/>
      <c r="AK528" s="222"/>
    </row>
    <row r="529" spans="1:37" ht="23.25" hidden="1" customHeight="1">
      <c r="A529" s="111">
        <v>443</v>
      </c>
      <c r="B529" s="112" t="s">
        <v>1114</v>
      </c>
      <c r="C529" s="113" t="s">
        <v>1404</v>
      </c>
      <c r="D529" s="147" t="s">
        <v>1405</v>
      </c>
      <c r="E529" s="114" t="s">
        <v>1406</v>
      </c>
      <c r="F529" s="115" t="s">
        <v>1029</v>
      </c>
      <c r="G529" s="115" t="s">
        <v>1030</v>
      </c>
      <c r="H529" s="115">
        <v>13.7365101</v>
      </c>
      <c r="I529" s="115">
        <v>100.6327229</v>
      </c>
      <c r="J529" s="116" t="s">
        <v>890</v>
      </c>
      <c r="K529" s="117" t="s">
        <v>891</v>
      </c>
      <c r="L529" s="129" t="s">
        <v>891</v>
      </c>
      <c r="M529" s="117">
        <v>96894795</v>
      </c>
      <c r="N529" s="117" t="s">
        <v>892</v>
      </c>
      <c r="O529" s="117" t="s">
        <v>901</v>
      </c>
      <c r="P529" s="129" t="s">
        <v>902</v>
      </c>
      <c r="Q529" s="118">
        <v>80057501</v>
      </c>
      <c r="R529" s="119" t="s">
        <v>895</v>
      </c>
      <c r="S529" s="119" t="s">
        <v>895</v>
      </c>
      <c r="T529" s="222"/>
      <c r="U529" s="222"/>
      <c r="V529" s="222"/>
      <c r="W529" s="230"/>
      <c r="X529" s="331">
        <f t="shared" si="26"/>
        <v>0</v>
      </c>
      <c r="Y529" s="222"/>
      <c r="Z529" s="272">
        <f t="shared" si="24"/>
        <v>0</v>
      </c>
      <c r="AA529" s="331"/>
      <c r="AB529" s="331"/>
      <c r="AC529" s="331"/>
      <c r="AD529" s="331"/>
      <c r="AE529" s="331"/>
      <c r="AF529" s="331"/>
      <c r="AG529" s="331"/>
      <c r="AH529" s="241">
        <f t="shared" ca="1" si="25"/>
        <v>46153</v>
      </c>
      <c r="AI529" s="272"/>
      <c r="AJ529" s="222"/>
      <c r="AK529" s="222"/>
    </row>
    <row r="530" spans="1:37" ht="23.25" hidden="1" customHeight="1">
      <c r="A530" s="111">
        <v>543</v>
      </c>
      <c r="B530" s="112">
        <v>11</v>
      </c>
      <c r="C530" s="113" t="s">
        <v>1498</v>
      </c>
      <c r="D530" s="147" t="s">
        <v>1499</v>
      </c>
      <c r="E530" s="114" t="s">
        <v>1500</v>
      </c>
      <c r="F530" s="115" t="s">
        <v>1029</v>
      </c>
      <c r="G530" s="115" t="s">
        <v>1030</v>
      </c>
      <c r="H530" s="115">
        <v>13.7369579</v>
      </c>
      <c r="I530" s="115">
        <v>100.63040169999999</v>
      </c>
      <c r="J530" s="116" t="s">
        <v>890</v>
      </c>
      <c r="K530" s="117" t="s">
        <v>891</v>
      </c>
      <c r="L530" s="129" t="s">
        <v>891</v>
      </c>
      <c r="M530" s="117">
        <v>96894794</v>
      </c>
      <c r="N530" s="117" t="s">
        <v>892</v>
      </c>
      <c r="O530" s="121" t="s">
        <v>901</v>
      </c>
      <c r="P530" s="129" t="s">
        <v>902</v>
      </c>
      <c r="Q530" s="118">
        <v>80057501</v>
      </c>
      <c r="R530" s="119" t="s">
        <v>895</v>
      </c>
      <c r="S530" s="119" t="s">
        <v>895</v>
      </c>
      <c r="T530" s="222"/>
      <c r="U530" s="222"/>
      <c r="V530" s="222"/>
      <c r="W530" s="230"/>
      <c r="X530" s="331">
        <f t="shared" si="26"/>
        <v>0</v>
      </c>
      <c r="Y530" s="222"/>
      <c r="Z530" s="272">
        <f t="shared" si="24"/>
        <v>0</v>
      </c>
      <c r="AA530" s="331"/>
      <c r="AB530" s="331"/>
      <c r="AC530" s="331"/>
      <c r="AD530" s="331"/>
      <c r="AE530" s="331"/>
      <c r="AF530" s="331"/>
      <c r="AG530" s="331"/>
      <c r="AH530" s="241">
        <f t="shared" ca="1" si="25"/>
        <v>46153</v>
      </c>
      <c r="AI530" s="272"/>
      <c r="AJ530" s="222"/>
      <c r="AK530" s="222"/>
    </row>
    <row r="531" spans="1:37" ht="23" hidden="1">
      <c r="A531" s="111">
        <v>714</v>
      </c>
      <c r="B531" s="112">
        <v>9</v>
      </c>
      <c r="C531" s="113" t="s">
        <v>1679</v>
      </c>
      <c r="D531" s="147" t="s">
        <v>1680</v>
      </c>
      <c r="E531" s="114" t="s">
        <v>1681</v>
      </c>
      <c r="F531" s="115" t="s">
        <v>1029</v>
      </c>
      <c r="G531" s="115" t="s">
        <v>1030</v>
      </c>
      <c r="H531" s="116">
        <v>13.734948899999999</v>
      </c>
      <c r="I531" s="116">
        <v>100.6430438</v>
      </c>
      <c r="J531" s="116" t="s">
        <v>890</v>
      </c>
      <c r="K531" s="117" t="s">
        <v>891</v>
      </c>
      <c r="L531" s="117" t="s">
        <v>891</v>
      </c>
      <c r="M531" s="117">
        <v>96896058</v>
      </c>
      <c r="N531" s="117" t="s">
        <v>892</v>
      </c>
      <c r="O531" s="117" t="s">
        <v>1134</v>
      </c>
      <c r="P531" s="117" t="s">
        <v>902</v>
      </c>
      <c r="Q531" s="118">
        <v>80057501</v>
      </c>
      <c r="R531" s="119" t="s">
        <v>895</v>
      </c>
      <c r="S531" s="119" t="s">
        <v>895</v>
      </c>
      <c r="T531" s="222"/>
      <c r="U531" s="222"/>
      <c r="V531" s="222"/>
      <c r="W531" s="230"/>
      <c r="X531" s="331">
        <f t="shared" si="26"/>
        <v>0</v>
      </c>
      <c r="Y531" s="222"/>
      <c r="Z531" s="272">
        <f t="shared" si="24"/>
        <v>0</v>
      </c>
      <c r="AA531" s="331"/>
      <c r="AB531" s="331"/>
      <c r="AC531" s="331"/>
      <c r="AD531" s="331"/>
      <c r="AE531" s="331"/>
      <c r="AF531" s="331"/>
      <c r="AG531" s="331"/>
      <c r="AH531" s="241">
        <f t="shared" ca="1" si="25"/>
        <v>46153</v>
      </c>
      <c r="AI531" s="272"/>
      <c r="AJ531" s="222"/>
      <c r="AK531" s="222"/>
    </row>
    <row r="532" spans="1:37" ht="23.25" hidden="1" customHeight="1">
      <c r="A532" s="111">
        <v>840</v>
      </c>
      <c r="B532" s="112">
        <v>15</v>
      </c>
      <c r="C532" s="113" t="s">
        <v>1815</v>
      </c>
      <c r="D532" s="147" t="s">
        <v>1816</v>
      </c>
      <c r="E532" s="114" t="s">
        <v>1817</v>
      </c>
      <c r="F532" s="115" t="s">
        <v>1029</v>
      </c>
      <c r="G532" s="115" t="s">
        <v>1030</v>
      </c>
      <c r="H532" s="116">
        <v>13.734840500000001</v>
      </c>
      <c r="I532" s="116">
        <v>100.64275809999999</v>
      </c>
      <c r="J532" s="116" t="s">
        <v>890</v>
      </c>
      <c r="K532" s="117" t="s">
        <v>891</v>
      </c>
      <c r="L532" s="117" t="s">
        <v>891</v>
      </c>
      <c r="M532" s="462">
        <v>96896059</v>
      </c>
      <c r="N532" s="462" t="s">
        <v>892</v>
      </c>
      <c r="O532" s="462" t="s">
        <v>1134</v>
      </c>
      <c r="P532" s="462" t="s">
        <v>902</v>
      </c>
      <c r="Q532" s="463">
        <v>80057501</v>
      </c>
      <c r="R532" s="464" t="s">
        <v>895</v>
      </c>
      <c r="S532" s="464" t="s">
        <v>895</v>
      </c>
      <c r="T532" s="465" t="s">
        <v>5212</v>
      </c>
      <c r="U532" s="465" t="s">
        <v>5094</v>
      </c>
      <c r="V532" s="466">
        <v>45435</v>
      </c>
      <c r="W532" s="554">
        <v>1</v>
      </c>
      <c r="X532" s="331">
        <f t="shared" si="26"/>
        <v>45436</v>
      </c>
      <c r="Y532" s="466">
        <v>45435</v>
      </c>
      <c r="Z532" s="467" t="e">
        <f t="shared" si="24"/>
        <v>#NUM!</v>
      </c>
      <c r="AA532" s="331"/>
      <c r="AB532" s="331"/>
      <c r="AC532" s="331"/>
      <c r="AD532" s="331"/>
      <c r="AE532" s="331"/>
      <c r="AF532" s="331"/>
      <c r="AG532" s="331"/>
      <c r="AH532" s="466">
        <f t="shared" ca="1" si="25"/>
        <v>46153</v>
      </c>
      <c r="AI532" s="467"/>
      <c r="AJ532" s="465" t="s">
        <v>5362</v>
      </c>
      <c r="AK532" s="465" t="s">
        <v>5363</v>
      </c>
    </row>
    <row r="533" spans="1:37" ht="23.25" hidden="1" customHeight="1">
      <c r="A533" s="111">
        <v>848</v>
      </c>
      <c r="B533" s="112">
        <v>5</v>
      </c>
      <c r="C533" s="113" t="s">
        <v>1822</v>
      </c>
      <c r="D533" s="147" t="s">
        <v>1823</v>
      </c>
      <c r="E533" s="123" t="s">
        <v>1824</v>
      </c>
      <c r="F533" s="115" t="s">
        <v>1029</v>
      </c>
      <c r="G533" s="115" t="s">
        <v>1030</v>
      </c>
      <c r="H533" s="116">
        <v>13.736848</v>
      </c>
      <c r="I533" s="116">
        <v>100.62372499999999</v>
      </c>
      <c r="J533" s="116" t="s">
        <v>890</v>
      </c>
      <c r="K533" s="117" t="s">
        <v>891</v>
      </c>
      <c r="L533" s="129" t="s">
        <v>891</v>
      </c>
      <c r="M533" s="117">
        <v>96894486</v>
      </c>
      <c r="N533" s="117" t="s">
        <v>892</v>
      </c>
      <c r="O533" s="121" t="s">
        <v>901</v>
      </c>
      <c r="P533" s="129" t="s">
        <v>902</v>
      </c>
      <c r="Q533" s="118">
        <v>80057501</v>
      </c>
      <c r="R533" s="138" t="s">
        <v>895</v>
      </c>
      <c r="S533" s="119" t="s">
        <v>895</v>
      </c>
      <c r="T533" s="222"/>
      <c r="U533" s="222"/>
      <c r="V533" s="222"/>
      <c r="W533" s="230"/>
      <c r="X533" s="331">
        <f t="shared" si="26"/>
        <v>0</v>
      </c>
      <c r="Y533" s="222"/>
      <c r="Z533" s="272">
        <f t="shared" si="24"/>
        <v>0</v>
      </c>
      <c r="AA533" s="331"/>
      <c r="AB533" s="331"/>
      <c r="AC533" s="331"/>
      <c r="AD533" s="331"/>
      <c r="AE533" s="331"/>
      <c r="AF533" s="331"/>
      <c r="AG533" s="331"/>
      <c r="AH533" s="241">
        <f t="shared" ca="1" si="25"/>
        <v>46153</v>
      </c>
      <c r="AI533" s="272"/>
      <c r="AJ533" s="222"/>
      <c r="AK533" s="222"/>
    </row>
    <row r="534" spans="1:37" ht="23" hidden="1">
      <c r="A534" s="111">
        <v>102</v>
      </c>
      <c r="B534" s="112">
        <v>1</v>
      </c>
      <c r="C534" s="113" t="s">
        <v>2352</v>
      </c>
      <c r="D534" s="147" t="s">
        <v>2353</v>
      </c>
      <c r="E534" s="114" t="s">
        <v>2354</v>
      </c>
      <c r="F534" s="115" t="s">
        <v>1029</v>
      </c>
      <c r="G534" s="115" t="s">
        <v>1133</v>
      </c>
      <c r="H534" s="116">
        <v>13.727574000000001</v>
      </c>
      <c r="I534" s="116">
        <v>100.656938</v>
      </c>
      <c r="J534" s="116" t="s">
        <v>2108</v>
      </c>
      <c r="K534" s="115" t="s">
        <v>2081</v>
      </c>
      <c r="L534" s="117" t="s">
        <v>2355</v>
      </c>
      <c r="M534" s="121" t="s">
        <v>972</v>
      </c>
      <c r="N534" s="121" t="s">
        <v>972</v>
      </c>
      <c r="O534" s="121" t="s">
        <v>1134</v>
      </c>
      <c r="P534" s="117" t="s">
        <v>1876</v>
      </c>
      <c r="Q534" s="125" t="s">
        <v>972</v>
      </c>
      <c r="R534" s="125" t="s">
        <v>972</v>
      </c>
      <c r="S534" s="125" t="s">
        <v>972</v>
      </c>
      <c r="T534" s="222"/>
      <c r="U534" s="222"/>
      <c r="V534" s="222"/>
      <c r="W534" s="230"/>
      <c r="X534" s="331">
        <f t="shared" si="26"/>
        <v>0</v>
      </c>
      <c r="Y534" s="222"/>
      <c r="Z534" s="272">
        <f t="shared" si="24"/>
        <v>0</v>
      </c>
      <c r="AA534" s="331"/>
      <c r="AB534" s="331"/>
      <c r="AC534" s="331"/>
      <c r="AD534" s="331"/>
      <c r="AE534" s="331"/>
      <c r="AF534" s="331"/>
      <c r="AG534" s="331"/>
      <c r="AH534" s="241">
        <f t="shared" ca="1" si="25"/>
        <v>46153</v>
      </c>
      <c r="AI534" s="272"/>
      <c r="AJ534" s="222"/>
      <c r="AK534" s="222"/>
    </row>
    <row r="535" spans="1:37" ht="23" hidden="1">
      <c r="A535" s="111">
        <v>541</v>
      </c>
      <c r="B535" s="112">
        <v>2</v>
      </c>
      <c r="C535" s="113" t="s">
        <v>3467</v>
      </c>
      <c r="D535" s="147" t="s">
        <v>3468</v>
      </c>
      <c r="E535" s="114" t="s">
        <v>3469</v>
      </c>
      <c r="F535" s="115" t="s">
        <v>1029</v>
      </c>
      <c r="G535" s="115" t="s">
        <v>1030</v>
      </c>
      <c r="H535" s="116">
        <v>13.740665</v>
      </c>
      <c r="I535" s="116">
        <v>100.601229</v>
      </c>
      <c r="J535" s="115" t="s">
        <v>2108</v>
      </c>
      <c r="K535" s="117" t="s">
        <v>2109</v>
      </c>
      <c r="L535" s="117" t="s">
        <v>2110</v>
      </c>
      <c r="M535" s="121" t="s">
        <v>972</v>
      </c>
      <c r="N535" s="121" t="s">
        <v>972</v>
      </c>
      <c r="O535" s="121" t="s">
        <v>901</v>
      </c>
      <c r="P535" s="117" t="s">
        <v>902</v>
      </c>
      <c r="Q535" s="125" t="s">
        <v>972</v>
      </c>
      <c r="R535" s="125" t="s">
        <v>972</v>
      </c>
      <c r="S535" s="125" t="s">
        <v>972</v>
      </c>
      <c r="T535" s="222"/>
      <c r="U535" s="222"/>
      <c r="V535" s="222"/>
      <c r="W535" s="230"/>
      <c r="X535" s="331">
        <f t="shared" si="26"/>
        <v>0</v>
      </c>
      <c r="Y535" s="222"/>
      <c r="Z535" s="272">
        <f t="shared" si="24"/>
        <v>0</v>
      </c>
      <c r="AA535" s="331"/>
      <c r="AB535" s="331"/>
      <c r="AC535" s="331"/>
      <c r="AD535" s="331"/>
      <c r="AE535" s="331"/>
      <c r="AF535" s="331"/>
      <c r="AG535" s="331"/>
      <c r="AH535" s="241">
        <f t="shared" ca="1" si="25"/>
        <v>46153</v>
      </c>
      <c r="AI535" s="272"/>
      <c r="AJ535" s="222"/>
      <c r="AK535" s="222"/>
    </row>
    <row r="536" spans="1:37" ht="23" hidden="1">
      <c r="A536" s="111">
        <v>636</v>
      </c>
      <c r="B536" s="112">
        <v>8</v>
      </c>
      <c r="C536" s="122" t="s">
        <v>3715</v>
      </c>
      <c r="D536" s="147" t="s">
        <v>3716</v>
      </c>
      <c r="E536" s="123" t="s">
        <v>3717</v>
      </c>
      <c r="F536" s="116" t="s">
        <v>1029</v>
      </c>
      <c r="G536" s="116" t="s">
        <v>1030</v>
      </c>
      <c r="H536" s="116">
        <v>13.736729</v>
      </c>
      <c r="I536" s="116">
        <v>100.61644099999999</v>
      </c>
      <c r="J536" s="115" t="s">
        <v>2108</v>
      </c>
      <c r="K536" s="117" t="s">
        <v>2109</v>
      </c>
      <c r="L536" s="117" t="s">
        <v>2110</v>
      </c>
      <c r="M536" s="121" t="s">
        <v>972</v>
      </c>
      <c r="N536" s="121" t="s">
        <v>972</v>
      </c>
      <c r="O536" s="121" t="s">
        <v>901</v>
      </c>
      <c r="P536" s="129" t="s">
        <v>902</v>
      </c>
      <c r="Q536" s="125" t="s">
        <v>972</v>
      </c>
      <c r="R536" s="125" t="s">
        <v>972</v>
      </c>
      <c r="S536" s="125" t="s">
        <v>972</v>
      </c>
      <c r="T536" s="222"/>
      <c r="U536" s="222"/>
      <c r="V536" s="222"/>
      <c r="W536" s="230"/>
      <c r="X536" s="331">
        <f t="shared" si="26"/>
        <v>0</v>
      </c>
      <c r="Y536" s="222"/>
      <c r="Z536" s="272">
        <f t="shared" si="24"/>
        <v>0</v>
      </c>
      <c r="AA536" s="331"/>
      <c r="AB536" s="331"/>
      <c r="AC536" s="331"/>
      <c r="AD536" s="331"/>
      <c r="AE536" s="331"/>
      <c r="AF536" s="331"/>
      <c r="AG536" s="331"/>
      <c r="AH536" s="241">
        <f t="shared" ca="1" si="25"/>
        <v>46153</v>
      </c>
      <c r="AI536" s="272"/>
      <c r="AJ536" s="222"/>
      <c r="AK536" s="222"/>
    </row>
    <row r="537" spans="1:37" ht="23" hidden="1">
      <c r="A537" s="111">
        <v>853</v>
      </c>
      <c r="B537" s="112">
        <v>7</v>
      </c>
      <c r="C537" s="113" t="s">
        <v>4213</v>
      </c>
      <c r="D537" s="147" t="s">
        <v>4214</v>
      </c>
      <c r="E537" s="114" t="s">
        <v>4215</v>
      </c>
      <c r="F537" s="115" t="s">
        <v>1029</v>
      </c>
      <c r="G537" s="115" t="s">
        <v>1030</v>
      </c>
      <c r="H537" s="116">
        <v>13.736311000000001</v>
      </c>
      <c r="I537" s="116">
        <v>100.635721</v>
      </c>
      <c r="J537" s="116" t="s">
        <v>969</v>
      </c>
      <c r="K537" s="116" t="s">
        <v>970</v>
      </c>
      <c r="L537" s="117" t="s">
        <v>4216</v>
      </c>
      <c r="M537" s="127">
        <v>96896576</v>
      </c>
      <c r="N537" s="121" t="s">
        <v>892</v>
      </c>
      <c r="O537" s="121" t="s">
        <v>901</v>
      </c>
      <c r="P537" s="117" t="s">
        <v>902</v>
      </c>
      <c r="Q537" s="125" t="s">
        <v>972</v>
      </c>
      <c r="R537" s="125" t="s">
        <v>972</v>
      </c>
      <c r="S537" s="125" t="s">
        <v>972</v>
      </c>
      <c r="T537" s="222"/>
      <c r="U537" s="222"/>
      <c r="V537" s="222"/>
      <c r="W537" s="230"/>
      <c r="X537" s="331">
        <f t="shared" si="26"/>
        <v>0</v>
      </c>
      <c r="Y537" s="222"/>
      <c r="Z537" s="272">
        <f t="shared" si="24"/>
        <v>0</v>
      </c>
      <c r="AA537" s="331"/>
      <c r="AB537" s="331"/>
      <c r="AC537" s="331"/>
      <c r="AD537" s="331"/>
      <c r="AE537" s="331"/>
      <c r="AF537" s="331"/>
      <c r="AG537" s="331"/>
      <c r="AH537" s="241">
        <f t="shared" ca="1" si="25"/>
        <v>46153</v>
      </c>
      <c r="AI537" s="272"/>
      <c r="AJ537" s="222"/>
      <c r="AK537" s="222"/>
    </row>
    <row r="538" spans="1:37" ht="23" hidden="1">
      <c r="A538" s="111">
        <v>547</v>
      </c>
      <c r="B538" s="112">
        <v>15</v>
      </c>
      <c r="C538" s="113" t="s">
        <v>4468</v>
      </c>
      <c r="D538" s="147" t="s">
        <v>4469</v>
      </c>
      <c r="E538" s="114" t="s">
        <v>4470</v>
      </c>
      <c r="F538" s="115" t="s">
        <v>1029</v>
      </c>
      <c r="G538" s="115" t="s">
        <v>1030</v>
      </c>
      <c r="H538" s="116">
        <v>13.738954</v>
      </c>
      <c r="I538" s="116">
        <v>100.60578700000001</v>
      </c>
      <c r="J538" s="116" t="s">
        <v>890</v>
      </c>
      <c r="K538" s="117" t="s">
        <v>891</v>
      </c>
      <c r="L538" s="117" t="s">
        <v>891</v>
      </c>
      <c r="M538" s="124">
        <v>96894792</v>
      </c>
      <c r="N538" s="117" t="s">
        <v>892</v>
      </c>
      <c r="O538" s="121" t="s">
        <v>901</v>
      </c>
      <c r="P538" s="117" t="s">
        <v>902</v>
      </c>
      <c r="Q538" s="118">
        <v>80057501</v>
      </c>
      <c r="R538" s="119"/>
      <c r="S538" s="119" t="s">
        <v>4471</v>
      </c>
      <c r="T538" s="222"/>
      <c r="U538" s="222"/>
      <c r="V538" s="222"/>
      <c r="W538" s="230"/>
      <c r="X538" s="331">
        <f t="shared" si="26"/>
        <v>0</v>
      </c>
      <c r="Y538" s="222"/>
      <c r="Z538" s="272">
        <f t="shared" si="24"/>
        <v>0</v>
      </c>
      <c r="AA538" s="331"/>
      <c r="AB538" s="331"/>
      <c r="AC538" s="331"/>
      <c r="AD538" s="331"/>
      <c r="AE538" s="331"/>
      <c r="AF538" s="331"/>
      <c r="AG538" s="331"/>
      <c r="AH538" s="241">
        <f t="shared" ca="1" si="25"/>
        <v>46153</v>
      </c>
      <c r="AI538" s="272"/>
      <c r="AJ538" s="222"/>
      <c r="AK538" s="222"/>
    </row>
    <row r="539" spans="1:37" ht="23.25" hidden="1" customHeight="1">
      <c r="A539" s="111">
        <v>727</v>
      </c>
      <c r="B539" s="112">
        <v>14</v>
      </c>
      <c r="C539" s="113" t="s">
        <v>4472</v>
      </c>
      <c r="D539" s="147" t="s">
        <v>4473</v>
      </c>
      <c r="E539" s="114" t="s">
        <v>4474</v>
      </c>
      <c r="F539" s="115" t="s">
        <v>1029</v>
      </c>
      <c r="G539" s="115" t="s">
        <v>1030</v>
      </c>
      <c r="H539" s="116">
        <v>13.73657</v>
      </c>
      <c r="I539" s="116">
        <v>100.63369299999999</v>
      </c>
      <c r="J539" s="116" t="s">
        <v>890</v>
      </c>
      <c r="K539" s="117" t="s">
        <v>891</v>
      </c>
      <c r="L539" s="129" t="s">
        <v>891</v>
      </c>
      <c r="M539" s="117">
        <v>96894785</v>
      </c>
      <c r="N539" s="117" t="s">
        <v>892</v>
      </c>
      <c r="O539" s="117" t="s">
        <v>901</v>
      </c>
      <c r="P539" s="129" t="s">
        <v>902</v>
      </c>
      <c r="Q539" s="118">
        <v>80057501</v>
      </c>
      <c r="R539" s="138"/>
      <c r="S539" s="119" t="s">
        <v>4475</v>
      </c>
      <c r="T539" s="222"/>
      <c r="U539" s="222"/>
      <c r="V539" s="222"/>
      <c r="W539" s="230"/>
      <c r="X539" s="331">
        <f t="shared" si="26"/>
        <v>0</v>
      </c>
      <c r="Y539" s="222"/>
      <c r="Z539" s="272">
        <f t="shared" si="24"/>
        <v>0</v>
      </c>
      <c r="AA539" s="331"/>
      <c r="AB539" s="331"/>
      <c r="AC539" s="331"/>
      <c r="AD539" s="331"/>
      <c r="AE539" s="331"/>
      <c r="AF539" s="331"/>
      <c r="AG539" s="331"/>
      <c r="AH539" s="241">
        <f t="shared" ca="1" si="25"/>
        <v>46153</v>
      </c>
      <c r="AI539" s="272"/>
      <c r="AJ539" s="222"/>
      <c r="AK539" s="222"/>
    </row>
    <row r="540" spans="1:37" ht="23.25" hidden="1" customHeight="1">
      <c r="A540" s="111">
        <v>852</v>
      </c>
      <c r="B540" s="112">
        <v>13</v>
      </c>
      <c r="C540" s="113" t="s">
        <v>4476</v>
      </c>
      <c r="D540" s="147" t="s">
        <v>4477</v>
      </c>
      <c r="E540" s="114" t="s">
        <v>4478</v>
      </c>
      <c r="F540" s="115" t="s">
        <v>1029</v>
      </c>
      <c r="G540" s="115" t="s">
        <v>1030</v>
      </c>
      <c r="H540" s="116">
        <v>13.736372299999999</v>
      </c>
      <c r="I540" s="116">
        <v>100.63519479999999</v>
      </c>
      <c r="J540" s="116" t="s">
        <v>890</v>
      </c>
      <c r="K540" s="117" t="s">
        <v>891</v>
      </c>
      <c r="L540" s="117" t="s">
        <v>891</v>
      </c>
      <c r="M540" s="127">
        <v>96896576</v>
      </c>
      <c r="N540" s="117" t="s">
        <v>892</v>
      </c>
      <c r="O540" s="121" t="s">
        <v>901</v>
      </c>
      <c r="P540" s="117" t="s">
        <v>902</v>
      </c>
      <c r="Q540" s="118">
        <v>80057501</v>
      </c>
      <c r="R540" s="119"/>
      <c r="S540" s="119" t="s">
        <v>4475</v>
      </c>
      <c r="T540" s="222"/>
      <c r="U540" s="222"/>
      <c r="V540" s="222"/>
      <c r="W540" s="230"/>
      <c r="X540" s="331">
        <f t="shared" si="26"/>
        <v>0</v>
      </c>
      <c r="Y540" s="222"/>
      <c r="Z540" s="272">
        <f t="shared" si="24"/>
        <v>0</v>
      </c>
      <c r="AA540" s="331"/>
      <c r="AB540" s="331"/>
      <c r="AC540" s="331"/>
      <c r="AD540" s="331"/>
      <c r="AE540" s="331"/>
      <c r="AF540" s="331"/>
      <c r="AG540" s="331"/>
      <c r="AH540" s="241">
        <f t="shared" ca="1" si="25"/>
        <v>46153</v>
      </c>
      <c r="AI540" s="272"/>
      <c r="AJ540" s="222"/>
      <c r="AK540" s="222"/>
    </row>
    <row r="541" spans="1:37" ht="23" hidden="1">
      <c r="A541" s="111">
        <v>1093</v>
      </c>
      <c r="B541" s="112">
        <v>10</v>
      </c>
      <c r="C541" s="113" t="s">
        <v>4831</v>
      </c>
      <c r="D541" s="147" t="s">
        <v>4832</v>
      </c>
      <c r="E541" s="114" t="s">
        <v>4833</v>
      </c>
      <c r="F541" s="115" t="s">
        <v>1029</v>
      </c>
      <c r="G541" s="115" t="s">
        <v>1030</v>
      </c>
      <c r="H541" s="116">
        <v>13.737501200000001</v>
      </c>
      <c r="I541" s="116">
        <v>100.61626750000001</v>
      </c>
      <c r="J541" s="115" t="s">
        <v>2108</v>
      </c>
      <c r="K541" s="117" t="s">
        <v>2109</v>
      </c>
      <c r="L541" s="117" t="s">
        <v>2110</v>
      </c>
      <c r="M541" s="121" t="s">
        <v>972</v>
      </c>
      <c r="N541" s="121" t="s">
        <v>972</v>
      </c>
      <c r="O541" s="121" t="s">
        <v>901</v>
      </c>
      <c r="P541" s="118" t="s">
        <v>902</v>
      </c>
      <c r="Q541" s="125" t="s">
        <v>972</v>
      </c>
      <c r="R541" s="125" t="s">
        <v>972</v>
      </c>
      <c r="S541" s="125" t="s">
        <v>972</v>
      </c>
      <c r="T541" s="222"/>
      <c r="U541" s="222"/>
      <c r="V541" s="222"/>
      <c r="W541" s="230"/>
      <c r="X541" s="331">
        <f t="shared" si="26"/>
        <v>0</v>
      </c>
      <c r="Y541" s="222"/>
      <c r="Z541" s="272">
        <f t="shared" si="24"/>
        <v>0</v>
      </c>
      <c r="AA541" s="331"/>
      <c r="AB541" s="331"/>
      <c r="AC541" s="331"/>
      <c r="AD541" s="331"/>
      <c r="AE541" s="331"/>
      <c r="AF541" s="331"/>
      <c r="AG541" s="331"/>
      <c r="AH541" s="241">
        <f t="shared" ca="1" si="25"/>
        <v>46153</v>
      </c>
      <c r="AI541" s="272"/>
      <c r="AJ541" s="222"/>
      <c r="AK541" s="222"/>
    </row>
    <row r="542" spans="1:37" ht="23.25" hidden="1" customHeight="1">
      <c r="A542" s="111">
        <v>544</v>
      </c>
      <c r="B542" s="112">
        <v>11</v>
      </c>
      <c r="C542" s="113" t="s">
        <v>1501</v>
      </c>
      <c r="D542" s="147" t="s">
        <v>1502</v>
      </c>
      <c r="E542" s="114" t="s">
        <v>1503</v>
      </c>
      <c r="F542" s="115" t="s">
        <v>1504</v>
      </c>
      <c r="G542" s="115" t="s">
        <v>1435</v>
      </c>
      <c r="H542" s="115">
        <v>13.8185121</v>
      </c>
      <c r="I542" s="115">
        <v>100.5147704</v>
      </c>
      <c r="J542" s="116" t="s">
        <v>890</v>
      </c>
      <c r="K542" s="117" t="s">
        <v>891</v>
      </c>
      <c r="L542" s="117" t="s">
        <v>891</v>
      </c>
      <c r="M542" s="117">
        <v>96918280</v>
      </c>
      <c r="N542" s="117" t="s">
        <v>892</v>
      </c>
      <c r="O542" s="117" t="s">
        <v>1436</v>
      </c>
      <c r="P542" s="117" t="s">
        <v>952</v>
      </c>
      <c r="Q542" s="118">
        <v>80057501</v>
      </c>
      <c r="R542" s="119" t="s">
        <v>895</v>
      </c>
      <c r="S542" s="119" t="s">
        <v>895</v>
      </c>
      <c r="T542" s="222"/>
      <c r="U542" s="222"/>
      <c r="V542" s="222"/>
      <c r="W542" s="230"/>
      <c r="X542" s="331">
        <f t="shared" si="26"/>
        <v>0</v>
      </c>
      <c r="Y542" s="222"/>
      <c r="Z542" s="272">
        <f t="shared" si="24"/>
        <v>0</v>
      </c>
      <c r="AA542" s="331"/>
      <c r="AB542" s="331"/>
      <c r="AC542" s="331"/>
      <c r="AD542" s="331"/>
      <c r="AE542" s="331"/>
      <c r="AF542" s="331"/>
      <c r="AG542" s="331"/>
      <c r="AH542" s="241">
        <f t="shared" ca="1" si="25"/>
        <v>46153</v>
      </c>
      <c r="AI542" s="272"/>
      <c r="AJ542" s="222"/>
      <c r="AK542" s="222"/>
    </row>
    <row r="543" spans="1:37" ht="23" hidden="1">
      <c r="A543" s="111">
        <v>545</v>
      </c>
      <c r="B543" s="112">
        <v>16</v>
      </c>
      <c r="C543" s="113" t="s">
        <v>1505</v>
      </c>
      <c r="D543" s="147" t="s">
        <v>1506</v>
      </c>
      <c r="E543" s="114" t="s">
        <v>1507</v>
      </c>
      <c r="F543" s="115" t="s">
        <v>1504</v>
      </c>
      <c r="G543" s="115" t="s">
        <v>1435</v>
      </c>
      <c r="H543" s="116">
        <v>13.818533</v>
      </c>
      <c r="I543" s="116">
        <v>100.514081</v>
      </c>
      <c r="J543" s="116" t="s">
        <v>969</v>
      </c>
      <c r="K543" s="116" t="s">
        <v>970</v>
      </c>
      <c r="L543" s="117" t="s">
        <v>1508</v>
      </c>
      <c r="M543" s="117">
        <v>96918267</v>
      </c>
      <c r="N543" s="121" t="s">
        <v>892</v>
      </c>
      <c r="O543" s="117" t="s">
        <v>1436</v>
      </c>
      <c r="P543" s="117" t="s">
        <v>952</v>
      </c>
      <c r="Q543" s="125" t="s">
        <v>972</v>
      </c>
      <c r="R543" s="125" t="s">
        <v>972</v>
      </c>
      <c r="S543" s="125" t="s">
        <v>972</v>
      </c>
      <c r="T543" s="222"/>
      <c r="U543" s="222"/>
      <c r="V543" s="222"/>
      <c r="W543" s="230"/>
      <c r="X543" s="331">
        <f t="shared" si="26"/>
        <v>0</v>
      </c>
      <c r="Y543" s="222"/>
      <c r="Z543" s="272">
        <f t="shared" si="24"/>
        <v>0</v>
      </c>
      <c r="AA543" s="331"/>
      <c r="AB543" s="331"/>
      <c r="AC543" s="331"/>
      <c r="AD543" s="331"/>
      <c r="AE543" s="331"/>
      <c r="AF543" s="331"/>
      <c r="AG543" s="331"/>
      <c r="AH543" s="241">
        <f t="shared" ca="1" si="25"/>
        <v>46153</v>
      </c>
      <c r="AI543" s="272"/>
      <c r="AJ543" s="222"/>
      <c r="AK543" s="222"/>
    </row>
    <row r="544" spans="1:37" ht="23.25" hidden="1" customHeight="1">
      <c r="A544" s="111">
        <v>546</v>
      </c>
      <c r="B544" s="112">
        <v>8</v>
      </c>
      <c r="C544" s="113" t="s">
        <v>1509</v>
      </c>
      <c r="D544" s="147" t="s">
        <v>1510</v>
      </c>
      <c r="E544" s="114" t="s">
        <v>1511</v>
      </c>
      <c r="F544" s="115" t="s">
        <v>1504</v>
      </c>
      <c r="G544" s="115" t="s">
        <v>1435</v>
      </c>
      <c r="H544" s="116">
        <v>13.818777000000001</v>
      </c>
      <c r="I544" s="116">
        <v>100.513294</v>
      </c>
      <c r="J544" s="116" t="s">
        <v>890</v>
      </c>
      <c r="K544" s="117" t="s">
        <v>891</v>
      </c>
      <c r="L544" s="117" t="s">
        <v>891</v>
      </c>
      <c r="M544" s="117">
        <v>96918267</v>
      </c>
      <c r="N544" s="117" t="s">
        <v>892</v>
      </c>
      <c r="O544" s="117" t="s">
        <v>1436</v>
      </c>
      <c r="P544" s="117" t="s">
        <v>952</v>
      </c>
      <c r="Q544" s="118">
        <v>80057501</v>
      </c>
      <c r="R544" s="119" t="s">
        <v>895</v>
      </c>
      <c r="S544" s="119" t="s">
        <v>895</v>
      </c>
      <c r="T544" s="222"/>
      <c r="U544" s="222"/>
      <c r="V544" s="222"/>
      <c r="W544" s="230"/>
      <c r="X544" s="331">
        <f t="shared" si="26"/>
        <v>0</v>
      </c>
      <c r="Y544" s="222"/>
      <c r="Z544" s="272">
        <f t="shared" si="24"/>
        <v>0</v>
      </c>
      <c r="AA544" s="331"/>
      <c r="AB544" s="331"/>
      <c r="AC544" s="331"/>
      <c r="AD544" s="331"/>
      <c r="AE544" s="331"/>
      <c r="AF544" s="331"/>
      <c r="AG544" s="331"/>
      <c r="AH544" s="241">
        <f t="shared" ca="1" si="25"/>
        <v>46153</v>
      </c>
      <c r="AI544" s="272"/>
      <c r="AJ544" s="222"/>
      <c r="AK544" s="222"/>
    </row>
    <row r="545" spans="1:37" ht="23.25" hidden="1" customHeight="1">
      <c r="A545" s="111">
        <v>638</v>
      </c>
      <c r="B545" s="112">
        <v>14</v>
      </c>
      <c r="C545" s="113" t="s">
        <v>1591</v>
      </c>
      <c r="D545" s="147" t="s">
        <v>1592</v>
      </c>
      <c r="E545" s="114" t="s">
        <v>1593</v>
      </c>
      <c r="F545" s="115" t="s">
        <v>1504</v>
      </c>
      <c r="G545" s="115" t="s">
        <v>1435</v>
      </c>
      <c r="H545" s="116">
        <v>13.819006399999999</v>
      </c>
      <c r="I545" s="116">
        <v>100.5130691</v>
      </c>
      <c r="J545" s="116" t="s">
        <v>890</v>
      </c>
      <c r="K545" s="117" t="s">
        <v>891</v>
      </c>
      <c r="L545" s="117" t="s">
        <v>891</v>
      </c>
      <c r="M545" s="117">
        <v>96918271</v>
      </c>
      <c r="N545" s="117" t="s">
        <v>892</v>
      </c>
      <c r="O545" s="117" t="s">
        <v>1436</v>
      </c>
      <c r="P545" s="117" t="s">
        <v>952</v>
      </c>
      <c r="Q545" s="118">
        <v>80057501</v>
      </c>
      <c r="R545" s="119" t="s">
        <v>895</v>
      </c>
      <c r="S545" s="119" t="s">
        <v>895</v>
      </c>
      <c r="T545" s="222"/>
      <c r="U545" s="222"/>
      <c r="V545" s="222"/>
      <c r="W545" s="230"/>
      <c r="X545" s="331">
        <f t="shared" si="26"/>
        <v>0</v>
      </c>
      <c r="Y545" s="222"/>
      <c r="Z545" s="272">
        <f t="shared" si="24"/>
        <v>0</v>
      </c>
      <c r="AA545" s="331"/>
      <c r="AB545" s="331"/>
      <c r="AC545" s="331"/>
      <c r="AD545" s="331"/>
      <c r="AE545" s="331"/>
      <c r="AF545" s="331"/>
      <c r="AG545" s="331"/>
      <c r="AH545" s="241">
        <f t="shared" ca="1" si="25"/>
        <v>46153</v>
      </c>
      <c r="AI545" s="272"/>
      <c r="AJ545" s="222"/>
      <c r="AK545" s="222"/>
    </row>
    <row r="546" spans="1:37" s="570" customFormat="1" ht="23.25" customHeight="1">
      <c r="A546" s="558">
        <v>639</v>
      </c>
      <c r="B546" s="559">
        <v>6</v>
      </c>
      <c r="C546" s="571" t="s">
        <v>1594</v>
      </c>
      <c r="D546" s="557" t="s">
        <v>1595</v>
      </c>
      <c r="E546" s="572" t="s">
        <v>1596</v>
      </c>
      <c r="F546" s="563" t="s">
        <v>1504</v>
      </c>
      <c r="G546" s="563" t="s">
        <v>1435</v>
      </c>
      <c r="H546" s="562">
        <v>13.818536999999999</v>
      </c>
      <c r="I546" s="562">
        <v>100.514681</v>
      </c>
      <c r="J546" s="562" t="s">
        <v>969</v>
      </c>
      <c r="K546" s="562" t="s">
        <v>970</v>
      </c>
      <c r="L546" s="564" t="s">
        <v>1597</v>
      </c>
      <c r="M546" s="564">
        <v>96918271</v>
      </c>
      <c r="N546" s="564" t="s">
        <v>892</v>
      </c>
      <c r="O546" s="564" t="s">
        <v>1436</v>
      </c>
      <c r="P546" s="564" t="s">
        <v>952</v>
      </c>
      <c r="Q546" s="118" t="s">
        <v>972</v>
      </c>
      <c r="R546" s="119" t="s">
        <v>972</v>
      </c>
      <c r="S546" s="125" t="s">
        <v>972</v>
      </c>
      <c r="T546" s="566"/>
      <c r="U546" s="566"/>
      <c r="V546" s="566"/>
      <c r="W546" s="567"/>
      <c r="X546" s="568">
        <f t="shared" si="26"/>
        <v>0</v>
      </c>
      <c r="Y546" s="566"/>
      <c r="Z546" s="569">
        <f t="shared" si="24"/>
        <v>0</v>
      </c>
      <c r="AA546" s="568"/>
      <c r="AB546" s="568"/>
      <c r="AC546" s="568"/>
      <c r="AD546" s="568"/>
      <c r="AE546" s="568"/>
      <c r="AF546" s="568"/>
      <c r="AG546" s="568"/>
      <c r="AH546" s="568">
        <f t="shared" ca="1" si="25"/>
        <v>46153</v>
      </c>
      <c r="AI546" s="569"/>
      <c r="AJ546" s="566"/>
      <c r="AK546" s="566"/>
    </row>
    <row r="547" spans="1:37" ht="23" hidden="1">
      <c r="A547" s="111">
        <v>220</v>
      </c>
      <c r="B547" s="112">
        <v>16</v>
      </c>
      <c r="C547" s="113" t="s">
        <v>2681</v>
      </c>
      <c r="D547" s="147" t="s">
        <v>2682</v>
      </c>
      <c r="E547" s="114" t="s">
        <v>2683</v>
      </c>
      <c r="F547" s="115" t="s">
        <v>2684</v>
      </c>
      <c r="G547" s="115" t="s">
        <v>1000</v>
      </c>
      <c r="H547" s="116">
        <v>13.7671546</v>
      </c>
      <c r="I547" s="116">
        <v>100.5090496</v>
      </c>
      <c r="J547" s="115" t="s">
        <v>2108</v>
      </c>
      <c r="K547" s="115" t="s">
        <v>2136</v>
      </c>
      <c r="L547" s="118" t="s">
        <v>2685</v>
      </c>
      <c r="M547" s="121" t="s">
        <v>972</v>
      </c>
      <c r="N547" s="121" t="s">
        <v>972</v>
      </c>
      <c r="O547" s="121" t="s">
        <v>958</v>
      </c>
      <c r="P547" s="118" t="s">
        <v>1876</v>
      </c>
      <c r="Q547" s="125" t="s">
        <v>972</v>
      </c>
      <c r="R547" s="130" t="s">
        <v>972</v>
      </c>
      <c r="S547" s="125" t="s">
        <v>972</v>
      </c>
      <c r="T547" s="222"/>
      <c r="U547" s="222"/>
      <c r="V547" s="222"/>
      <c r="W547" s="230"/>
      <c r="X547" s="331">
        <f t="shared" si="26"/>
        <v>0</v>
      </c>
      <c r="Y547" s="222"/>
      <c r="Z547" s="272">
        <f t="shared" si="24"/>
        <v>0</v>
      </c>
      <c r="AA547" s="331"/>
      <c r="AB547" s="331"/>
      <c r="AC547" s="331"/>
      <c r="AD547" s="331"/>
      <c r="AE547" s="331"/>
      <c r="AF547" s="331"/>
      <c r="AG547" s="331"/>
      <c r="AH547" s="241">
        <f t="shared" ca="1" si="25"/>
        <v>46153</v>
      </c>
      <c r="AI547" s="272"/>
      <c r="AJ547" s="222"/>
      <c r="AK547" s="222"/>
    </row>
    <row r="548" spans="1:37" ht="23" hidden="1">
      <c r="A548" s="111">
        <v>378</v>
      </c>
      <c r="B548" s="112">
        <v>5</v>
      </c>
      <c r="C548" s="122" t="s">
        <v>3053</v>
      </c>
      <c r="D548" s="147" t="s">
        <v>3054</v>
      </c>
      <c r="E548" s="114" t="s">
        <v>3055</v>
      </c>
      <c r="F548" s="115" t="s">
        <v>3056</v>
      </c>
      <c r="G548" s="115" t="s">
        <v>1331</v>
      </c>
      <c r="H548" s="116">
        <v>13.727883800000001</v>
      </c>
      <c r="I548" s="116">
        <v>100.48305670000001</v>
      </c>
      <c r="J548" s="116" t="s">
        <v>2108</v>
      </c>
      <c r="K548" s="115" t="s">
        <v>2081</v>
      </c>
      <c r="L548" s="117" t="s">
        <v>3057</v>
      </c>
      <c r="M548" s="121" t="s">
        <v>972</v>
      </c>
      <c r="N548" s="121" t="s">
        <v>972</v>
      </c>
      <c r="O548" s="121" t="s">
        <v>893</v>
      </c>
      <c r="P548" s="117" t="s">
        <v>894</v>
      </c>
      <c r="Q548" s="125" t="s">
        <v>972</v>
      </c>
      <c r="R548" s="130" t="s">
        <v>972</v>
      </c>
      <c r="S548" s="125" t="s">
        <v>972</v>
      </c>
      <c r="T548" s="222"/>
      <c r="U548" s="222"/>
      <c r="V548" s="222"/>
      <c r="W548" s="230"/>
      <c r="X548" s="331">
        <f t="shared" si="26"/>
        <v>0</v>
      </c>
      <c r="Y548" s="222"/>
      <c r="Z548" s="272">
        <f t="shared" si="24"/>
        <v>0</v>
      </c>
      <c r="AA548" s="331"/>
      <c r="AB548" s="331"/>
      <c r="AC548" s="331"/>
      <c r="AD548" s="331"/>
      <c r="AE548" s="331"/>
      <c r="AF548" s="331"/>
      <c r="AG548" s="331"/>
      <c r="AH548" s="241">
        <f t="shared" ca="1" si="25"/>
        <v>46153</v>
      </c>
      <c r="AI548" s="272"/>
      <c r="AJ548" s="222"/>
      <c r="AK548" s="222"/>
    </row>
    <row r="549" spans="1:37" ht="23.25" hidden="1" customHeight="1">
      <c r="A549" s="111">
        <v>950</v>
      </c>
      <c r="B549" s="112" t="s">
        <v>919</v>
      </c>
      <c r="C549" s="122" t="s">
        <v>4493</v>
      </c>
      <c r="D549" s="147" t="s">
        <v>4494</v>
      </c>
      <c r="E549" s="123" t="s">
        <v>4495</v>
      </c>
      <c r="F549" s="116" t="s">
        <v>3056</v>
      </c>
      <c r="G549" s="116" t="s">
        <v>4496</v>
      </c>
      <c r="H549" s="116">
        <v>13.7075706</v>
      </c>
      <c r="I549" s="116">
        <v>100.3687913</v>
      </c>
      <c r="J549" s="116" t="s">
        <v>2108</v>
      </c>
      <c r="K549" s="115" t="s">
        <v>2081</v>
      </c>
      <c r="L549" s="117" t="s">
        <v>4497</v>
      </c>
      <c r="M549" s="121" t="s">
        <v>972</v>
      </c>
      <c r="N549" s="121" t="s">
        <v>972</v>
      </c>
      <c r="O549" s="121" t="s">
        <v>893</v>
      </c>
      <c r="P549" s="117" t="s">
        <v>894</v>
      </c>
      <c r="Q549" s="125" t="s">
        <v>972</v>
      </c>
      <c r="R549" s="125" t="s">
        <v>972</v>
      </c>
      <c r="S549" s="125" t="s">
        <v>972</v>
      </c>
      <c r="T549" s="222"/>
      <c r="U549" s="222"/>
      <c r="V549" s="222"/>
      <c r="W549" s="230"/>
      <c r="X549" s="331">
        <f t="shared" si="26"/>
        <v>0</v>
      </c>
      <c r="Y549" s="222"/>
      <c r="Z549" s="272">
        <f t="shared" si="24"/>
        <v>0</v>
      </c>
      <c r="AA549" s="331"/>
      <c r="AB549" s="331"/>
      <c r="AC549" s="331"/>
      <c r="AD549" s="331"/>
      <c r="AE549" s="331"/>
      <c r="AF549" s="331"/>
      <c r="AG549" s="331"/>
      <c r="AH549" s="241">
        <f t="shared" ca="1" si="25"/>
        <v>46153</v>
      </c>
      <c r="AI549" s="272"/>
      <c r="AJ549" s="222"/>
      <c r="AK549" s="222"/>
    </row>
    <row r="550" spans="1:37" ht="23" hidden="1">
      <c r="A550" s="111">
        <v>954</v>
      </c>
      <c r="B550" s="112">
        <v>9</v>
      </c>
      <c r="C550" s="113" t="s">
        <v>4505</v>
      </c>
      <c r="D550" s="147" t="s">
        <v>4506</v>
      </c>
      <c r="E550" s="114" t="s">
        <v>4507</v>
      </c>
      <c r="F550" s="115" t="s">
        <v>3056</v>
      </c>
      <c r="G550" s="115" t="s">
        <v>4496</v>
      </c>
      <c r="H550" s="116">
        <v>13.707025</v>
      </c>
      <c r="I550" s="116">
        <v>100.36305400000001</v>
      </c>
      <c r="J550" s="116" t="s">
        <v>2108</v>
      </c>
      <c r="K550" s="115" t="s">
        <v>2081</v>
      </c>
      <c r="L550" s="117" t="s">
        <v>4508</v>
      </c>
      <c r="M550" s="121" t="s">
        <v>972</v>
      </c>
      <c r="N550" s="121" t="s">
        <v>972</v>
      </c>
      <c r="O550" s="121" t="s">
        <v>893</v>
      </c>
      <c r="P550" s="117" t="s">
        <v>894</v>
      </c>
      <c r="Q550" s="125" t="s">
        <v>972</v>
      </c>
      <c r="R550" s="130" t="s">
        <v>972</v>
      </c>
      <c r="S550" s="125" t="s">
        <v>972</v>
      </c>
      <c r="T550" s="222"/>
      <c r="U550" s="222"/>
      <c r="V550" s="222"/>
      <c r="W550" s="230"/>
      <c r="X550" s="331">
        <f t="shared" si="26"/>
        <v>0</v>
      </c>
      <c r="Y550" s="222"/>
      <c r="Z550" s="272">
        <f t="shared" si="24"/>
        <v>0</v>
      </c>
      <c r="AA550" s="331"/>
      <c r="AB550" s="331"/>
      <c r="AC550" s="331"/>
      <c r="AD550" s="331"/>
      <c r="AE550" s="331"/>
      <c r="AF550" s="331"/>
      <c r="AG550" s="331"/>
      <c r="AH550" s="241">
        <f t="shared" ca="1" si="25"/>
        <v>46153</v>
      </c>
      <c r="AI550" s="272"/>
      <c r="AJ550" s="222"/>
      <c r="AK550" s="222"/>
    </row>
    <row r="551" spans="1:37" ht="23.25" hidden="1" customHeight="1">
      <c r="A551" s="111">
        <v>384</v>
      </c>
      <c r="B551" s="112">
        <v>15</v>
      </c>
      <c r="C551" s="113" t="s">
        <v>4512</v>
      </c>
      <c r="D551" s="147" t="s">
        <v>4513</v>
      </c>
      <c r="E551" s="114" t="s">
        <v>4514</v>
      </c>
      <c r="F551" s="115" t="s">
        <v>3056</v>
      </c>
      <c r="G551" s="115" t="s">
        <v>1331</v>
      </c>
      <c r="H551" s="116">
        <v>13.727017699999999</v>
      </c>
      <c r="I551" s="116">
        <v>100.4697882</v>
      </c>
      <c r="J551" s="116" t="s">
        <v>890</v>
      </c>
      <c r="K551" s="115" t="s">
        <v>891</v>
      </c>
      <c r="L551" s="117" t="s">
        <v>891</v>
      </c>
      <c r="M551" s="121">
        <v>97050836</v>
      </c>
      <c r="N551" s="121" t="s">
        <v>972</v>
      </c>
      <c r="O551" s="121" t="s">
        <v>893</v>
      </c>
      <c r="P551" s="117" t="s">
        <v>894</v>
      </c>
      <c r="Q551" s="125" t="s">
        <v>972</v>
      </c>
      <c r="R551" s="119"/>
      <c r="S551" s="138" t="s">
        <v>4515</v>
      </c>
      <c r="T551" s="222"/>
      <c r="U551" s="222"/>
      <c r="V551" s="222"/>
      <c r="W551" s="230"/>
      <c r="X551" s="331">
        <f t="shared" si="26"/>
        <v>0</v>
      </c>
      <c r="Y551" s="222"/>
      <c r="Z551" s="272">
        <f t="shared" si="24"/>
        <v>0</v>
      </c>
      <c r="AA551" s="331"/>
      <c r="AB551" s="331"/>
      <c r="AC551" s="331"/>
      <c r="AD551" s="331"/>
      <c r="AE551" s="331"/>
      <c r="AF551" s="331"/>
      <c r="AG551" s="331"/>
      <c r="AH551" s="241">
        <f t="shared" ca="1" si="25"/>
        <v>46153</v>
      </c>
      <c r="AI551" s="272"/>
      <c r="AJ551" s="222"/>
      <c r="AK551" s="222"/>
    </row>
    <row r="552" spans="1:37" ht="23" hidden="1">
      <c r="A552" s="111">
        <v>958</v>
      </c>
      <c r="B552" s="112">
        <v>10</v>
      </c>
      <c r="C552" s="122" t="s">
        <v>4516</v>
      </c>
      <c r="D552" s="147" t="s">
        <v>4517</v>
      </c>
      <c r="E552" s="114" t="s">
        <v>4518</v>
      </c>
      <c r="F552" s="115" t="s">
        <v>3056</v>
      </c>
      <c r="G552" s="115" t="s">
        <v>4496</v>
      </c>
      <c r="H552" s="116">
        <v>13.706970999999999</v>
      </c>
      <c r="I552" s="116">
        <v>100.36021100000001</v>
      </c>
      <c r="J552" s="116" t="s">
        <v>2108</v>
      </c>
      <c r="K552" s="115" t="s">
        <v>2081</v>
      </c>
      <c r="L552" s="117" t="s">
        <v>4519</v>
      </c>
      <c r="M552" s="121" t="s">
        <v>972</v>
      </c>
      <c r="N552" s="121" t="s">
        <v>972</v>
      </c>
      <c r="O552" s="121" t="s">
        <v>893</v>
      </c>
      <c r="P552" s="117" t="s">
        <v>894</v>
      </c>
      <c r="Q552" s="125" t="s">
        <v>972</v>
      </c>
      <c r="R552" s="125" t="s">
        <v>972</v>
      </c>
      <c r="S552" s="125" t="s">
        <v>972</v>
      </c>
      <c r="T552" s="222"/>
      <c r="U552" s="222"/>
      <c r="V552" s="222"/>
      <c r="W552" s="230"/>
      <c r="X552" s="331">
        <f t="shared" si="26"/>
        <v>0</v>
      </c>
      <c r="Y552" s="222"/>
      <c r="Z552" s="272">
        <f t="shared" si="24"/>
        <v>0</v>
      </c>
      <c r="AA552" s="331"/>
      <c r="AB552" s="331"/>
      <c r="AC552" s="331"/>
      <c r="AD552" s="331"/>
      <c r="AE552" s="331"/>
      <c r="AF552" s="331"/>
      <c r="AG552" s="331"/>
      <c r="AH552" s="241">
        <f t="shared" ca="1" si="25"/>
        <v>46153</v>
      </c>
      <c r="AI552" s="272"/>
      <c r="AJ552" s="222"/>
      <c r="AK552" s="222"/>
    </row>
    <row r="553" spans="1:37" ht="23" hidden="1">
      <c r="A553" s="111">
        <v>959</v>
      </c>
      <c r="B553" s="112">
        <v>1</v>
      </c>
      <c r="C553" s="113" t="s">
        <v>4520</v>
      </c>
      <c r="D553" s="147" t="s">
        <v>4521</v>
      </c>
      <c r="E553" s="114" t="s">
        <v>4522</v>
      </c>
      <c r="F553" s="115" t="s">
        <v>3056</v>
      </c>
      <c r="G553" s="115" t="s">
        <v>4496</v>
      </c>
      <c r="H553" s="116">
        <v>13.706375</v>
      </c>
      <c r="I553" s="116">
        <v>100.35636599999999</v>
      </c>
      <c r="J553" s="116" t="s">
        <v>2108</v>
      </c>
      <c r="K553" s="115" t="s">
        <v>2081</v>
      </c>
      <c r="L553" s="117" t="s">
        <v>4523</v>
      </c>
      <c r="M553" s="121" t="s">
        <v>972</v>
      </c>
      <c r="N553" s="121" t="s">
        <v>972</v>
      </c>
      <c r="O553" s="121" t="s">
        <v>893</v>
      </c>
      <c r="P553" s="117" t="s">
        <v>894</v>
      </c>
      <c r="Q553" s="125" t="s">
        <v>972</v>
      </c>
      <c r="R553" s="125" t="s">
        <v>972</v>
      </c>
      <c r="S553" s="125" t="s">
        <v>972</v>
      </c>
      <c r="T553" s="222"/>
      <c r="U553" s="222"/>
      <c r="V553" s="222"/>
      <c r="W553" s="230"/>
      <c r="X553" s="331">
        <f t="shared" si="26"/>
        <v>0</v>
      </c>
      <c r="Y553" s="222"/>
      <c r="Z553" s="272">
        <f t="shared" si="24"/>
        <v>0</v>
      </c>
      <c r="AA553" s="331"/>
      <c r="AB553" s="331"/>
      <c r="AC553" s="331"/>
      <c r="AD553" s="331"/>
      <c r="AE553" s="331"/>
      <c r="AF553" s="331"/>
      <c r="AG553" s="331"/>
      <c r="AH553" s="241">
        <f t="shared" ca="1" si="25"/>
        <v>46153</v>
      </c>
      <c r="AI553" s="272"/>
      <c r="AJ553" s="222"/>
      <c r="AK553" s="222"/>
    </row>
    <row r="554" spans="1:37" ht="23" hidden="1">
      <c r="A554" s="111">
        <v>962</v>
      </c>
      <c r="B554" s="112" t="s">
        <v>1098</v>
      </c>
      <c r="C554" s="122" t="s">
        <v>4528</v>
      </c>
      <c r="D554" s="147" t="s">
        <v>4529</v>
      </c>
      <c r="E554" s="114" t="s">
        <v>4530</v>
      </c>
      <c r="F554" s="115" t="s">
        <v>3056</v>
      </c>
      <c r="G554" s="115" t="s">
        <v>4496</v>
      </c>
      <c r="H554" s="115">
        <v>13.7066357</v>
      </c>
      <c r="I554" s="115">
        <v>100.35619730000001</v>
      </c>
      <c r="J554" s="116" t="s">
        <v>2108</v>
      </c>
      <c r="K554" s="115" t="s">
        <v>2081</v>
      </c>
      <c r="L554" s="117" t="s">
        <v>4531</v>
      </c>
      <c r="M554" s="121" t="s">
        <v>972</v>
      </c>
      <c r="N554" s="121" t="s">
        <v>972</v>
      </c>
      <c r="O554" s="121" t="s">
        <v>893</v>
      </c>
      <c r="P554" s="117" t="s">
        <v>894</v>
      </c>
      <c r="Q554" s="125" t="s">
        <v>972</v>
      </c>
      <c r="R554" s="130" t="s">
        <v>972</v>
      </c>
      <c r="S554" s="125" t="s">
        <v>972</v>
      </c>
      <c r="T554" s="222"/>
      <c r="U554" s="222"/>
      <c r="V554" s="222"/>
      <c r="W554" s="230"/>
      <c r="X554" s="331">
        <f t="shared" si="26"/>
        <v>0</v>
      </c>
      <c r="Y554" s="222"/>
      <c r="Z554" s="272">
        <f t="shared" si="24"/>
        <v>0</v>
      </c>
      <c r="AA554" s="331"/>
      <c r="AB554" s="331"/>
      <c r="AC554" s="331"/>
      <c r="AD554" s="331"/>
      <c r="AE554" s="331"/>
      <c r="AF554" s="331"/>
      <c r="AG554" s="331"/>
      <c r="AH554" s="241">
        <f t="shared" ca="1" si="25"/>
        <v>46153</v>
      </c>
      <c r="AI554" s="272"/>
      <c r="AJ554" s="222"/>
      <c r="AK554" s="222"/>
    </row>
    <row r="555" spans="1:37" ht="23" hidden="1">
      <c r="A555" s="111">
        <v>968</v>
      </c>
      <c r="B555" s="112">
        <v>1</v>
      </c>
      <c r="C555" s="113" t="s">
        <v>4541</v>
      </c>
      <c r="D555" s="147" t="s">
        <v>4542</v>
      </c>
      <c r="E555" s="114" t="s">
        <v>4543</v>
      </c>
      <c r="F555" s="115" t="s">
        <v>3056</v>
      </c>
      <c r="G555" s="115" t="s">
        <v>4496</v>
      </c>
      <c r="H555" s="116">
        <v>13.705835</v>
      </c>
      <c r="I555" s="116">
        <v>100.348439</v>
      </c>
      <c r="J555" s="116" t="s">
        <v>2108</v>
      </c>
      <c r="K555" s="115" t="s">
        <v>2081</v>
      </c>
      <c r="L555" s="117" t="s">
        <v>4544</v>
      </c>
      <c r="M555" s="121" t="s">
        <v>972</v>
      </c>
      <c r="N555" s="121" t="s">
        <v>972</v>
      </c>
      <c r="O555" s="121" t="s">
        <v>893</v>
      </c>
      <c r="P555" s="117" t="s">
        <v>894</v>
      </c>
      <c r="Q555" s="125" t="s">
        <v>972</v>
      </c>
      <c r="R555" s="125" t="s">
        <v>972</v>
      </c>
      <c r="S555" s="125" t="s">
        <v>972</v>
      </c>
      <c r="T555" s="222"/>
      <c r="U555" s="222"/>
      <c r="V555" s="222"/>
      <c r="W555" s="230"/>
      <c r="X555" s="331">
        <f t="shared" si="26"/>
        <v>0</v>
      </c>
      <c r="Y555" s="222"/>
      <c r="Z555" s="272">
        <f t="shared" si="24"/>
        <v>0</v>
      </c>
      <c r="AA555" s="331"/>
      <c r="AB555" s="331"/>
      <c r="AC555" s="331"/>
      <c r="AD555" s="331"/>
      <c r="AE555" s="331"/>
      <c r="AF555" s="331"/>
      <c r="AG555" s="331"/>
      <c r="AH555" s="241">
        <f t="shared" ca="1" si="25"/>
        <v>46153</v>
      </c>
      <c r="AI555" s="272"/>
      <c r="AJ555" s="222"/>
      <c r="AK555" s="222"/>
    </row>
    <row r="556" spans="1:37" ht="23" hidden="1">
      <c r="A556" s="111">
        <v>976</v>
      </c>
      <c r="B556" s="112">
        <v>11</v>
      </c>
      <c r="C556" s="122" t="s">
        <v>4568</v>
      </c>
      <c r="D556" s="147" t="s">
        <v>4569</v>
      </c>
      <c r="E556" s="114" t="s">
        <v>4570</v>
      </c>
      <c r="F556" s="115" t="s">
        <v>3056</v>
      </c>
      <c r="G556" s="115" t="s">
        <v>4496</v>
      </c>
      <c r="H556" s="115">
        <v>13.7051722</v>
      </c>
      <c r="I556" s="115">
        <v>100.33970720000001</v>
      </c>
      <c r="J556" s="116" t="s">
        <v>2108</v>
      </c>
      <c r="K556" s="115" t="s">
        <v>2081</v>
      </c>
      <c r="L556" s="117" t="s">
        <v>4571</v>
      </c>
      <c r="M556" s="121" t="s">
        <v>972</v>
      </c>
      <c r="N556" s="121" t="s">
        <v>972</v>
      </c>
      <c r="O556" s="121" t="s">
        <v>893</v>
      </c>
      <c r="P556" s="117" t="s">
        <v>894</v>
      </c>
      <c r="Q556" s="125" t="s">
        <v>972</v>
      </c>
      <c r="R556" s="125" t="s">
        <v>972</v>
      </c>
      <c r="S556" s="125" t="s">
        <v>972</v>
      </c>
      <c r="T556" s="222"/>
      <c r="U556" s="222"/>
      <c r="V556" s="222"/>
      <c r="W556" s="230"/>
      <c r="X556" s="331">
        <f t="shared" si="26"/>
        <v>0</v>
      </c>
      <c r="Y556" s="222"/>
      <c r="Z556" s="272">
        <f t="shared" si="24"/>
        <v>0</v>
      </c>
      <c r="AA556" s="331"/>
      <c r="AB556" s="331"/>
      <c r="AC556" s="331"/>
      <c r="AD556" s="331"/>
      <c r="AE556" s="331"/>
      <c r="AF556" s="331"/>
      <c r="AG556" s="331"/>
      <c r="AH556" s="241">
        <f t="shared" ca="1" si="25"/>
        <v>46153</v>
      </c>
      <c r="AI556" s="272"/>
      <c r="AJ556" s="222"/>
      <c r="AK556" s="222"/>
    </row>
    <row r="557" spans="1:37" ht="23.25" hidden="1" customHeight="1">
      <c r="A557" s="111">
        <v>49</v>
      </c>
      <c r="B557" s="112">
        <v>8</v>
      </c>
      <c r="C557" s="113" t="s">
        <v>953</v>
      </c>
      <c r="D557" s="147" t="s">
        <v>954</v>
      </c>
      <c r="E557" s="114" t="s">
        <v>955</v>
      </c>
      <c r="F557" s="115" t="s">
        <v>956</v>
      </c>
      <c r="G557" s="115" t="s">
        <v>957</v>
      </c>
      <c r="H557" s="115">
        <v>13.749030599999999</v>
      </c>
      <c r="I557" s="115">
        <v>100.56213099999999</v>
      </c>
      <c r="J557" s="116" t="s">
        <v>890</v>
      </c>
      <c r="K557" s="117" t="s">
        <v>891</v>
      </c>
      <c r="L557" s="117" t="s">
        <v>891</v>
      </c>
      <c r="M557" s="124">
        <v>96895756</v>
      </c>
      <c r="N557" s="117" t="s">
        <v>892</v>
      </c>
      <c r="O557" s="121" t="s">
        <v>958</v>
      </c>
      <c r="P557" s="117" t="s">
        <v>902</v>
      </c>
      <c r="Q557" s="118">
        <v>80057501</v>
      </c>
      <c r="R557" s="119" t="s">
        <v>895</v>
      </c>
      <c r="S557" s="119" t="s">
        <v>895</v>
      </c>
      <c r="T557" s="222"/>
      <c r="U557" s="222"/>
      <c r="V557" s="222"/>
      <c r="W557" s="230"/>
      <c r="X557" s="331">
        <f t="shared" si="26"/>
        <v>0</v>
      </c>
      <c r="Y557" s="222"/>
      <c r="Z557" s="272">
        <f t="shared" si="24"/>
        <v>0</v>
      </c>
      <c r="AA557" s="331"/>
      <c r="AB557" s="331"/>
      <c r="AC557" s="331"/>
      <c r="AD557" s="331"/>
      <c r="AE557" s="331"/>
      <c r="AF557" s="331"/>
      <c r="AG557" s="331"/>
      <c r="AH557" s="241">
        <f t="shared" ca="1" si="25"/>
        <v>46153</v>
      </c>
      <c r="AI557" s="272"/>
      <c r="AJ557" s="222"/>
      <c r="AK557" s="222"/>
    </row>
    <row r="558" spans="1:37" ht="23.25" hidden="1" customHeight="1">
      <c r="A558" s="111">
        <v>372</v>
      </c>
      <c r="B558" s="112">
        <v>1</v>
      </c>
      <c r="C558" s="113" t="s">
        <v>1313</v>
      </c>
      <c r="D558" s="147" t="s">
        <v>1314</v>
      </c>
      <c r="E558" s="114" t="s">
        <v>1315</v>
      </c>
      <c r="F558" s="115" t="s">
        <v>956</v>
      </c>
      <c r="G558" s="115" t="s">
        <v>957</v>
      </c>
      <c r="H558" s="115">
        <v>13.748919000000001</v>
      </c>
      <c r="I558" s="115">
        <v>100.5630742</v>
      </c>
      <c r="J558" s="116" t="s">
        <v>969</v>
      </c>
      <c r="K558" s="116" t="s">
        <v>970</v>
      </c>
      <c r="L558" s="117" t="s">
        <v>1316</v>
      </c>
      <c r="M558" s="117">
        <v>96895760</v>
      </c>
      <c r="N558" s="121" t="s">
        <v>892</v>
      </c>
      <c r="O558" s="121" t="s">
        <v>958</v>
      </c>
      <c r="P558" s="117" t="s">
        <v>894</v>
      </c>
      <c r="Q558" s="125" t="s">
        <v>972</v>
      </c>
      <c r="R558" s="130" t="s">
        <v>972</v>
      </c>
      <c r="S558" s="125" t="s">
        <v>972</v>
      </c>
      <c r="T558" s="222"/>
      <c r="U558" s="222"/>
      <c r="V558" s="222"/>
      <c r="W558" s="230"/>
      <c r="X558" s="331">
        <f t="shared" si="26"/>
        <v>0</v>
      </c>
      <c r="Y558" s="222"/>
      <c r="Z558" s="272">
        <f t="shared" si="24"/>
        <v>0</v>
      </c>
      <c r="AA558" s="331"/>
      <c r="AB558" s="331"/>
      <c r="AC558" s="331"/>
      <c r="AD558" s="331"/>
      <c r="AE558" s="331"/>
      <c r="AF558" s="331"/>
      <c r="AG558" s="331"/>
      <c r="AH558" s="241">
        <f t="shared" ca="1" si="25"/>
        <v>46153</v>
      </c>
      <c r="AI558" s="272"/>
      <c r="AJ558" s="222"/>
      <c r="AK558" s="222"/>
    </row>
    <row r="559" spans="1:37" ht="23.25" hidden="1" customHeight="1">
      <c r="A559" s="111">
        <v>540</v>
      </c>
      <c r="B559" s="112">
        <v>1</v>
      </c>
      <c r="C559" s="113" t="s">
        <v>1495</v>
      </c>
      <c r="D559" s="147" t="s">
        <v>1496</v>
      </c>
      <c r="E559" s="114" t="s">
        <v>1497</v>
      </c>
      <c r="F559" s="115" t="s">
        <v>956</v>
      </c>
      <c r="G559" s="115" t="s">
        <v>936</v>
      </c>
      <c r="H559" s="116">
        <v>13.748771700000001</v>
      </c>
      <c r="I559" s="116">
        <v>100.56439949999999</v>
      </c>
      <c r="J559" s="116" t="s">
        <v>890</v>
      </c>
      <c r="K559" s="117" t="s">
        <v>891</v>
      </c>
      <c r="L559" s="117" t="s">
        <v>891</v>
      </c>
      <c r="M559" s="117">
        <v>96895761</v>
      </c>
      <c r="N559" s="117" t="s">
        <v>892</v>
      </c>
      <c r="O559" s="121" t="s">
        <v>958</v>
      </c>
      <c r="P559" s="117" t="s">
        <v>902</v>
      </c>
      <c r="Q559" s="118">
        <v>80057501</v>
      </c>
      <c r="R559" s="119" t="s">
        <v>895</v>
      </c>
      <c r="S559" s="119" t="s">
        <v>895</v>
      </c>
      <c r="T559" s="222"/>
      <c r="U559" s="222"/>
      <c r="V559" s="222"/>
      <c r="W559" s="230"/>
      <c r="X559" s="331">
        <f t="shared" si="26"/>
        <v>0</v>
      </c>
      <c r="Y559" s="222"/>
      <c r="Z559" s="272">
        <f t="shared" si="24"/>
        <v>0</v>
      </c>
      <c r="AA559" s="331"/>
      <c r="AB559" s="331"/>
      <c r="AC559" s="331"/>
      <c r="AD559" s="331"/>
      <c r="AE559" s="331"/>
      <c r="AF559" s="331"/>
      <c r="AG559" s="331"/>
      <c r="AH559" s="241">
        <f t="shared" ca="1" si="25"/>
        <v>46153</v>
      </c>
      <c r="AI559" s="272"/>
      <c r="AJ559" s="222"/>
      <c r="AK559" s="222"/>
    </row>
    <row r="560" spans="1:37" ht="23" hidden="1">
      <c r="A560" s="111">
        <v>668</v>
      </c>
      <c r="B560" s="112" t="s">
        <v>1013</v>
      </c>
      <c r="C560" s="113" t="s">
        <v>1621</v>
      </c>
      <c r="D560" s="557" t="s">
        <v>1622</v>
      </c>
      <c r="E560" s="114" t="s">
        <v>1623</v>
      </c>
      <c r="F560" s="115" t="s">
        <v>956</v>
      </c>
      <c r="G560" s="115" t="s">
        <v>957</v>
      </c>
      <c r="H560" s="116">
        <v>13.7491723</v>
      </c>
      <c r="I560" s="116">
        <v>100.56089799999999</v>
      </c>
      <c r="J560" s="116" t="s">
        <v>890</v>
      </c>
      <c r="K560" s="117" t="s">
        <v>891</v>
      </c>
      <c r="L560" s="117" t="s">
        <v>891</v>
      </c>
      <c r="M560" s="117">
        <v>96895763</v>
      </c>
      <c r="N560" s="117" t="s">
        <v>892</v>
      </c>
      <c r="O560" s="117" t="s">
        <v>901</v>
      </c>
      <c r="P560" s="117" t="s">
        <v>902</v>
      </c>
      <c r="Q560" s="118">
        <v>80057501</v>
      </c>
      <c r="R560" s="119" t="s">
        <v>895</v>
      </c>
      <c r="S560" s="119" t="s">
        <v>895</v>
      </c>
      <c r="T560" s="222"/>
      <c r="U560" s="222"/>
      <c r="V560" s="222"/>
      <c r="W560" s="230"/>
      <c r="X560" s="331">
        <f t="shared" si="26"/>
        <v>0</v>
      </c>
      <c r="Y560" s="222"/>
      <c r="Z560" s="272">
        <f t="shared" si="24"/>
        <v>0</v>
      </c>
      <c r="AA560" s="331"/>
      <c r="AB560" s="331"/>
      <c r="AC560" s="331"/>
      <c r="AD560" s="331"/>
      <c r="AE560" s="331"/>
      <c r="AF560" s="331"/>
      <c r="AG560" s="331"/>
      <c r="AH560" s="241">
        <f t="shared" ca="1" si="25"/>
        <v>46153</v>
      </c>
      <c r="AI560" s="272"/>
      <c r="AJ560" s="222"/>
      <c r="AK560" s="222"/>
    </row>
    <row r="561" spans="1:37" ht="23.25" hidden="1" customHeight="1">
      <c r="A561" s="111">
        <v>873</v>
      </c>
      <c r="B561" s="112">
        <v>4</v>
      </c>
      <c r="C561" s="113" t="s">
        <v>1842</v>
      </c>
      <c r="D561" s="147" t="s">
        <v>1843</v>
      </c>
      <c r="E561" s="114" t="s">
        <v>1844</v>
      </c>
      <c r="F561" s="115" t="s">
        <v>956</v>
      </c>
      <c r="G561" s="115" t="s">
        <v>936</v>
      </c>
      <c r="H561" s="115">
        <v>13.7491874</v>
      </c>
      <c r="I561" s="115">
        <v>100.5621834</v>
      </c>
      <c r="J561" s="116" t="s">
        <v>890</v>
      </c>
      <c r="K561" s="117" t="s">
        <v>891</v>
      </c>
      <c r="L561" s="117" t="s">
        <v>891</v>
      </c>
      <c r="M561" s="117">
        <v>96894511</v>
      </c>
      <c r="N561" s="117" t="s">
        <v>892</v>
      </c>
      <c r="O561" s="117" t="s">
        <v>901</v>
      </c>
      <c r="P561" s="117" t="s">
        <v>902</v>
      </c>
      <c r="Q561" s="118">
        <v>80057501</v>
      </c>
      <c r="R561" s="119" t="s">
        <v>895</v>
      </c>
      <c r="S561" s="119" t="s">
        <v>895</v>
      </c>
      <c r="T561" s="222"/>
      <c r="U561" s="222"/>
      <c r="V561" s="222"/>
      <c r="W561" s="230"/>
      <c r="X561" s="331">
        <f t="shared" si="26"/>
        <v>0</v>
      </c>
      <c r="Y561" s="222"/>
      <c r="Z561" s="272">
        <f t="shared" si="24"/>
        <v>0</v>
      </c>
      <c r="AA561" s="331"/>
      <c r="AB561" s="331"/>
      <c r="AC561" s="331"/>
      <c r="AD561" s="331"/>
      <c r="AE561" s="331"/>
      <c r="AF561" s="331"/>
      <c r="AG561" s="331"/>
      <c r="AH561" s="241">
        <f t="shared" ca="1" si="25"/>
        <v>46153</v>
      </c>
      <c r="AI561" s="272"/>
      <c r="AJ561" s="222"/>
      <c r="AK561" s="222"/>
    </row>
    <row r="562" spans="1:37" ht="23.25" hidden="1" customHeight="1">
      <c r="A562" s="111">
        <v>952</v>
      </c>
      <c r="B562" s="112">
        <v>9</v>
      </c>
      <c r="C562" s="122" t="s">
        <v>1886</v>
      </c>
      <c r="D562" s="147" t="s">
        <v>1887</v>
      </c>
      <c r="E562" s="123" t="s">
        <v>1888</v>
      </c>
      <c r="F562" s="116" t="s">
        <v>956</v>
      </c>
      <c r="G562" s="116" t="s">
        <v>957</v>
      </c>
      <c r="H562" s="116">
        <v>13.7526668</v>
      </c>
      <c r="I562" s="116">
        <v>100.5336719</v>
      </c>
      <c r="J562" s="116" t="s">
        <v>890</v>
      </c>
      <c r="K562" s="117" t="s">
        <v>891</v>
      </c>
      <c r="L562" s="117" t="s">
        <v>891</v>
      </c>
      <c r="M562" s="117">
        <v>96895439</v>
      </c>
      <c r="N562" s="117" t="s">
        <v>892</v>
      </c>
      <c r="O562" s="121" t="s">
        <v>958</v>
      </c>
      <c r="P562" s="117" t="s">
        <v>902</v>
      </c>
      <c r="Q562" s="118">
        <v>80057501</v>
      </c>
      <c r="R562" s="119" t="s">
        <v>895</v>
      </c>
      <c r="S562" s="119" t="s">
        <v>895</v>
      </c>
      <c r="T562" s="222"/>
      <c r="U562" s="222"/>
      <c r="V562" s="222"/>
      <c r="W562" s="230"/>
      <c r="X562" s="331">
        <f t="shared" si="26"/>
        <v>0</v>
      </c>
      <c r="Y562" s="222"/>
      <c r="Z562" s="272">
        <f t="shared" si="24"/>
        <v>0</v>
      </c>
      <c r="AA562" s="331"/>
      <c r="AB562" s="331"/>
      <c r="AC562" s="331"/>
      <c r="AD562" s="331"/>
      <c r="AE562" s="331"/>
      <c r="AF562" s="331"/>
      <c r="AG562" s="331"/>
      <c r="AH562" s="241">
        <f t="shared" ca="1" si="25"/>
        <v>46153</v>
      </c>
      <c r="AI562" s="272"/>
      <c r="AJ562" s="222"/>
      <c r="AK562" s="222"/>
    </row>
    <row r="563" spans="1:37" ht="23.25" hidden="1" customHeight="1">
      <c r="A563" s="111">
        <v>1062</v>
      </c>
      <c r="B563" s="112">
        <v>13</v>
      </c>
      <c r="C563" s="113" t="s">
        <v>2001</v>
      </c>
      <c r="D563" s="147" t="s">
        <v>2002</v>
      </c>
      <c r="E563" s="114" t="s">
        <v>2003</v>
      </c>
      <c r="F563" s="115" t="s">
        <v>956</v>
      </c>
      <c r="G563" s="115" t="s">
        <v>957</v>
      </c>
      <c r="H563" s="116">
        <v>13.749533</v>
      </c>
      <c r="I563" s="116">
        <v>100.545114</v>
      </c>
      <c r="J563" s="116" t="s">
        <v>890</v>
      </c>
      <c r="K563" s="117" t="s">
        <v>891</v>
      </c>
      <c r="L563" s="117" t="s">
        <v>891</v>
      </c>
      <c r="M563" s="117">
        <v>96894527</v>
      </c>
      <c r="N563" s="117" t="s">
        <v>892</v>
      </c>
      <c r="O563" s="121" t="s">
        <v>958</v>
      </c>
      <c r="P563" s="117" t="s">
        <v>902</v>
      </c>
      <c r="Q563" s="118">
        <v>80057501</v>
      </c>
      <c r="R563" s="138" t="s">
        <v>895</v>
      </c>
      <c r="S563" s="119" t="s">
        <v>895</v>
      </c>
      <c r="T563" s="222"/>
      <c r="U563" s="222"/>
      <c r="V563" s="222"/>
      <c r="W563" s="230"/>
      <c r="X563" s="331">
        <f t="shared" si="26"/>
        <v>0</v>
      </c>
      <c r="Y563" s="222"/>
      <c r="Z563" s="272">
        <f t="shared" si="24"/>
        <v>0</v>
      </c>
      <c r="AA563" s="331"/>
      <c r="AB563" s="331"/>
      <c r="AC563" s="331"/>
      <c r="AD563" s="331"/>
      <c r="AE563" s="331"/>
      <c r="AF563" s="331"/>
      <c r="AG563" s="331"/>
      <c r="AH563" s="241">
        <f t="shared" ca="1" si="25"/>
        <v>46153</v>
      </c>
      <c r="AI563" s="272"/>
      <c r="AJ563" s="222"/>
      <c r="AK563" s="222"/>
    </row>
    <row r="564" spans="1:37" ht="23" hidden="1">
      <c r="A564" s="111">
        <v>1066</v>
      </c>
      <c r="B564" s="112" t="s">
        <v>1459</v>
      </c>
      <c r="C564" s="113" t="s">
        <v>2010</v>
      </c>
      <c r="D564" s="147" t="s">
        <v>2011</v>
      </c>
      <c r="E564" s="114" t="s">
        <v>2012</v>
      </c>
      <c r="F564" s="115" t="s">
        <v>956</v>
      </c>
      <c r="G564" s="115" t="s">
        <v>957</v>
      </c>
      <c r="H564" s="116">
        <v>13.749878499999999</v>
      </c>
      <c r="I564" s="116">
        <v>100.5505981</v>
      </c>
      <c r="J564" s="116" t="s">
        <v>890</v>
      </c>
      <c r="K564" s="117" t="s">
        <v>891</v>
      </c>
      <c r="L564" s="117" t="s">
        <v>891</v>
      </c>
      <c r="M564" s="117">
        <v>96895767</v>
      </c>
      <c r="N564" s="117" t="s">
        <v>892</v>
      </c>
      <c r="O564" s="121" t="s">
        <v>958</v>
      </c>
      <c r="P564" s="117" t="s">
        <v>902</v>
      </c>
      <c r="Q564" s="118">
        <v>80057501</v>
      </c>
      <c r="R564" s="119" t="s">
        <v>895</v>
      </c>
      <c r="S564" s="119" t="s">
        <v>895</v>
      </c>
      <c r="T564" s="222"/>
      <c r="U564" s="222"/>
      <c r="V564" s="222"/>
      <c r="W564" s="230"/>
      <c r="X564" s="331">
        <f t="shared" si="26"/>
        <v>0</v>
      </c>
      <c r="Y564" s="222"/>
      <c r="Z564" s="272">
        <f t="shared" si="24"/>
        <v>0</v>
      </c>
      <c r="AA564" s="331"/>
      <c r="AB564" s="331"/>
      <c r="AC564" s="331"/>
      <c r="AD564" s="331"/>
      <c r="AE564" s="331"/>
      <c r="AF564" s="331"/>
      <c r="AG564" s="331"/>
      <c r="AH564" s="241">
        <f t="shared" ca="1" si="25"/>
        <v>46153</v>
      </c>
      <c r="AI564" s="272"/>
      <c r="AJ564" s="222"/>
      <c r="AK564" s="222"/>
    </row>
    <row r="565" spans="1:37" ht="23" hidden="1">
      <c r="A565" s="111">
        <v>1135</v>
      </c>
      <c r="B565" s="112">
        <v>4</v>
      </c>
      <c r="C565" s="113" t="s">
        <v>2068</v>
      </c>
      <c r="D565" s="147" t="s">
        <v>2069</v>
      </c>
      <c r="E565" s="114" t="s">
        <v>2070</v>
      </c>
      <c r="F565" s="115" t="s">
        <v>956</v>
      </c>
      <c r="G565" s="115" t="s">
        <v>957</v>
      </c>
      <c r="H565" s="115">
        <v>13.7497329</v>
      </c>
      <c r="I565" s="115">
        <v>100.542993</v>
      </c>
      <c r="J565" s="116" t="s">
        <v>890</v>
      </c>
      <c r="K565" s="117" t="s">
        <v>891</v>
      </c>
      <c r="L565" s="117" t="s">
        <v>891</v>
      </c>
      <c r="M565" s="117">
        <v>96894536</v>
      </c>
      <c r="N565" s="117" t="s">
        <v>892</v>
      </c>
      <c r="O565" s="117" t="s">
        <v>958</v>
      </c>
      <c r="P565" s="117" t="s">
        <v>902</v>
      </c>
      <c r="Q565" s="118">
        <v>80057501</v>
      </c>
      <c r="R565" s="138" t="s">
        <v>895</v>
      </c>
      <c r="S565" s="119" t="s">
        <v>895</v>
      </c>
      <c r="T565" s="222"/>
      <c r="U565" s="222"/>
      <c r="V565" s="222"/>
      <c r="W565" s="230"/>
      <c r="X565" s="331">
        <f t="shared" si="26"/>
        <v>0</v>
      </c>
      <c r="Y565" s="222"/>
      <c r="Z565" s="272">
        <f t="shared" si="24"/>
        <v>0</v>
      </c>
      <c r="AA565" s="331"/>
      <c r="AB565" s="331"/>
      <c r="AC565" s="331"/>
      <c r="AD565" s="331"/>
      <c r="AE565" s="331"/>
      <c r="AF565" s="331"/>
      <c r="AG565" s="331"/>
      <c r="AH565" s="241">
        <f t="shared" ca="1" si="25"/>
        <v>46153</v>
      </c>
      <c r="AI565" s="272"/>
      <c r="AJ565" s="222"/>
      <c r="AK565" s="222"/>
    </row>
    <row r="566" spans="1:37" ht="23.25" hidden="1" customHeight="1">
      <c r="A566" s="111">
        <v>236</v>
      </c>
      <c r="B566" s="112" t="s">
        <v>979</v>
      </c>
      <c r="C566" s="122" t="s">
        <v>2346</v>
      </c>
      <c r="D566" s="147" t="s">
        <v>2347</v>
      </c>
      <c r="E566" s="123" t="s">
        <v>2348</v>
      </c>
      <c r="F566" s="116" t="s">
        <v>956</v>
      </c>
      <c r="G566" s="116" t="s">
        <v>957</v>
      </c>
      <c r="H566" s="116">
        <v>13.749878499999999</v>
      </c>
      <c r="I566" s="116">
        <v>100.5420749</v>
      </c>
      <c r="J566" s="116" t="s">
        <v>890</v>
      </c>
      <c r="K566" s="117" t="s">
        <v>891</v>
      </c>
      <c r="L566" s="117" t="s">
        <v>891</v>
      </c>
      <c r="M566" s="117">
        <v>96927734</v>
      </c>
      <c r="N566" s="117" t="s">
        <v>892</v>
      </c>
      <c r="O566" s="121" t="s">
        <v>958</v>
      </c>
      <c r="P566" s="117" t="s">
        <v>902</v>
      </c>
      <c r="Q566" s="118">
        <v>80057501</v>
      </c>
      <c r="R566" s="119" t="s">
        <v>895</v>
      </c>
      <c r="S566" s="119" t="s">
        <v>895</v>
      </c>
      <c r="T566" s="222"/>
      <c r="U566" s="222"/>
      <c r="V566" s="222"/>
      <c r="W566" s="230"/>
      <c r="X566" s="331">
        <f t="shared" si="26"/>
        <v>0</v>
      </c>
      <c r="Y566" s="222"/>
      <c r="Z566" s="272">
        <f t="shared" si="24"/>
        <v>0</v>
      </c>
      <c r="AA566" s="331"/>
      <c r="AB566" s="331"/>
      <c r="AC566" s="331"/>
      <c r="AD566" s="331"/>
      <c r="AE566" s="331"/>
      <c r="AF566" s="331"/>
      <c r="AG566" s="331"/>
      <c r="AH566" s="241">
        <f t="shared" ca="1" si="25"/>
        <v>46153</v>
      </c>
      <c r="AI566" s="272"/>
      <c r="AJ566" s="222"/>
      <c r="AK566" s="222"/>
    </row>
    <row r="567" spans="1:37" ht="23" hidden="1">
      <c r="A567" s="111">
        <v>122</v>
      </c>
      <c r="B567" s="112">
        <v>14</v>
      </c>
      <c r="C567" s="122" t="s">
        <v>2408</v>
      </c>
      <c r="D567" s="147" t="s">
        <v>2425</v>
      </c>
      <c r="E567" s="114" t="s">
        <v>2410</v>
      </c>
      <c r="F567" s="115" t="s">
        <v>956</v>
      </c>
      <c r="G567" s="115" t="s">
        <v>957</v>
      </c>
      <c r="H567" s="116">
        <v>13.749605000000001</v>
      </c>
      <c r="I567" s="116">
        <v>100.54645499999999</v>
      </c>
      <c r="J567" s="116" t="s">
        <v>969</v>
      </c>
      <c r="K567" s="116" t="s">
        <v>970</v>
      </c>
      <c r="L567" s="117" t="s">
        <v>2411</v>
      </c>
      <c r="M567" s="117">
        <v>96929607</v>
      </c>
      <c r="N567" s="121" t="s">
        <v>892</v>
      </c>
      <c r="O567" s="121" t="s">
        <v>958</v>
      </c>
      <c r="P567" s="117" t="s">
        <v>902</v>
      </c>
      <c r="Q567" s="125" t="s">
        <v>972</v>
      </c>
      <c r="R567" s="125" t="s">
        <v>972</v>
      </c>
      <c r="S567" s="125" t="s">
        <v>972</v>
      </c>
      <c r="T567" s="222"/>
      <c r="U567" s="222"/>
      <c r="V567" s="222"/>
      <c r="W567" s="230"/>
      <c r="X567" s="331">
        <f t="shared" si="26"/>
        <v>0</v>
      </c>
      <c r="Y567" s="222"/>
      <c r="Z567" s="272">
        <f t="shared" si="24"/>
        <v>0</v>
      </c>
      <c r="AA567" s="331"/>
      <c r="AB567" s="331"/>
      <c r="AC567" s="331"/>
      <c r="AD567" s="331"/>
      <c r="AE567" s="331"/>
      <c r="AF567" s="331"/>
      <c r="AG567" s="331"/>
      <c r="AH567" s="241">
        <f t="shared" ca="1" si="25"/>
        <v>46153</v>
      </c>
      <c r="AI567" s="272"/>
      <c r="AJ567" s="222"/>
      <c r="AK567" s="222"/>
    </row>
    <row r="568" spans="1:37" ht="23" hidden="1">
      <c r="A568" s="111">
        <v>126</v>
      </c>
      <c r="B568" s="112">
        <v>8</v>
      </c>
      <c r="C568" s="113" t="s">
        <v>2424</v>
      </c>
      <c r="D568" s="147" t="s">
        <v>2425</v>
      </c>
      <c r="E568" s="114" t="s">
        <v>2426</v>
      </c>
      <c r="F568" s="115" t="s">
        <v>956</v>
      </c>
      <c r="G568" s="115" t="s">
        <v>957</v>
      </c>
      <c r="H568" s="116">
        <v>13.7495893</v>
      </c>
      <c r="I568" s="116">
        <v>100.5461751</v>
      </c>
      <c r="J568" s="116" t="s">
        <v>969</v>
      </c>
      <c r="K568" s="115" t="s">
        <v>1048</v>
      </c>
      <c r="L568" s="117" t="s">
        <v>2427</v>
      </c>
      <c r="M568" s="121">
        <v>96929607</v>
      </c>
      <c r="N568" s="121" t="s">
        <v>892</v>
      </c>
      <c r="O568" s="121" t="s">
        <v>958</v>
      </c>
      <c r="P568" s="117" t="s">
        <v>902</v>
      </c>
      <c r="Q568" s="125" t="s">
        <v>972</v>
      </c>
      <c r="R568" s="125" t="s">
        <v>972</v>
      </c>
      <c r="S568" s="130" t="s">
        <v>972</v>
      </c>
      <c r="T568" s="222"/>
      <c r="U568" s="222"/>
      <c r="V568" s="222"/>
      <c r="W568" s="230"/>
      <c r="X568" s="331">
        <f t="shared" si="26"/>
        <v>0</v>
      </c>
      <c r="Y568" s="222"/>
      <c r="Z568" s="272">
        <f t="shared" si="24"/>
        <v>0</v>
      </c>
      <c r="AA568" s="331"/>
      <c r="AB568" s="331"/>
      <c r="AC568" s="331"/>
      <c r="AD568" s="331"/>
      <c r="AE568" s="331"/>
      <c r="AF568" s="331"/>
      <c r="AG568" s="331"/>
      <c r="AH568" s="241">
        <f t="shared" ca="1" si="25"/>
        <v>46153</v>
      </c>
      <c r="AI568" s="272"/>
      <c r="AJ568" s="222"/>
      <c r="AK568" s="222"/>
    </row>
    <row r="569" spans="1:37" ht="23" hidden="1">
      <c r="A569" s="111">
        <v>138</v>
      </c>
      <c r="B569" s="112" t="s">
        <v>1114</v>
      </c>
      <c r="C569" s="122" t="s">
        <v>2465</v>
      </c>
      <c r="D569" s="147" t="s">
        <v>2466</v>
      </c>
      <c r="E569" s="123" t="s">
        <v>2467</v>
      </c>
      <c r="F569" s="116" t="s">
        <v>956</v>
      </c>
      <c r="G569" s="116" t="s">
        <v>957</v>
      </c>
      <c r="H569" s="116">
        <v>13.752668999999999</v>
      </c>
      <c r="I569" s="116">
        <v>100.5331269</v>
      </c>
      <c r="J569" s="115" t="s">
        <v>2108</v>
      </c>
      <c r="K569" s="117" t="s">
        <v>2109</v>
      </c>
      <c r="L569" s="117" t="s">
        <v>2110</v>
      </c>
      <c r="M569" s="121" t="s">
        <v>972</v>
      </c>
      <c r="N569" s="121" t="s">
        <v>972</v>
      </c>
      <c r="O569" s="121" t="s">
        <v>958</v>
      </c>
      <c r="P569" s="117" t="s">
        <v>902</v>
      </c>
      <c r="Q569" s="125" t="s">
        <v>972</v>
      </c>
      <c r="R569" s="125" t="s">
        <v>972</v>
      </c>
      <c r="S569" s="125" t="s">
        <v>972</v>
      </c>
      <c r="T569" s="222"/>
      <c r="U569" s="222"/>
      <c r="V569" s="222"/>
      <c r="W569" s="230"/>
      <c r="X569" s="331">
        <f t="shared" si="26"/>
        <v>0</v>
      </c>
      <c r="Y569" s="222"/>
      <c r="Z569" s="272">
        <f t="shared" si="24"/>
        <v>0</v>
      </c>
      <c r="AA569" s="331"/>
      <c r="AB569" s="331"/>
      <c r="AC569" s="331"/>
      <c r="AD569" s="331"/>
      <c r="AE569" s="331"/>
      <c r="AF569" s="331"/>
      <c r="AG569" s="331"/>
      <c r="AH569" s="241">
        <f t="shared" ca="1" si="25"/>
        <v>46153</v>
      </c>
      <c r="AI569" s="272"/>
      <c r="AJ569" s="222"/>
      <c r="AK569" s="222"/>
    </row>
    <row r="570" spans="1:37" ht="23.25" hidden="1" customHeight="1">
      <c r="A570" s="111">
        <v>219</v>
      </c>
      <c r="B570" s="112">
        <v>13</v>
      </c>
      <c r="C570" s="122" t="s">
        <v>2678</v>
      </c>
      <c r="D570" s="147" t="s">
        <v>2679</v>
      </c>
      <c r="E570" s="123" t="s">
        <v>2680</v>
      </c>
      <c r="F570" s="116" t="s">
        <v>956</v>
      </c>
      <c r="G570" s="116" t="s">
        <v>957</v>
      </c>
      <c r="H570" s="116">
        <v>13.755595100000001</v>
      </c>
      <c r="I570" s="116">
        <v>100.52475320000001</v>
      </c>
      <c r="J570" s="115" t="s">
        <v>2108</v>
      </c>
      <c r="K570" s="117" t="s">
        <v>2109</v>
      </c>
      <c r="L570" s="117" t="s">
        <v>2110</v>
      </c>
      <c r="M570" s="121" t="s">
        <v>972</v>
      </c>
      <c r="N570" s="121" t="s">
        <v>972</v>
      </c>
      <c r="O570" s="121" t="s">
        <v>958</v>
      </c>
      <c r="P570" s="117" t="s">
        <v>1876</v>
      </c>
      <c r="Q570" s="125" t="s">
        <v>972</v>
      </c>
      <c r="R570" s="125" t="s">
        <v>972</v>
      </c>
      <c r="S570" s="125" t="s">
        <v>972</v>
      </c>
      <c r="T570" s="222"/>
      <c r="U570" s="222"/>
      <c r="V570" s="222"/>
      <c r="W570" s="230"/>
      <c r="X570" s="331">
        <f t="shared" si="26"/>
        <v>0</v>
      </c>
      <c r="Y570" s="222"/>
      <c r="Z570" s="272">
        <f t="shared" si="24"/>
        <v>0</v>
      </c>
      <c r="AA570" s="331"/>
      <c r="AB570" s="331"/>
      <c r="AC570" s="331"/>
      <c r="AD570" s="331"/>
      <c r="AE570" s="331"/>
      <c r="AF570" s="331"/>
      <c r="AG570" s="331"/>
      <c r="AH570" s="241">
        <f t="shared" ca="1" si="25"/>
        <v>46153</v>
      </c>
      <c r="AI570" s="272"/>
      <c r="AJ570" s="222"/>
      <c r="AK570" s="222"/>
    </row>
    <row r="571" spans="1:37" ht="23" hidden="1">
      <c r="A571" s="111">
        <v>238</v>
      </c>
      <c r="B571" s="112">
        <v>8</v>
      </c>
      <c r="C571" s="113" t="s">
        <v>2734</v>
      </c>
      <c r="D571" s="147" t="s">
        <v>2735</v>
      </c>
      <c r="E571" s="114" t="s">
        <v>2736</v>
      </c>
      <c r="F571" s="115" t="s">
        <v>956</v>
      </c>
      <c r="G571" s="115" t="s">
        <v>936</v>
      </c>
      <c r="H571" s="116">
        <v>13.749981</v>
      </c>
      <c r="I571" s="116">
        <v>100.552347</v>
      </c>
      <c r="J571" s="116" t="s">
        <v>2097</v>
      </c>
      <c r="K571" s="116" t="s">
        <v>2097</v>
      </c>
      <c r="L571" s="117" t="s">
        <v>2132</v>
      </c>
      <c r="M571" s="121" t="s">
        <v>972</v>
      </c>
      <c r="N571" s="121" t="s">
        <v>892</v>
      </c>
      <c r="O571" s="121" t="s">
        <v>958</v>
      </c>
      <c r="P571" s="117" t="s">
        <v>902</v>
      </c>
      <c r="Q571" s="125" t="s">
        <v>972</v>
      </c>
      <c r="R571" s="130" t="s">
        <v>972</v>
      </c>
      <c r="S571" s="130" t="s">
        <v>972</v>
      </c>
      <c r="T571" s="222"/>
      <c r="U571" s="222"/>
      <c r="V571" s="222"/>
      <c r="W571" s="230"/>
      <c r="X571" s="331">
        <f t="shared" si="26"/>
        <v>0</v>
      </c>
      <c r="Y571" s="222"/>
      <c r="Z571" s="272">
        <f t="shared" si="24"/>
        <v>0</v>
      </c>
      <c r="AA571" s="331"/>
      <c r="AB571" s="331"/>
      <c r="AC571" s="331"/>
      <c r="AD571" s="331"/>
      <c r="AE571" s="331"/>
      <c r="AF571" s="331"/>
      <c r="AG571" s="331"/>
      <c r="AH571" s="241">
        <f t="shared" ca="1" si="25"/>
        <v>46153</v>
      </c>
      <c r="AI571" s="272"/>
      <c r="AJ571" s="222"/>
      <c r="AK571" s="222"/>
    </row>
    <row r="572" spans="1:37" ht="23" hidden="1">
      <c r="A572" s="111">
        <v>256</v>
      </c>
      <c r="B572" s="112">
        <v>3</v>
      </c>
      <c r="C572" s="122" t="s">
        <v>2778</v>
      </c>
      <c r="D572" s="147" t="s">
        <v>2779</v>
      </c>
      <c r="E572" s="123" t="s">
        <v>2780</v>
      </c>
      <c r="F572" s="115" t="s">
        <v>956</v>
      </c>
      <c r="G572" s="115" t="s">
        <v>957</v>
      </c>
      <c r="H572" s="116">
        <v>13.750704300000001</v>
      </c>
      <c r="I572" s="116">
        <v>100.5387309</v>
      </c>
      <c r="J572" s="116" t="s">
        <v>969</v>
      </c>
      <c r="K572" s="115" t="s">
        <v>1048</v>
      </c>
      <c r="L572" s="117" t="s">
        <v>2781</v>
      </c>
      <c r="M572" s="121">
        <v>96929608</v>
      </c>
      <c r="N572" s="121" t="s">
        <v>892</v>
      </c>
      <c r="O572" s="121" t="s">
        <v>958</v>
      </c>
      <c r="P572" s="117" t="s">
        <v>902</v>
      </c>
      <c r="Q572" s="125" t="s">
        <v>972</v>
      </c>
      <c r="R572" s="130" t="s">
        <v>972</v>
      </c>
      <c r="S572" s="125" t="s">
        <v>972</v>
      </c>
      <c r="T572" s="222"/>
      <c r="U572" s="222"/>
      <c r="V572" s="222"/>
      <c r="W572" s="230"/>
      <c r="X572" s="331">
        <f t="shared" si="26"/>
        <v>0</v>
      </c>
      <c r="Y572" s="222"/>
      <c r="Z572" s="272">
        <f t="shared" si="24"/>
        <v>0</v>
      </c>
      <c r="AA572" s="331"/>
      <c r="AB572" s="331"/>
      <c r="AC572" s="331"/>
      <c r="AD572" s="331"/>
      <c r="AE572" s="331"/>
      <c r="AF572" s="331"/>
      <c r="AG572" s="331"/>
      <c r="AH572" s="241">
        <f t="shared" ca="1" si="25"/>
        <v>46153</v>
      </c>
      <c r="AI572" s="272"/>
      <c r="AJ572" s="222"/>
      <c r="AK572" s="222"/>
    </row>
    <row r="573" spans="1:37" ht="23.25" hidden="1" customHeight="1">
      <c r="A573" s="111">
        <v>267</v>
      </c>
      <c r="B573" s="112">
        <v>3</v>
      </c>
      <c r="C573" s="122" t="s">
        <v>2811</v>
      </c>
      <c r="D573" s="147" t="s">
        <v>2812</v>
      </c>
      <c r="E573" s="123" t="s">
        <v>2813</v>
      </c>
      <c r="F573" s="115" t="s">
        <v>956</v>
      </c>
      <c r="G573" s="115" t="s">
        <v>957</v>
      </c>
      <c r="H573" s="116">
        <v>13.753605</v>
      </c>
      <c r="I573" s="116">
        <v>100.53052</v>
      </c>
      <c r="J573" s="115" t="s">
        <v>2108</v>
      </c>
      <c r="K573" s="117" t="s">
        <v>2759</v>
      </c>
      <c r="L573" s="117" t="s">
        <v>2110</v>
      </c>
      <c r="M573" s="121" t="s">
        <v>972</v>
      </c>
      <c r="N573" s="121" t="s">
        <v>972</v>
      </c>
      <c r="O573" s="121" t="s">
        <v>958</v>
      </c>
      <c r="P573" s="117" t="s">
        <v>1876</v>
      </c>
      <c r="Q573" s="125" t="s">
        <v>972</v>
      </c>
      <c r="R573" s="125" t="s">
        <v>972</v>
      </c>
      <c r="S573" s="125" t="s">
        <v>972</v>
      </c>
      <c r="T573" s="222"/>
      <c r="U573" s="222"/>
      <c r="V573" s="222"/>
      <c r="W573" s="230"/>
      <c r="X573" s="331">
        <f t="shared" si="26"/>
        <v>0</v>
      </c>
      <c r="Y573" s="222"/>
      <c r="Z573" s="272">
        <f t="shared" si="24"/>
        <v>0</v>
      </c>
      <c r="AA573" s="331"/>
      <c r="AB573" s="331"/>
      <c r="AC573" s="331"/>
      <c r="AD573" s="331"/>
      <c r="AE573" s="331"/>
      <c r="AF573" s="331"/>
      <c r="AG573" s="331"/>
      <c r="AH573" s="241">
        <f t="shared" ca="1" si="25"/>
        <v>46153</v>
      </c>
      <c r="AI573" s="272"/>
      <c r="AJ573" s="222"/>
      <c r="AK573" s="222"/>
    </row>
    <row r="574" spans="1:37" ht="23.25" hidden="1" customHeight="1">
      <c r="A574" s="111">
        <v>268</v>
      </c>
      <c r="B574" s="112" t="s">
        <v>1098</v>
      </c>
      <c r="C574" s="122" t="s">
        <v>2814</v>
      </c>
      <c r="D574" s="147" t="s">
        <v>2815</v>
      </c>
      <c r="E574" s="123" t="s">
        <v>2816</v>
      </c>
      <c r="F574" s="115" t="s">
        <v>956</v>
      </c>
      <c r="G574" s="115" t="s">
        <v>957</v>
      </c>
      <c r="H574" s="116">
        <v>13.7559729</v>
      </c>
      <c r="I574" s="116">
        <v>100.5243303</v>
      </c>
      <c r="J574" s="116" t="s">
        <v>2097</v>
      </c>
      <c r="K574" s="116" t="s">
        <v>2097</v>
      </c>
      <c r="L574" s="117" t="s">
        <v>2817</v>
      </c>
      <c r="M574" s="121" t="s">
        <v>972</v>
      </c>
      <c r="N574" s="121" t="s">
        <v>892</v>
      </c>
      <c r="O574" s="121" t="s">
        <v>958</v>
      </c>
      <c r="P574" s="117" t="s">
        <v>902</v>
      </c>
      <c r="Q574" s="125" t="s">
        <v>972</v>
      </c>
      <c r="R574" s="125" t="s">
        <v>972</v>
      </c>
      <c r="S574" s="125" t="s">
        <v>972</v>
      </c>
      <c r="T574" s="222"/>
      <c r="U574" s="222"/>
      <c r="V574" s="222"/>
      <c r="W574" s="230"/>
      <c r="X574" s="331">
        <f t="shared" si="26"/>
        <v>0</v>
      </c>
      <c r="Y574" s="222"/>
      <c r="Z574" s="272">
        <f t="shared" si="24"/>
        <v>0</v>
      </c>
      <c r="AA574" s="331"/>
      <c r="AB574" s="331"/>
      <c r="AC574" s="331"/>
      <c r="AD574" s="331"/>
      <c r="AE574" s="331"/>
      <c r="AF574" s="331"/>
      <c r="AG574" s="331"/>
      <c r="AH574" s="241">
        <f t="shared" ca="1" si="25"/>
        <v>46153</v>
      </c>
      <c r="AI574" s="272"/>
      <c r="AJ574" s="222"/>
      <c r="AK574" s="222"/>
    </row>
    <row r="575" spans="1:37" ht="23.25" hidden="1" customHeight="1">
      <c r="A575" s="111">
        <v>489</v>
      </c>
      <c r="B575" s="112">
        <v>7</v>
      </c>
      <c r="C575" s="113" t="s">
        <v>3330</v>
      </c>
      <c r="D575" s="147" t="s">
        <v>3331</v>
      </c>
      <c r="E575" s="114" t="s">
        <v>3332</v>
      </c>
      <c r="F575" s="115" t="s">
        <v>956</v>
      </c>
      <c r="G575" s="115" t="s">
        <v>957</v>
      </c>
      <c r="H575" s="116">
        <v>13.750913000000001</v>
      </c>
      <c r="I575" s="116">
        <v>100.53856500000001</v>
      </c>
      <c r="J575" s="116" t="s">
        <v>969</v>
      </c>
      <c r="K575" s="115" t="s">
        <v>1048</v>
      </c>
      <c r="L575" s="117" t="s">
        <v>2781</v>
      </c>
      <c r="M575" s="117">
        <v>96929608</v>
      </c>
      <c r="N575" s="121" t="s">
        <v>892</v>
      </c>
      <c r="O575" s="135" t="s">
        <v>958</v>
      </c>
      <c r="P575" s="136" t="s">
        <v>902</v>
      </c>
      <c r="Q575" s="125" t="s">
        <v>972</v>
      </c>
      <c r="R575" s="125" t="s">
        <v>972</v>
      </c>
      <c r="S575" s="125" t="s">
        <v>972</v>
      </c>
      <c r="T575" s="222"/>
      <c r="U575" s="222"/>
      <c r="V575" s="222"/>
      <c r="W575" s="230"/>
      <c r="X575" s="331">
        <f t="shared" si="26"/>
        <v>0</v>
      </c>
      <c r="Y575" s="222"/>
      <c r="Z575" s="272">
        <f t="shared" si="24"/>
        <v>0</v>
      </c>
      <c r="AA575" s="331"/>
      <c r="AB575" s="331"/>
      <c r="AC575" s="331"/>
      <c r="AD575" s="331"/>
      <c r="AE575" s="331"/>
      <c r="AF575" s="331"/>
      <c r="AG575" s="331"/>
      <c r="AH575" s="241">
        <f t="shared" ca="1" si="25"/>
        <v>46153</v>
      </c>
      <c r="AI575" s="272"/>
      <c r="AJ575" s="222"/>
      <c r="AK575" s="222"/>
    </row>
    <row r="576" spans="1:37" ht="23" hidden="1">
      <c r="A576" s="111">
        <v>572</v>
      </c>
      <c r="B576" s="112">
        <v>16</v>
      </c>
      <c r="C576" s="122" t="s">
        <v>3552</v>
      </c>
      <c r="D576" s="147" t="s">
        <v>3553</v>
      </c>
      <c r="E576" s="123" t="s">
        <v>3554</v>
      </c>
      <c r="F576" s="116" t="s">
        <v>956</v>
      </c>
      <c r="G576" s="116" t="s">
        <v>957</v>
      </c>
      <c r="H576" s="116">
        <v>13.7512358</v>
      </c>
      <c r="I576" s="116">
        <v>100.53767089999999</v>
      </c>
      <c r="J576" s="115" t="s">
        <v>2108</v>
      </c>
      <c r="K576" s="117" t="s">
        <v>2109</v>
      </c>
      <c r="L576" s="117" t="s">
        <v>2110</v>
      </c>
      <c r="M576" s="121" t="s">
        <v>972</v>
      </c>
      <c r="N576" s="121" t="s">
        <v>972</v>
      </c>
      <c r="O576" s="121" t="s">
        <v>958</v>
      </c>
      <c r="P576" s="117" t="s">
        <v>1876</v>
      </c>
      <c r="Q576" s="125" t="s">
        <v>972</v>
      </c>
      <c r="R576" s="130" t="s">
        <v>972</v>
      </c>
      <c r="S576" s="125" t="s">
        <v>972</v>
      </c>
      <c r="T576" s="222"/>
      <c r="U576" s="222"/>
      <c r="V576" s="222"/>
      <c r="W576" s="230"/>
      <c r="X576" s="331">
        <f t="shared" si="26"/>
        <v>0</v>
      </c>
      <c r="Y576" s="222"/>
      <c r="Z576" s="272">
        <f t="shared" si="24"/>
        <v>0</v>
      </c>
      <c r="AA576" s="331"/>
      <c r="AB576" s="331"/>
      <c r="AC576" s="331"/>
      <c r="AD576" s="331"/>
      <c r="AE576" s="331"/>
      <c r="AF576" s="331"/>
      <c r="AG576" s="331"/>
      <c r="AH576" s="241">
        <f t="shared" ca="1" si="25"/>
        <v>46153</v>
      </c>
      <c r="AI576" s="272"/>
      <c r="AJ576" s="222"/>
      <c r="AK576" s="222"/>
    </row>
    <row r="577" spans="1:37" ht="23.25" hidden="1" customHeight="1">
      <c r="A577" s="111">
        <v>652</v>
      </c>
      <c r="B577" s="112">
        <v>5</v>
      </c>
      <c r="C577" s="113" t="s">
        <v>3753</v>
      </c>
      <c r="D577" s="147" t="s">
        <v>3754</v>
      </c>
      <c r="E577" s="114" t="s">
        <v>3755</v>
      </c>
      <c r="F577" s="115" t="s">
        <v>956</v>
      </c>
      <c r="G577" s="115" t="s">
        <v>957</v>
      </c>
      <c r="H577" s="116">
        <v>13.749938</v>
      </c>
      <c r="I577" s="116">
        <v>100.55275</v>
      </c>
      <c r="J577" s="116" t="s">
        <v>2097</v>
      </c>
      <c r="K577" s="116" t="s">
        <v>2097</v>
      </c>
      <c r="L577" s="117" t="s">
        <v>2098</v>
      </c>
      <c r="M577" s="116" t="s">
        <v>1347</v>
      </c>
      <c r="N577" s="121" t="s">
        <v>892</v>
      </c>
      <c r="O577" s="121" t="s">
        <v>958</v>
      </c>
      <c r="P577" s="117" t="s">
        <v>902</v>
      </c>
      <c r="Q577" s="125" t="s">
        <v>972</v>
      </c>
      <c r="R577" s="130" t="s">
        <v>972</v>
      </c>
      <c r="S577" s="130" t="s">
        <v>972</v>
      </c>
      <c r="T577" s="222"/>
      <c r="U577" s="222"/>
      <c r="V577" s="222"/>
      <c r="W577" s="230"/>
      <c r="X577" s="331">
        <f t="shared" si="26"/>
        <v>0</v>
      </c>
      <c r="Y577" s="222"/>
      <c r="Z577" s="272">
        <f t="shared" si="24"/>
        <v>0</v>
      </c>
      <c r="AA577" s="331"/>
      <c r="AB577" s="331"/>
      <c r="AC577" s="331"/>
      <c r="AD577" s="331"/>
      <c r="AE577" s="331"/>
      <c r="AF577" s="331"/>
      <c r="AG577" s="331"/>
      <c r="AH577" s="241">
        <f t="shared" ca="1" si="25"/>
        <v>46153</v>
      </c>
      <c r="AI577" s="272"/>
      <c r="AJ577" s="222"/>
      <c r="AK577" s="222"/>
    </row>
    <row r="578" spans="1:37" ht="23" hidden="1">
      <c r="A578" s="111">
        <v>653</v>
      </c>
      <c r="B578" s="112">
        <v>4</v>
      </c>
      <c r="C578" s="122" t="s">
        <v>3756</v>
      </c>
      <c r="D578" s="147" t="s">
        <v>3757</v>
      </c>
      <c r="E578" s="123" t="s">
        <v>3758</v>
      </c>
      <c r="F578" s="116" t="s">
        <v>956</v>
      </c>
      <c r="G578" s="116" t="s">
        <v>957</v>
      </c>
      <c r="H578" s="116">
        <v>13.756914800000001</v>
      </c>
      <c r="I578" s="116">
        <v>100.5216971</v>
      </c>
      <c r="J578" s="116" t="s">
        <v>2097</v>
      </c>
      <c r="K578" s="116" t="s">
        <v>2097</v>
      </c>
      <c r="L578" s="117" t="s">
        <v>3759</v>
      </c>
      <c r="M578" s="116" t="s">
        <v>1347</v>
      </c>
      <c r="N578" s="121" t="s">
        <v>892</v>
      </c>
      <c r="O578" s="121" t="s">
        <v>958</v>
      </c>
      <c r="P578" s="117" t="s">
        <v>902</v>
      </c>
      <c r="Q578" s="125" t="s">
        <v>972</v>
      </c>
      <c r="R578" s="130" t="s">
        <v>972</v>
      </c>
      <c r="S578" s="125" t="s">
        <v>972</v>
      </c>
      <c r="T578" s="222"/>
      <c r="U578" s="222"/>
      <c r="V578" s="222"/>
      <c r="W578" s="230"/>
      <c r="X578" s="331">
        <f t="shared" si="26"/>
        <v>0</v>
      </c>
      <c r="Y578" s="222"/>
      <c r="Z578" s="272">
        <f t="shared" si="24"/>
        <v>0</v>
      </c>
      <c r="AA578" s="331"/>
      <c r="AB578" s="331"/>
      <c r="AC578" s="331"/>
      <c r="AD578" s="331"/>
      <c r="AE578" s="331"/>
      <c r="AF578" s="331"/>
      <c r="AG578" s="331"/>
      <c r="AH578" s="241">
        <f t="shared" ca="1" si="25"/>
        <v>46153</v>
      </c>
      <c r="AI578" s="272"/>
      <c r="AJ578" s="222"/>
      <c r="AK578" s="222"/>
    </row>
    <row r="579" spans="1:37" ht="23.25" hidden="1" customHeight="1">
      <c r="A579" s="111">
        <v>734</v>
      </c>
      <c r="B579" s="112" t="s">
        <v>1569</v>
      </c>
      <c r="C579" s="122" t="s">
        <v>3945</v>
      </c>
      <c r="D579" s="147" t="s">
        <v>3946</v>
      </c>
      <c r="E579" s="149" t="s">
        <v>3947</v>
      </c>
      <c r="F579" s="118" t="s">
        <v>956</v>
      </c>
      <c r="G579" s="173" t="s">
        <v>957</v>
      </c>
      <c r="H579" s="118" t="s">
        <v>3948</v>
      </c>
      <c r="I579" s="117">
        <v>100.5453284</v>
      </c>
      <c r="J579" s="116" t="s">
        <v>969</v>
      </c>
      <c r="K579" s="118" t="s">
        <v>2168</v>
      </c>
      <c r="L579" s="118" t="s">
        <v>3949</v>
      </c>
      <c r="M579" s="117" t="s">
        <v>1347</v>
      </c>
      <c r="N579" s="117" t="s">
        <v>1347</v>
      </c>
      <c r="O579" s="136" t="s">
        <v>901</v>
      </c>
      <c r="P579" s="117"/>
      <c r="Q579" s="119"/>
      <c r="R579" s="138"/>
      <c r="S579" s="119"/>
      <c r="T579" s="222"/>
      <c r="U579" s="222"/>
      <c r="V579" s="222"/>
      <c r="W579" s="230"/>
      <c r="X579" s="331">
        <f t="shared" si="26"/>
        <v>0</v>
      </c>
      <c r="Y579" s="222"/>
      <c r="Z579" s="272">
        <f t="shared" ref="Z579:Z642" si="27">DATEDIF(X579,Y579,"d")</f>
        <v>0</v>
      </c>
      <c r="AA579" s="331"/>
      <c r="AB579" s="331"/>
      <c r="AC579" s="331"/>
      <c r="AD579" s="331"/>
      <c r="AE579" s="331"/>
      <c r="AF579" s="331"/>
      <c r="AG579" s="331"/>
      <c r="AH579" s="241">
        <f t="shared" ref="AH579:AH642" ca="1" si="28">TODAY()</f>
        <v>46153</v>
      </c>
      <c r="AI579" s="272"/>
      <c r="AJ579" s="222"/>
      <c r="AK579" s="222"/>
    </row>
    <row r="580" spans="1:37" ht="23.25" hidden="1" customHeight="1">
      <c r="A580" s="111">
        <v>1067</v>
      </c>
      <c r="B580" s="112">
        <v>15</v>
      </c>
      <c r="C580" s="113" t="s">
        <v>4532</v>
      </c>
      <c r="D580" s="147" t="s">
        <v>4533</v>
      </c>
      <c r="E580" s="114" t="s">
        <v>4534</v>
      </c>
      <c r="F580" s="115" t="s">
        <v>956</v>
      </c>
      <c r="G580" s="115" t="s">
        <v>957</v>
      </c>
      <c r="H580" s="116">
        <v>13.752364999999999</v>
      </c>
      <c r="I580" s="116">
        <v>100.53429300000001</v>
      </c>
      <c r="J580" s="116" t="s">
        <v>890</v>
      </c>
      <c r="K580" s="115" t="s">
        <v>1212</v>
      </c>
      <c r="L580" s="117" t="s">
        <v>1213</v>
      </c>
      <c r="M580" s="117">
        <v>95380730</v>
      </c>
      <c r="N580" s="121" t="s">
        <v>892</v>
      </c>
      <c r="O580" s="135" t="s">
        <v>958</v>
      </c>
      <c r="P580" s="136" t="s">
        <v>902</v>
      </c>
      <c r="Q580" s="125" t="s">
        <v>972</v>
      </c>
      <c r="R580" s="125" t="s">
        <v>972</v>
      </c>
      <c r="S580" s="119" t="s">
        <v>895</v>
      </c>
      <c r="T580" s="222"/>
      <c r="U580" s="222"/>
      <c r="V580" s="222"/>
      <c r="W580" s="230"/>
      <c r="X580" s="331">
        <f t="shared" ref="X580:X643" si="29">V580+(W580)</f>
        <v>0</v>
      </c>
      <c r="Y580" s="222"/>
      <c r="Z580" s="272">
        <f t="shared" si="27"/>
        <v>0</v>
      </c>
      <c r="AA580" s="331"/>
      <c r="AB580" s="331"/>
      <c r="AC580" s="331"/>
      <c r="AD580" s="331"/>
      <c r="AE580" s="331"/>
      <c r="AF580" s="331"/>
      <c r="AG580" s="331"/>
      <c r="AH580" s="241">
        <f t="shared" ca="1" si="28"/>
        <v>46153</v>
      </c>
      <c r="AI580" s="272"/>
      <c r="AJ580" s="222"/>
      <c r="AK580" s="222"/>
    </row>
    <row r="581" spans="1:37" ht="23" hidden="1">
      <c r="A581" s="111">
        <v>1061</v>
      </c>
      <c r="B581" s="112">
        <v>12</v>
      </c>
      <c r="C581" s="113" t="s">
        <v>4764</v>
      </c>
      <c r="D581" s="147" t="s">
        <v>4765</v>
      </c>
      <c r="E581" s="114" t="s">
        <v>4766</v>
      </c>
      <c r="F581" s="115" t="s">
        <v>956</v>
      </c>
      <c r="G581" s="115" t="s">
        <v>957</v>
      </c>
      <c r="H581" s="116">
        <v>13.749435</v>
      </c>
      <c r="I581" s="116">
        <v>100.55988499999999</v>
      </c>
      <c r="J581" s="116" t="s">
        <v>969</v>
      </c>
      <c r="K581" s="115" t="s">
        <v>1048</v>
      </c>
      <c r="L581" s="117" t="s">
        <v>4767</v>
      </c>
      <c r="M581" s="117">
        <v>96927296</v>
      </c>
      <c r="N581" s="121" t="s">
        <v>892</v>
      </c>
      <c r="O581" s="135" t="s">
        <v>958</v>
      </c>
      <c r="P581" s="117" t="s">
        <v>902</v>
      </c>
      <c r="Q581" s="125" t="s">
        <v>972</v>
      </c>
      <c r="R581" s="130" t="s">
        <v>972</v>
      </c>
      <c r="S581" s="125" t="s">
        <v>972</v>
      </c>
      <c r="T581" s="222"/>
      <c r="U581" s="222"/>
      <c r="V581" s="222"/>
      <c r="W581" s="230"/>
      <c r="X581" s="331">
        <f t="shared" si="29"/>
        <v>0</v>
      </c>
      <c r="Y581" s="222"/>
      <c r="Z581" s="272">
        <f t="shared" si="27"/>
        <v>0</v>
      </c>
      <c r="AA581" s="331"/>
      <c r="AB581" s="331"/>
      <c r="AC581" s="331"/>
      <c r="AD581" s="331"/>
      <c r="AE581" s="331"/>
      <c r="AF581" s="331"/>
      <c r="AG581" s="331"/>
      <c r="AH581" s="241">
        <f t="shared" ca="1" si="28"/>
        <v>46153</v>
      </c>
      <c r="AI581" s="272"/>
      <c r="AJ581" s="222"/>
      <c r="AK581" s="222"/>
    </row>
    <row r="582" spans="1:37" ht="23" hidden="1">
      <c r="A582" s="111">
        <v>1068</v>
      </c>
      <c r="B582" s="112">
        <v>11</v>
      </c>
      <c r="C582" s="113" t="s">
        <v>4775</v>
      </c>
      <c r="D582" s="147" t="s">
        <v>4776</v>
      </c>
      <c r="E582" s="114" t="s">
        <v>4777</v>
      </c>
      <c r="F582" s="115" t="s">
        <v>956</v>
      </c>
      <c r="G582" s="115" t="s">
        <v>957</v>
      </c>
      <c r="H582" s="116">
        <v>13.753766000000001</v>
      </c>
      <c r="I582" s="116">
        <v>100.529995</v>
      </c>
      <c r="J582" s="115" t="s">
        <v>2108</v>
      </c>
      <c r="K582" s="117" t="s">
        <v>2109</v>
      </c>
      <c r="L582" s="117" t="s">
        <v>2110</v>
      </c>
      <c r="M582" s="121" t="s">
        <v>972</v>
      </c>
      <c r="N582" s="121" t="s">
        <v>972</v>
      </c>
      <c r="O582" s="135" t="s">
        <v>958</v>
      </c>
      <c r="P582" s="117" t="s">
        <v>902</v>
      </c>
      <c r="Q582" s="125" t="s">
        <v>972</v>
      </c>
      <c r="R582" s="125" t="s">
        <v>972</v>
      </c>
      <c r="S582" s="125" t="s">
        <v>972</v>
      </c>
      <c r="T582" s="305" t="s">
        <v>5212</v>
      </c>
      <c r="U582" s="305" t="s">
        <v>5231</v>
      </c>
      <c r="V582" s="331">
        <v>45054</v>
      </c>
      <c r="W582" s="326"/>
      <c r="X582" s="331">
        <f t="shared" si="29"/>
        <v>45054</v>
      </c>
      <c r="Y582" s="331">
        <v>45061</v>
      </c>
      <c r="Z582" s="332">
        <f t="shared" si="27"/>
        <v>7</v>
      </c>
      <c r="AA582" s="331"/>
      <c r="AB582" s="331"/>
      <c r="AC582" s="331"/>
      <c r="AD582" s="331"/>
      <c r="AE582" s="331"/>
      <c r="AF582" s="331"/>
      <c r="AG582" s="331"/>
      <c r="AH582" s="331">
        <f t="shared" ca="1" si="28"/>
        <v>46153</v>
      </c>
      <c r="AI582" s="332"/>
      <c r="AJ582" s="312" t="s">
        <v>5143</v>
      </c>
      <c r="AK582" s="305"/>
    </row>
    <row r="583" spans="1:37" ht="16.5" hidden="1" customHeight="1">
      <c r="A583" s="111">
        <v>1070</v>
      </c>
      <c r="B583" s="112">
        <v>4</v>
      </c>
      <c r="C583" s="113" t="s">
        <v>4778</v>
      </c>
      <c r="D583" s="147" t="s">
        <v>4779</v>
      </c>
      <c r="E583" s="114" t="s">
        <v>4780</v>
      </c>
      <c r="F583" s="115" t="s">
        <v>956</v>
      </c>
      <c r="G583" s="115" t="s">
        <v>957</v>
      </c>
      <c r="H583" s="115">
        <v>13.749530500000001</v>
      </c>
      <c r="I583" s="115">
        <v>100.5577516</v>
      </c>
      <c r="J583" s="116" t="s">
        <v>2097</v>
      </c>
      <c r="K583" s="116" t="s">
        <v>2097</v>
      </c>
      <c r="L583" s="117" t="s">
        <v>2132</v>
      </c>
      <c r="M583" s="116" t="s">
        <v>1347</v>
      </c>
      <c r="N583" s="121" t="s">
        <v>892</v>
      </c>
      <c r="O583" s="121" t="s">
        <v>901</v>
      </c>
      <c r="P583" s="117" t="s">
        <v>902</v>
      </c>
      <c r="Q583" s="125" t="s">
        <v>972</v>
      </c>
      <c r="R583" s="130" t="s">
        <v>972</v>
      </c>
      <c r="S583" s="125" t="s">
        <v>972</v>
      </c>
      <c r="T583" s="274" t="s">
        <v>5212</v>
      </c>
      <c r="U583" s="312" t="s">
        <v>5205</v>
      </c>
      <c r="V583" s="329">
        <v>45007</v>
      </c>
      <c r="W583" s="326">
        <v>4</v>
      </c>
      <c r="X583" s="331">
        <f t="shared" si="29"/>
        <v>45011</v>
      </c>
      <c r="Y583" s="329">
        <v>45019</v>
      </c>
      <c r="Z583" s="332">
        <f t="shared" si="27"/>
        <v>8</v>
      </c>
      <c r="AA583" s="331"/>
      <c r="AB583" s="331"/>
      <c r="AC583" s="331"/>
      <c r="AD583" s="331"/>
      <c r="AE583" s="331"/>
      <c r="AF583" s="331"/>
      <c r="AG583" s="331"/>
      <c r="AH583" s="329">
        <f t="shared" ca="1" si="28"/>
        <v>46153</v>
      </c>
      <c r="AI583" s="330"/>
      <c r="AJ583" s="312" t="s">
        <v>5143</v>
      </c>
      <c r="AK583" s="312" t="s">
        <v>5149</v>
      </c>
    </row>
    <row r="584" spans="1:37" ht="23" hidden="1">
      <c r="A584" s="111">
        <v>1121</v>
      </c>
      <c r="B584" s="112">
        <v>10</v>
      </c>
      <c r="C584" s="113" t="s">
        <v>4903</v>
      </c>
      <c r="D584" s="557" t="s">
        <v>4904</v>
      </c>
      <c r="E584" s="114" t="s">
        <v>4905</v>
      </c>
      <c r="F584" s="115" t="s">
        <v>956</v>
      </c>
      <c r="G584" s="115" t="s">
        <v>957</v>
      </c>
      <c r="H584" s="117">
        <v>13.750011000000001</v>
      </c>
      <c r="I584" s="117">
        <v>100.5529258</v>
      </c>
      <c r="J584" s="116" t="s">
        <v>969</v>
      </c>
      <c r="K584" s="115" t="s">
        <v>1048</v>
      </c>
      <c r="L584" s="117" t="s">
        <v>4906</v>
      </c>
      <c r="M584" s="117">
        <v>96929604</v>
      </c>
      <c r="N584" s="121" t="s">
        <v>892</v>
      </c>
      <c r="O584" s="135" t="s">
        <v>958</v>
      </c>
      <c r="P584" s="117" t="s">
        <v>902</v>
      </c>
      <c r="Q584" s="125" t="s">
        <v>972</v>
      </c>
      <c r="R584" s="125" t="s">
        <v>972</v>
      </c>
      <c r="S584" s="125" t="s">
        <v>972</v>
      </c>
      <c r="T584" s="222"/>
      <c r="U584" s="222"/>
      <c r="V584" s="222"/>
      <c r="W584" s="230"/>
      <c r="X584" s="331">
        <f t="shared" si="29"/>
        <v>0</v>
      </c>
      <c r="Y584" s="222"/>
      <c r="Z584" s="272">
        <f t="shared" si="27"/>
        <v>0</v>
      </c>
      <c r="AA584" s="331"/>
      <c r="AB584" s="331"/>
      <c r="AC584" s="331"/>
      <c r="AD584" s="331"/>
      <c r="AE584" s="331"/>
      <c r="AF584" s="331"/>
      <c r="AG584" s="331"/>
      <c r="AH584" s="241">
        <f t="shared" ca="1" si="28"/>
        <v>46153</v>
      </c>
      <c r="AI584" s="272"/>
      <c r="AJ584" s="222"/>
      <c r="AK584" s="222"/>
    </row>
    <row r="585" spans="1:37" ht="23.25" hidden="1" customHeight="1">
      <c r="A585" s="111">
        <v>1178</v>
      </c>
      <c r="B585" s="150" t="s">
        <v>1818</v>
      </c>
      <c r="C585" s="150" t="s">
        <v>5174</v>
      </c>
      <c r="D585" s="160" t="s">
        <v>5073</v>
      </c>
      <c r="E585" s="123" t="s">
        <v>5310</v>
      </c>
      <c r="F585" s="116" t="s">
        <v>956</v>
      </c>
      <c r="G585" s="116" t="s">
        <v>957</v>
      </c>
      <c r="H585" s="116">
        <v>13.7494447</v>
      </c>
      <c r="I585" s="116">
        <v>100.5585354</v>
      </c>
      <c r="J585" s="116" t="s">
        <v>969</v>
      </c>
      <c r="K585" s="115" t="s">
        <v>1048</v>
      </c>
      <c r="L585" s="117" t="s">
        <v>5297</v>
      </c>
      <c r="M585" s="117">
        <v>96924127</v>
      </c>
      <c r="N585" s="117"/>
      <c r="O585" s="136" t="s">
        <v>984</v>
      </c>
      <c r="P585" s="117" t="s">
        <v>5305</v>
      </c>
      <c r="Q585" s="119"/>
      <c r="R585" s="119"/>
      <c r="S585" s="119"/>
      <c r="T585" s="271" t="s">
        <v>5183</v>
      </c>
      <c r="U585" s="271" t="s">
        <v>5183</v>
      </c>
      <c r="V585" s="271"/>
      <c r="W585" s="230"/>
      <c r="X585" s="331">
        <f t="shared" si="29"/>
        <v>0</v>
      </c>
      <c r="Y585" s="271"/>
      <c r="Z585" s="272">
        <f t="shared" si="27"/>
        <v>0</v>
      </c>
      <c r="AA585" s="331"/>
      <c r="AB585" s="331"/>
      <c r="AC585" s="331"/>
      <c r="AD585" s="331"/>
      <c r="AE585" s="331"/>
      <c r="AF585" s="331"/>
      <c r="AG585" s="331"/>
      <c r="AH585" s="273">
        <f t="shared" ca="1" si="28"/>
        <v>46153</v>
      </c>
      <c r="AI585" s="270"/>
      <c r="AJ585" s="275" t="s">
        <v>5204</v>
      </c>
      <c r="AK585" s="271" t="s">
        <v>5149</v>
      </c>
    </row>
    <row r="586" spans="1:37" ht="23.25" hidden="1" customHeight="1">
      <c r="A586" s="111">
        <v>1193</v>
      </c>
      <c r="B586" s="531" t="s">
        <v>1818</v>
      </c>
      <c r="C586" s="532"/>
      <c r="D586" s="532" t="s">
        <v>5247</v>
      </c>
      <c r="E586" s="537" t="s">
        <v>5248</v>
      </c>
      <c r="F586" s="538" t="s">
        <v>956</v>
      </c>
      <c r="G586" s="538" t="s">
        <v>957</v>
      </c>
      <c r="H586" s="168">
        <v>13.749886</v>
      </c>
      <c r="I586" s="168">
        <v>100.555314</v>
      </c>
      <c r="J586" s="305" t="s">
        <v>5255</v>
      </c>
      <c r="K586" s="305" t="s">
        <v>5255</v>
      </c>
      <c r="L586" s="305" t="s">
        <v>5255</v>
      </c>
      <c r="M586" s="222"/>
      <c r="N586" s="222" t="s">
        <v>5256</v>
      </c>
      <c r="O586" s="498"/>
      <c r="P586" s="222" t="s">
        <v>902</v>
      </c>
      <c r="Q586" s="222"/>
      <c r="R586" s="498"/>
      <c r="S586" s="222"/>
      <c r="T586" s="222"/>
      <c r="U586" s="222"/>
      <c r="V586" s="222"/>
      <c r="W586" s="230"/>
      <c r="X586" s="331">
        <f t="shared" si="29"/>
        <v>0</v>
      </c>
      <c r="Y586" s="222"/>
      <c r="Z586" s="272">
        <f t="shared" si="27"/>
        <v>0</v>
      </c>
      <c r="AA586" s="331"/>
      <c r="AB586" s="331"/>
      <c r="AC586" s="331"/>
      <c r="AD586" s="331"/>
      <c r="AE586" s="331"/>
      <c r="AF586" s="331"/>
      <c r="AG586" s="331"/>
      <c r="AH586" s="241">
        <f t="shared" ca="1" si="28"/>
        <v>46153</v>
      </c>
      <c r="AI586" s="272"/>
      <c r="AJ586" s="222"/>
      <c r="AK586" s="222"/>
    </row>
    <row r="587" spans="1:37" ht="23.25" hidden="1" customHeight="1">
      <c r="A587" s="111">
        <v>29</v>
      </c>
      <c r="B587" s="112" t="s">
        <v>1098</v>
      </c>
      <c r="C587" s="113" t="s">
        <v>2152</v>
      </c>
      <c r="D587" s="147" t="s">
        <v>2153</v>
      </c>
      <c r="E587" s="133" t="s">
        <v>2154</v>
      </c>
      <c r="F587" s="117" t="s">
        <v>2155</v>
      </c>
      <c r="G587" s="148" t="s">
        <v>957</v>
      </c>
      <c r="H587" s="137">
        <v>13.754393</v>
      </c>
      <c r="I587" s="117">
        <v>100.52892</v>
      </c>
      <c r="J587" s="117" t="s">
        <v>2097</v>
      </c>
      <c r="K587" s="121" t="s">
        <v>2097</v>
      </c>
      <c r="L587" s="121" t="s">
        <v>2156</v>
      </c>
      <c r="M587" s="117" t="s">
        <v>1347</v>
      </c>
      <c r="N587" s="117" t="s">
        <v>1347</v>
      </c>
      <c r="O587" s="117" t="s">
        <v>958</v>
      </c>
      <c r="P587" s="117"/>
      <c r="Q587" s="119"/>
      <c r="R587" s="119"/>
      <c r="S587" s="119"/>
      <c r="T587" s="222"/>
      <c r="U587" s="222"/>
      <c r="V587" s="222"/>
      <c r="W587" s="230"/>
      <c r="X587" s="331">
        <f t="shared" si="29"/>
        <v>0</v>
      </c>
      <c r="Y587" s="222"/>
      <c r="Z587" s="272">
        <f t="shared" si="27"/>
        <v>0</v>
      </c>
      <c r="AA587" s="331"/>
      <c r="AB587" s="331"/>
      <c r="AC587" s="331"/>
      <c r="AD587" s="331"/>
      <c r="AE587" s="331"/>
      <c r="AF587" s="331"/>
      <c r="AG587" s="331"/>
      <c r="AH587" s="241">
        <f t="shared" ca="1" si="28"/>
        <v>46153</v>
      </c>
      <c r="AI587" s="272"/>
      <c r="AJ587" s="222"/>
      <c r="AK587" s="222"/>
    </row>
    <row r="588" spans="1:37" ht="23" hidden="1">
      <c r="A588" s="111">
        <v>131</v>
      </c>
      <c r="B588" s="112" t="s">
        <v>1098</v>
      </c>
      <c r="C588" s="113" t="s">
        <v>2440</v>
      </c>
      <c r="D588" s="147" t="s">
        <v>2409</v>
      </c>
      <c r="E588" s="157" t="s">
        <v>2441</v>
      </c>
      <c r="F588" s="117" t="s">
        <v>2155</v>
      </c>
      <c r="G588" s="148" t="s">
        <v>957</v>
      </c>
      <c r="H588" s="137">
        <v>13.755221000000001</v>
      </c>
      <c r="I588" s="117">
        <v>100.526534</v>
      </c>
      <c r="J588" s="117" t="s">
        <v>2097</v>
      </c>
      <c r="K588" s="121" t="s">
        <v>2097</v>
      </c>
      <c r="L588" s="121" t="s">
        <v>2442</v>
      </c>
      <c r="M588" s="117" t="s">
        <v>1347</v>
      </c>
      <c r="N588" s="117" t="s">
        <v>1347</v>
      </c>
      <c r="O588" s="117" t="s">
        <v>958</v>
      </c>
      <c r="P588" s="117"/>
      <c r="Q588" s="119"/>
      <c r="R588" s="119"/>
      <c r="S588" s="119"/>
      <c r="T588" s="222"/>
      <c r="U588" s="222"/>
      <c r="V588" s="222"/>
      <c r="W588" s="230"/>
      <c r="X588" s="331">
        <f t="shared" si="29"/>
        <v>0</v>
      </c>
      <c r="Y588" s="222"/>
      <c r="Z588" s="272">
        <f t="shared" si="27"/>
        <v>0</v>
      </c>
      <c r="AA588" s="331"/>
      <c r="AB588" s="331"/>
      <c r="AC588" s="331"/>
      <c r="AD588" s="331"/>
      <c r="AE588" s="331"/>
      <c r="AF588" s="331"/>
      <c r="AG588" s="331"/>
      <c r="AH588" s="241">
        <f t="shared" ca="1" si="28"/>
        <v>46153</v>
      </c>
      <c r="AI588" s="272"/>
      <c r="AJ588" s="222"/>
      <c r="AK588" s="222"/>
    </row>
    <row r="589" spans="1:37" ht="23.25" hidden="1" customHeight="1">
      <c r="A589" s="111">
        <v>132</v>
      </c>
      <c r="B589" s="112" t="s">
        <v>1098</v>
      </c>
      <c r="C589" s="113" t="s">
        <v>2443</v>
      </c>
      <c r="D589" s="557" t="s">
        <v>2444</v>
      </c>
      <c r="E589" s="133" t="s">
        <v>2445</v>
      </c>
      <c r="F589" s="117" t="s">
        <v>2155</v>
      </c>
      <c r="G589" s="148" t="s">
        <v>957</v>
      </c>
      <c r="H589" s="137">
        <v>13.754787</v>
      </c>
      <c r="I589" s="117">
        <v>100.527722</v>
      </c>
      <c r="J589" s="117" t="s">
        <v>2097</v>
      </c>
      <c r="K589" s="121" t="s">
        <v>2097</v>
      </c>
      <c r="L589" s="121" t="s">
        <v>2446</v>
      </c>
      <c r="M589" s="117" t="s">
        <v>1347</v>
      </c>
      <c r="N589" s="117" t="s">
        <v>1347</v>
      </c>
      <c r="O589" s="136" t="s">
        <v>958</v>
      </c>
      <c r="P589" s="117"/>
      <c r="Q589" s="119"/>
      <c r="R589" s="119"/>
      <c r="S589" s="138"/>
      <c r="T589" s="222"/>
      <c r="U589" s="222"/>
      <c r="V589" s="222"/>
      <c r="W589" s="230"/>
      <c r="X589" s="331">
        <f t="shared" si="29"/>
        <v>0</v>
      </c>
      <c r="Y589" s="222"/>
      <c r="Z589" s="272">
        <f t="shared" si="27"/>
        <v>0</v>
      </c>
      <c r="AA589" s="331"/>
      <c r="AB589" s="331"/>
      <c r="AC589" s="331"/>
      <c r="AD589" s="331"/>
      <c r="AE589" s="331"/>
      <c r="AF589" s="331"/>
      <c r="AG589" s="331"/>
      <c r="AH589" s="241">
        <f t="shared" ca="1" si="28"/>
        <v>46153</v>
      </c>
      <c r="AI589" s="272"/>
      <c r="AJ589" s="222"/>
      <c r="AK589" s="222"/>
    </row>
    <row r="590" spans="1:37" ht="23.25" hidden="1" customHeight="1">
      <c r="A590" s="111">
        <v>290</v>
      </c>
      <c r="B590" s="112" t="s">
        <v>1553</v>
      </c>
      <c r="C590" s="122" t="s">
        <v>2867</v>
      </c>
      <c r="D590" s="160" t="s">
        <v>2868</v>
      </c>
      <c r="E590" s="156" t="s">
        <v>2869</v>
      </c>
      <c r="F590" s="117" t="s">
        <v>2155</v>
      </c>
      <c r="G590" s="148" t="s">
        <v>957</v>
      </c>
      <c r="H590" s="117" t="s">
        <v>2870</v>
      </c>
      <c r="I590" s="117">
        <v>100.55904750000001</v>
      </c>
      <c r="J590" s="116" t="s">
        <v>969</v>
      </c>
      <c r="K590" s="115" t="s">
        <v>1048</v>
      </c>
      <c r="L590" s="117" t="s">
        <v>2871</v>
      </c>
      <c r="M590" s="117">
        <v>96924127</v>
      </c>
      <c r="N590" s="117" t="s">
        <v>892</v>
      </c>
      <c r="O590" s="117" t="s">
        <v>901</v>
      </c>
      <c r="P590" s="117"/>
      <c r="Q590" s="119"/>
      <c r="R590" s="119"/>
      <c r="S590" s="119"/>
      <c r="T590" s="222"/>
      <c r="U590" s="222"/>
      <c r="V590" s="222"/>
      <c r="W590" s="230"/>
      <c r="X590" s="331">
        <f t="shared" si="29"/>
        <v>0</v>
      </c>
      <c r="Y590" s="222"/>
      <c r="Z590" s="272">
        <f t="shared" si="27"/>
        <v>0</v>
      </c>
      <c r="AA590" s="331"/>
      <c r="AB590" s="331"/>
      <c r="AC590" s="331"/>
      <c r="AD590" s="331"/>
      <c r="AE590" s="331"/>
      <c r="AF590" s="331"/>
      <c r="AG590" s="331"/>
      <c r="AH590" s="241">
        <f t="shared" ca="1" si="28"/>
        <v>46153</v>
      </c>
      <c r="AI590" s="272"/>
      <c r="AJ590" s="222"/>
      <c r="AK590" s="222"/>
    </row>
    <row r="591" spans="1:37" s="345" customFormat="1" ht="23.25" hidden="1" customHeight="1">
      <c r="A591" s="111">
        <v>332</v>
      </c>
      <c r="B591" s="112" t="s">
        <v>1082</v>
      </c>
      <c r="C591" s="122" t="s">
        <v>2951</v>
      </c>
      <c r="D591" s="160" t="s">
        <v>2952</v>
      </c>
      <c r="E591" s="156" t="s">
        <v>2953</v>
      </c>
      <c r="F591" s="117" t="s">
        <v>2155</v>
      </c>
      <c r="G591" s="148" t="s">
        <v>957</v>
      </c>
      <c r="H591" s="117" t="s">
        <v>2954</v>
      </c>
      <c r="I591" s="117">
        <v>100.5550894</v>
      </c>
      <c r="J591" s="117" t="s">
        <v>2097</v>
      </c>
      <c r="K591" s="121" t="s">
        <v>2097</v>
      </c>
      <c r="L591" s="117" t="s">
        <v>2955</v>
      </c>
      <c r="M591" s="117" t="s">
        <v>1347</v>
      </c>
      <c r="N591" s="117" t="s">
        <v>1347</v>
      </c>
      <c r="O591" s="117" t="s">
        <v>901</v>
      </c>
      <c r="P591" s="117"/>
      <c r="Q591" s="119"/>
      <c r="R591" s="119"/>
      <c r="S591" s="119"/>
      <c r="T591" s="222"/>
      <c r="U591" s="222"/>
      <c r="V591" s="222"/>
      <c r="W591" s="230"/>
      <c r="X591" s="331">
        <f t="shared" si="29"/>
        <v>0</v>
      </c>
      <c r="Y591" s="222"/>
      <c r="Z591" s="272">
        <f t="shared" si="27"/>
        <v>0</v>
      </c>
      <c r="AA591" s="331"/>
      <c r="AB591" s="331"/>
      <c r="AC591" s="331"/>
      <c r="AD591" s="331"/>
      <c r="AE591" s="331"/>
      <c r="AF591" s="331"/>
      <c r="AG591" s="331"/>
      <c r="AH591" s="241">
        <f t="shared" ca="1" si="28"/>
        <v>46153</v>
      </c>
      <c r="AI591" s="272"/>
      <c r="AJ591" s="222"/>
      <c r="AK591" s="222"/>
    </row>
    <row r="592" spans="1:37" ht="23.25" hidden="1" customHeight="1">
      <c r="A592" s="111">
        <v>388</v>
      </c>
      <c r="B592" s="112" t="s">
        <v>985</v>
      </c>
      <c r="C592" s="122" t="s">
        <v>3087</v>
      </c>
      <c r="D592" s="147" t="s">
        <v>2772</v>
      </c>
      <c r="E592" s="156" t="s">
        <v>3088</v>
      </c>
      <c r="F592" s="117" t="s">
        <v>2155</v>
      </c>
      <c r="G592" s="148" t="s">
        <v>957</v>
      </c>
      <c r="H592" s="117" t="s">
        <v>3089</v>
      </c>
      <c r="I592" s="117">
        <v>100.5613721</v>
      </c>
      <c r="J592" s="116" t="s">
        <v>969</v>
      </c>
      <c r="K592" s="117" t="s">
        <v>970</v>
      </c>
      <c r="L592" s="117" t="s">
        <v>3090</v>
      </c>
      <c r="M592" s="117" t="s">
        <v>1347</v>
      </c>
      <c r="N592" s="117" t="s">
        <v>1347</v>
      </c>
      <c r="O592" s="117" t="s">
        <v>901</v>
      </c>
      <c r="P592" s="117"/>
      <c r="Q592" s="119"/>
      <c r="R592" s="119"/>
      <c r="S592" s="119"/>
      <c r="T592" s="222"/>
      <c r="U592" s="222"/>
      <c r="V592" s="222"/>
      <c r="W592" s="230"/>
      <c r="X592" s="331">
        <f t="shared" si="29"/>
        <v>0</v>
      </c>
      <c r="Y592" s="222"/>
      <c r="Z592" s="272">
        <f t="shared" si="27"/>
        <v>0</v>
      </c>
      <c r="AA592" s="331"/>
      <c r="AB592" s="331"/>
      <c r="AC592" s="331"/>
      <c r="AD592" s="331"/>
      <c r="AE592" s="331"/>
      <c r="AF592" s="331"/>
      <c r="AG592" s="331"/>
      <c r="AH592" s="241">
        <f t="shared" ca="1" si="28"/>
        <v>46153</v>
      </c>
      <c r="AI592" s="272"/>
      <c r="AJ592" s="222"/>
      <c r="AK592" s="222"/>
    </row>
    <row r="593" spans="1:37" ht="23.25" hidden="1" customHeight="1">
      <c r="A593" s="111">
        <v>97</v>
      </c>
      <c r="B593" s="112">
        <v>4</v>
      </c>
      <c r="C593" s="113" t="s">
        <v>1008</v>
      </c>
      <c r="D593" s="147" t="s">
        <v>1009</v>
      </c>
      <c r="E593" s="114" t="s">
        <v>1010</v>
      </c>
      <c r="F593" s="115" t="s">
        <v>1011</v>
      </c>
      <c r="G593" s="115" t="s">
        <v>936</v>
      </c>
      <c r="H593" s="116">
        <v>13.748428000000001</v>
      </c>
      <c r="I593" s="116">
        <v>100.568647</v>
      </c>
      <c r="J593" s="116" t="s">
        <v>890</v>
      </c>
      <c r="K593" s="117" t="s">
        <v>891</v>
      </c>
      <c r="L593" s="117" t="s">
        <v>891</v>
      </c>
      <c r="M593" s="117">
        <v>96888736</v>
      </c>
      <c r="N593" s="117" t="s">
        <v>892</v>
      </c>
      <c r="O593" s="136" t="s">
        <v>901</v>
      </c>
      <c r="P593" s="118" t="s">
        <v>1012</v>
      </c>
      <c r="Q593" s="118">
        <v>80057501</v>
      </c>
      <c r="R593" s="119" t="s">
        <v>895</v>
      </c>
      <c r="S593" s="119" t="s">
        <v>895</v>
      </c>
      <c r="T593" s="222"/>
      <c r="U593" s="222"/>
      <c r="V593" s="222"/>
      <c r="W593" s="230"/>
      <c r="X593" s="331">
        <f t="shared" si="29"/>
        <v>0</v>
      </c>
      <c r="Y593" s="222"/>
      <c r="Z593" s="272">
        <f t="shared" si="27"/>
        <v>0</v>
      </c>
      <c r="AA593" s="331"/>
      <c r="AB593" s="331"/>
      <c r="AC593" s="331"/>
      <c r="AD593" s="331"/>
      <c r="AE593" s="331"/>
      <c r="AF593" s="331"/>
      <c r="AG593" s="331"/>
      <c r="AH593" s="241">
        <f t="shared" ca="1" si="28"/>
        <v>46153</v>
      </c>
      <c r="AI593" s="272"/>
      <c r="AJ593" s="222"/>
      <c r="AK593" s="222"/>
    </row>
    <row r="594" spans="1:37" ht="23" hidden="1">
      <c r="A594" s="111">
        <v>105</v>
      </c>
      <c r="B594" s="112" t="s">
        <v>1022</v>
      </c>
      <c r="C594" s="113" t="s">
        <v>1023</v>
      </c>
      <c r="D594" s="147" t="s">
        <v>1024</v>
      </c>
      <c r="E594" s="114" t="s">
        <v>1025</v>
      </c>
      <c r="F594" s="115" t="s">
        <v>1011</v>
      </c>
      <c r="G594" s="115" t="s">
        <v>936</v>
      </c>
      <c r="H594" s="116">
        <v>13.742119000000001</v>
      </c>
      <c r="I594" s="116">
        <v>100.597095</v>
      </c>
      <c r="J594" s="116" t="s">
        <v>890</v>
      </c>
      <c r="K594" s="117" t="s">
        <v>891</v>
      </c>
      <c r="L594" s="117" t="s">
        <v>891</v>
      </c>
      <c r="M594" s="117">
        <v>96888733</v>
      </c>
      <c r="N594" s="117" t="s">
        <v>892</v>
      </c>
      <c r="O594" s="117" t="s">
        <v>901</v>
      </c>
      <c r="P594" s="117" t="s">
        <v>902</v>
      </c>
      <c r="Q594" s="118">
        <v>80057501</v>
      </c>
      <c r="R594" s="119" t="s">
        <v>895</v>
      </c>
      <c r="S594" s="138" t="s">
        <v>895</v>
      </c>
      <c r="T594" s="222"/>
      <c r="U594" s="222"/>
      <c r="V594" s="222"/>
      <c r="W594" s="230"/>
      <c r="X594" s="331">
        <f t="shared" si="29"/>
        <v>0</v>
      </c>
      <c r="Y594" s="222"/>
      <c r="Z594" s="272">
        <f t="shared" si="27"/>
        <v>0</v>
      </c>
      <c r="AA594" s="331"/>
      <c r="AB594" s="331"/>
      <c r="AC594" s="331"/>
      <c r="AD594" s="331"/>
      <c r="AE594" s="331"/>
      <c r="AF594" s="331"/>
      <c r="AG594" s="331"/>
      <c r="AH594" s="241">
        <f t="shared" ca="1" si="28"/>
        <v>46153</v>
      </c>
      <c r="AI594" s="272"/>
      <c r="AJ594" s="222"/>
      <c r="AK594" s="222"/>
    </row>
    <row r="595" spans="1:37" ht="23" hidden="1">
      <c r="A595" s="111">
        <v>109</v>
      </c>
      <c r="B595" s="112">
        <v>1</v>
      </c>
      <c r="C595" s="113" t="s">
        <v>1031</v>
      </c>
      <c r="D595" s="147" t="s">
        <v>1032</v>
      </c>
      <c r="E595" s="114" t="s">
        <v>1033</v>
      </c>
      <c r="F595" s="115" t="s">
        <v>1011</v>
      </c>
      <c r="G595" s="115" t="s">
        <v>936</v>
      </c>
      <c r="H595" s="116">
        <v>13.7441855</v>
      </c>
      <c r="I595" s="116">
        <v>100.58601470000001</v>
      </c>
      <c r="J595" s="116" t="s">
        <v>890</v>
      </c>
      <c r="K595" s="117" t="s">
        <v>891</v>
      </c>
      <c r="L595" s="118" t="s">
        <v>891</v>
      </c>
      <c r="M595" s="117">
        <v>96888735</v>
      </c>
      <c r="N595" s="117" t="s">
        <v>892</v>
      </c>
      <c r="O595" s="117" t="s">
        <v>901</v>
      </c>
      <c r="P595" s="118" t="s">
        <v>902</v>
      </c>
      <c r="Q595" s="118">
        <v>80057501</v>
      </c>
      <c r="R595" s="119" t="s">
        <v>895</v>
      </c>
      <c r="S595" s="119" t="s">
        <v>895</v>
      </c>
      <c r="T595" s="222"/>
      <c r="U595" s="222"/>
      <c r="V595" s="222"/>
      <c r="W595" s="230"/>
      <c r="X595" s="331">
        <f t="shared" si="29"/>
        <v>0</v>
      </c>
      <c r="Y595" s="222"/>
      <c r="Z595" s="272">
        <f t="shared" si="27"/>
        <v>0</v>
      </c>
      <c r="AA595" s="331"/>
      <c r="AB595" s="331"/>
      <c r="AC595" s="331"/>
      <c r="AD595" s="331"/>
      <c r="AE595" s="331"/>
      <c r="AF595" s="331"/>
      <c r="AG595" s="331"/>
      <c r="AH595" s="241">
        <f t="shared" ca="1" si="28"/>
        <v>46153</v>
      </c>
      <c r="AI595" s="272"/>
      <c r="AJ595" s="222"/>
      <c r="AK595" s="222"/>
    </row>
    <row r="596" spans="1:37" ht="23.25" hidden="1" customHeight="1">
      <c r="A596" s="111">
        <v>253</v>
      </c>
      <c r="B596" s="112" t="s">
        <v>1013</v>
      </c>
      <c r="C596" s="113" t="s">
        <v>1169</v>
      </c>
      <c r="D596" s="147" t="s">
        <v>1170</v>
      </c>
      <c r="E596" s="114" t="s">
        <v>1171</v>
      </c>
      <c r="F596" s="115" t="s">
        <v>1011</v>
      </c>
      <c r="G596" s="115" t="s">
        <v>936</v>
      </c>
      <c r="H596" s="116">
        <v>13.74705</v>
      </c>
      <c r="I596" s="116">
        <v>100.575768</v>
      </c>
      <c r="J596" s="121" t="s">
        <v>890</v>
      </c>
      <c r="K596" s="117" t="s">
        <v>891</v>
      </c>
      <c r="L596" s="117" t="s">
        <v>891</v>
      </c>
      <c r="M596" s="124">
        <v>96888737</v>
      </c>
      <c r="N596" s="121" t="s">
        <v>892</v>
      </c>
      <c r="O596" s="117" t="s">
        <v>901</v>
      </c>
      <c r="P596" s="121" t="s">
        <v>972</v>
      </c>
      <c r="Q596" s="118">
        <v>80057501</v>
      </c>
      <c r="R596" s="138" t="s">
        <v>895</v>
      </c>
      <c r="S596" s="119" t="s">
        <v>895</v>
      </c>
      <c r="T596" s="222"/>
      <c r="U596" s="222"/>
      <c r="V596" s="222"/>
      <c r="W596" s="230"/>
      <c r="X596" s="331">
        <f t="shared" si="29"/>
        <v>0</v>
      </c>
      <c r="Y596" s="222"/>
      <c r="Z596" s="272">
        <f t="shared" si="27"/>
        <v>0</v>
      </c>
      <c r="AA596" s="331"/>
      <c r="AB596" s="331"/>
      <c r="AC596" s="331"/>
      <c r="AD596" s="331"/>
      <c r="AE596" s="331"/>
      <c r="AF596" s="331"/>
      <c r="AG596" s="331"/>
      <c r="AH596" s="241">
        <f t="shared" ca="1" si="28"/>
        <v>46153</v>
      </c>
      <c r="AI596" s="272"/>
      <c r="AJ596" s="222"/>
      <c r="AK596" s="222"/>
    </row>
    <row r="597" spans="1:37" ht="23.25" hidden="1" customHeight="1">
      <c r="A597" s="111">
        <v>324</v>
      </c>
      <c r="B597" s="112">
        <v>5</v>
      </c>
      <c r="C597" s="113" t="s">
        <v>1264</v>
      </c>
      <c r="D597" s="147" t="s">
        <v>1265</v>
      </c>
      <c r="E597" s="114" t="s">
        <v>1266</v>
      </c>
      <c r="F597" s="115" t="s">
        <v>1011</v>
      </c>
      <c r="G597" s="115" t="s">
        <v>936</v>
      </c>
      <c r="H597" s="116">
        <v>13.7425359</v>
      </c>
      <c r="I597" s="116">
        <v>100.59497450000001</v>
      </c>
      <c r="J597" s="116" t="s">
        <v>890</v>
      </c>
      <c r="K597" s="117" t="s">
        <v>891</v>
      </c>
      <c r="L597" s="117" t="s">
        <v>891</v>
      </c>
      <c r="M597" s="117">
        <v>96888734</v>
      </c>
      <c r="N597" s="117" t="s">
        <v>892</v>
      </c>
      <c r="O597" s="117" t="s">
        <v>901</v>
      </c>
      <c r="P597" s="117" t="s">
        <v>902</v>
      </c>
      <c r="Q597" s="118">
        <v>80057501</v>
      </c>
      <c r="R597" s="119" t="s">
        <v>895</v>
      </c>
      <c r="S597" s="119" t="s">
        <v>895</v>
      </c>
      <c r="T597" s="222"/>
      <c r="U597" s="222"/>
      <c r="V597" s="222"/>
      <c r="W597" s="230"/>
      <c r="X597" s="331">
        <f t="shared" si="29"/>
        <v>0</v>
      </c>
      <c r="Y597" s="222"/>
      <c r="Z597" s="272">
        <f t="shared" si="27"/>
        <v>0</v>
      </c>
      <c r="AA597" s="331"/>
      <c r="AB597" s="331"/>
      <c r="AC597" s="331"/>
      <c r="AD597" s="331"/>
      <c r="AE597" s="331"/>
      <c r="AF597" s="331"/>
      <c r="AG597" s="331"/>
      <c r="AH597" s="241">
        <f t="shared" ca="1" si="28"/>
        <v>46153</v>
      </c>
      <c r="AI597" s="272"/>
      <c r="AJ597" s="222"/>
      <c r="AK597" s="222"/>
    </row>
    <row r="598" spans="1:37" ht="23.25" hidden="1" customHeight="1">
      <c r="A598" s="111">
        <v>407</v>
      </c>
      <c r="B598" s="112" t="s">
        <v>1082</v>
      </c>
      <c r="C598" s="113" t="s">
        <v>1364</v>
      </c>
      <c r="D598" s="147" t="s">
        <v>1365</v>
      </c>
      <c r="E598" s="114" t="s">
        <v>1366</v>
      </c>
      <c r="F598" s="115" t="s">
        <v>1011</v>
      </c>
      <c r="G598" s="115" t="s">
        <v>936</v>
      </c>
      <c r="H598" s="116">
        <v>13.7487817</v>
      </c>
      <c r="I598" s="116">
        <v>100.56550799999999</v>
      </c>
      <c r="J598" s="121" t="s">
        <v>890</v>
      </c>
      <c r="K598" s="117" t="s">
        <v>891</v>
      </c>
      <c r="L598" s="117" t="s">
        <v>891</v>
      </c>
      <c r="M598" s="124">
        <v>96888943</v>
      </c>
      <c r="N598" s="121" t="s">
        <v>892</v>
      </c>
      <c r="O598" s="117" t="s">
        <v>901</v>
      </c>
      <c r="P598" s="121" t="s">
        <v>972</v>
      </c>
      <c r="Q598" s="118">
        <v>80057501</v>
      </c>
      <c r="R598" s="138" t="s">
        <v>895</v>
      </c>
      <c r="S598" s="119" t="s">
        <v>895</v>
      </c>
      <c r="T598" s="222"/>
      <c r="U598" s="222"/>
      <c r="V598" s="222"/>
      <c r="W598" s="230"/>
      <c r="X598" s="331">
        <f t="shared" si="29"/>
        <v>0</v>
      </c>
      <c r="Y598" s="222"/>
      <c r="Z598" s="272">
        <f t="shared" si="27"/>
        <v>0</v>
      </c>
      <c r="AA598" s="331"/>
      <c r="AB598" s="331"/>
      <c r="AC598" s="331"/>
      <c r="AD598" s="331"/>
      <c r="AE598" s="331"/>
      <c r="AF598" s="331"/>
      <c r="AG598" s="331"/>
      <c r="AH598" s="241">
        <f t="shared" ca="1" si="28"/>
        <v>46153</v>
      </c>
      <c r="AI598" s="272"/>
      <c r="AJ598" s="222"/>
      <c r="AK598" s="222"/>
    </row>
    <row r="599" spans="1:37" ht="23" hidden="1">
      <c r="A599" s="111">
        <v>446</v>
      </c>
      <c r="B599" s="112" t="s">
        <v>919</v>
      </c>
      <c r="C599" s="113" t="s">
        <v>1407</v>
      </c>
      <c r="D599" s="147" t="s">
        <v>1408</v>
      </c>
      <c r="E599" s="114" t="s">
        <v>1409</v>
      </c>
      <c r="F599" s="115" t="s">
        <v>1011</v>
      </c>
      <c r="G599" s="115" t="s">
        <v>936</v>
      </c>
      <c r="H599" s="117">
        <v>13.748610100000001</v>
      </c>
      <c r="I599" s="117">
        <v>100.5668922</v>
      </c>
      <c r="J599" s="116" t="s">
        <v>969</v>
      </c>
      <c r="K599" s="115" t="s">
        <v>1048</v>
      </c>
      <c r="L599" s="118" t="s">
        <v>1410</v>
      </c>
      <c r="M599" s="117">
        <v>96924142</v>
      </c>
      <c r="N599" s="121" t="s">
        <v>892</v>
      </c>
      <c r="O599" s="117" t="s">
        <v>901</v>
      </c>
      <c r="P599" s="118" t="s">
        <v>902</v>
      </c>
      <c r="Q599" s="125" t="s">
        <v>972</v>
      </c>
      <c r="R599" s="125" t="s">
        <v>972</v>
      </c>
      <c r="S599" s="125" t="s">
        <v>972</v>
      </c>
      <c r="T599" s="222"/>
      <c r="U599" s="222"/>
      <c r="V599" s="222"/>
      <c r="W599" s="230"/>
      <c r="X599" s="331">
        <f t="shared" si="29"/>
        <v>0</v>
      </c>
      <c r="Y599" s="222"/>
      <c r="Z599" s="272">
        <f t="shared" si="27"/>
        <v>0</v>
      </c>
      <c r="AA599" s="331"/>
      <c r="AB599" s="331"/>
      <c r="AC599" s="331"/>
      <c r="AD599" s="331"/>
      <c r="AE599" s="331"/>
      <c r="AF599" s="331"/>
      <c r="AG599" s="331"/>
      <c r="AH599" s="241">
        <f t="shared" ca="1" si="28"/>
        <v>46153</v>
      </c>
      <c r="AI599" s="272"/>
      <c r="AJ599" s="222"/>
      <c r="AK599" s="222"/>
    </row>
    <row r="600" spans="1:37" ht="23.25" hidden="1" customHeight="1">
      <c r="A600" s="111">
        <v>843</v>
      </c>
      <c r="B600" s="112" t="s">
        <v>1818</v>
      </c>
      <c r="C600" s="122" t="s">
        <v>1819</v>
      </c>
      <c r="D600" s="147" t="s">
        <v>1820</v>
      </c>
      <c r="E600" s="123" t="s">
        <v>1821</v>
      </c>
      <c r="F600" s="116" t="s">
        <v>1011</v>
      </c>
      <c r="G600" s="116" t="s">
        <v>936</v>
      </c>
      <c r="H600" s="116">
        <v>13.745936</v>
      </c>
      <c r="I600" s="116">
        <v>100.57945599999999</v>
      </c>
      <c r="J600" s="116" t="s">
        <v>890</v>
      </c>
      <c r="K600" s="117" t="s">
        <v>891</v>
      </c>
      <c r="L600" s="117" t="s">
        <v>891</v>
      </c>
      <c r="M600" s="117">
        <v>96890815</v>
      </c>
      <c r="N600" s="117" t="s">
        <v>892</v>
      </c>
      <c r="O600" s="117" t="s">
        <v>901</v>
      </c>
      <c r="P600" s="117" t="s">
        <v>902</v>
      </c>
      <c r="Q600" s="118">
        <v>80057501</v>
      </c>
      <c r="R600" s="138" t="s">
        <v>895</v>
      </c>
      <c r="S600" s="119" t="s">
        <v>895</v>
      </c>
      <c r="T600" s="222"/>
      <c r="U600" s="222"/>
      <c r="V600" s="222"/>
      <c r="W600" s="230"/>
      <c r="X600" s="331">
        <f t="shared" si="29"/>
        <v>0</v>
      </c>
      <c r="Y600" s="222"/>
      <c r="Z600" s="272">
        <f t="shared" si="27"/>
        <v>0</v>
      </c>
      <c r="AA600" s="331"/>
      <c r="AB600" s="331"/>
      <c r="AC600" s="331"/>
      <c r="AD600" s="331"/>
      <c r="AE600" s="331"/>
      <c r="AF600" s="331"/>
      <c r="AG600" s="331"/>
      <c r="AH600" s="241">
        <f t="shared" ca="1" si="28"/>
        <v>46153</v>
      </c>
      <c r="AI600" s="272"/>
      <c r="AJ600" s="222"/>
      <c r="AK600" s="222"/>
    </row>
    <row r="601" spans="1:37" ht="23.25" hidden="1" customHeight="1">
      <c r="A601" s="111">
        <v>870</v>
      </c>
      <c r="B601" s="112">
        <v>13</v>
      </c>
      <c r="C601" s="113" t="s">
        <v>1839</v>
      </c>
      <c r="D601" s="147" t="s">
        <v>1840</v>
      </c>
      <c r="E601" s="114" t="s">
        <v>1841</v>
      </c>
      <c r="F601" s="115" t="s">
        <v>1011</v>
      </c>
      <c r="G601" s="115" t="s">
        <v>936</v>
      </c>
      <c r="H601" s="116">
        <v>13.748056</v>
      </c>
      <c r="I601" s="116">
        <v>100.569788</v>
      </c>
      <c r="J601" s="116" t="s">
        <v>890</v>
      </c>
      <c r="K601" s="117" t="s">
        <v>891</v>
      </c>
      <c r="L601" s="117" t="s">
        <v>891</v>
      </c>
      <c r="M601" s="117">
        <v>96888942</v>
      </c>
      <c r="N601" s="117" t="s">
        <v>892</v>
      </c>
      <c r="O601" s="117" t="s">
        <v>901</v>
      </c>
      <c r="P601" s="117" t="s">
        <v>902</v>
      </c>
      <c r="Q601" s="118">
        <v>80057501</v>
      </c>
      <c r="R601" s="119" t="s">
        <v>895</v>
      </c>
      <c r="S601" s="119" t="s">
        <v>895</v>
      </c>
      <c r="T601" s="305" t="s">
        <v>5212</v>
      </c>
      <c r="U601" s="305" t="s">
        <v>5117</v>
      </c>
      <c r="V601" s="331">
        <v>45103</v>
      </c>
      <c r="W601" s="326">
        <v>4</v>
      </c>
      <c r="X601" s="331">
        <f t="shared" si="29"/>
        <v>45107</v>
      </c>
      <c r="Y601" s="331">
        <v>45116</v>
      </c>
      <c r="Z601" s="332">
        <f t="shared" si="27"/>
        <v>9</v>
      </c>
      <c r="AA601" s="331"/>
      <c r="AB601" s="331"/>
      <c r="AC601" s="331"/>
      <c r="AD601" s="331"/>
      <c r="AE601" s="331"/>
      <c r="AF601" s="331"/>
      <c r="AG601" s="331"/>
      <c r="AH601" s="331">
        <f t="shared" ca="1" si="28"/>
        <v>46153</v>
      </c>
      <c r="AI601" s="332"/>
      <c r="AJ601" s="312" t="s">
        <v>5143</v>
      </c>
      <c r="AK601" s="312" t="s">
        <v>5149</v>
      </c>
    </row>
    <row r="602" spans="1:37" ht="23" hidden="1">
      <c r="A602" s="111">
        <v>1008</v>
      </c>
      <c r="B602" s="112">
        <v>16</v>
      </c>
      <c r="C602" s="113" t="s">
        <v>1946</v>
      </c>
      <c r="D602" s="147" t="s">
        <v>1947</v>
      </c>
      <c r="E602" s="114" t="s">
        <v>1948</v>
      </c>
      <c r="F602" s="115" t="s">
        <v>1011</v>
      </c>
      <c r="G602" s="115" t="s">
        <v>936</v>
      </c>
      <c r="H602" s="116">
        <v>13.743064</v>
      </c>
      <c r="I602" s="116">
        <v>100.59274600000001</v>
      </c>
      <c r="J602" s="116" t="s">
        <v>969</v>
      </c>
      <c r="K602" s="115" t="s">
        <v>1048</v>
      </c>
      <c r="L602" s="117" t="s">
        <v>1949</v>
      </c>
      <c r="M602" s="117">
        <v>96924139</v>
      </c>
      <c r="N602" s="121" t="s">
        <v>892</v>
      </c>
      <c r="O602" s="117" t="s">
        <v>901</v>
      </c>
      <c r="P602" s="117" t="s">
        <v>902</v>
      </c>
      <c r="Q602" s="125" t="s">
        <v>972</v>
      </c>
      <c r="R602" s="130" t="s">
        <v>972</v>
      </c>
      <c r="S602" s="125" t="s">
        <v>972</v>
      </c>
      <c r="T602" s="222"/>
      <c r="U602" s="222"/>
      <c r="V602" s="222"/>
      <c r="W602" s="230"/>
      <c r="X602" s="331">
        <f t="shared" si="29"/>
        <v>0</v>
      </c>
      <c r="Y602" s="222"/>
      <c r="Z602" s="272">
        <f t="shared" si="27"/>
        <v>0</v>
      </c>
      <c r="AA602" s="331"/>
      <c r="AB602" s="331"/>
      <c r="AC602" s="331"/>
      <c r="AD602" s="331"/>
      <c r="AE602" s="331"/>
      <c r="AF602" s="331"/>
      <c r="AG602" s="331"/>
      <c r="AH602" s="241">
        <f t="shared" ca="1" si="28"/>
        <v>46153</v>
      </c>
      <c r="AI602" s="272"/>
      <c r="AJ602" s="222"/>
      <c r="AK602" s="222"/>
    </row>
    <row r="603" spans="1:37" ht="23.25" hidden="1" customHeight="1">
      <c r="A603" s="111">
        <v>1010</v>
      </c>
      <c r="B603" s="112" t="s">
        <v>1086</v>
      </c>
      <c r="C603" s="113" t="s">
        <v>1953</v>
      </c>
      <c r="D603" s="147" t="s">
        <v>1954</v>
      </c>
      <c r="E603" s="114" t="s">
        <v>1955</v>
      </c>
      <c r="F603" s="115" t="s">
        <v>1011</v>
      </c>
      <c r="G603" s="115" t="s">
        <v>936</v>
      </c>
      <c r="H603" s="115">
        <v>13.743017</v>
      </c>
      <c r="I603" s="115">
        <v>100.5920358</v>
      </c>
      <c r="J603" s="116" t="s">
        <v>969</v>
      </c>
      <c r="K603" s="115" t="s">
        <v>1048</v>
      </c>
      <c r="L603" s="117" t="s">
        <v>1956</v>
      </c>
      <c r="M603" s="117">
        <v>96924140</v>
      </c>
      <c r="N603" s="121" t="s">
        <v>892</v>
      </c>
      <c r="O603" s="136" t="s">
        <v>901</v>
      </c>
      <c r="P603" s="117" t="s">
        <v>902</v>
      </c>
      <c r="Q603" s="125" t="s">
        <v>972</v>
      </c>
      <c r="R603" s="125" t="s">
        <v>972</v>
      </c>
      <c r="S603" s="125" t="s">
        <v>972</v>
      </c>
      <c r="T603" s="222"/>
      <c r="U603" s="222"/>
      <c r="V603" s="222"/>
      <c r="W603" s="230"/>
      <c r="X603" s="331">
        <f t="shared" si="29"/>
        <v>0</v>
      </c>
      <c r="Y603" s="222"/>
      <c r="Z603" s="272">
        <f t="shared" si="27"/>
        <v>0</v>
      </c>
      <c r="AA603" s="331"/>
      <c r="AB603" s="331"/>
      <c r="AC603" s="331"/>
      <c r="AD603" s="331"/>
      <c r="AE603" s="331"/>
      <c r="AF603" s="331"/>
      <c r="AG603" s="331"/>
      <c r="AH603" s="241">
        <f t="shared" ca="1" si="28"/>
        <v>46153</v>
      </c>
      <c r="AI603" s="272"/>
      <c r="AJ603" s="222"/>
      <c r="AK603" s="222"/>
    </row>
    <row r="604" spans="1:37" s="345" customFormat="1" ht="23.25" hidden="1" customHeight="1">
      <c r="A604" s="111">
        <v>1063</v>
      </c>
      <c r="B604" s="112" t="s">
        <v>1013</v>
      </c>
      <c r="C604" s="113" t="s">
        <v>2004</v>
      </c>
      <c r="D604" s="147" t="s">
        <v>2005</v>
      </c>
      <c r="E604" s="114" t="s">
        <v>2006</v>
      </c>
      <c r="F604" s="115" t="s">
        <v>1011</v>
      </c>
      <c r="G604" s="115" t="s">
        <v>936</v>
      </c>
      <c r="H604" s="116">
        <v>13.747223999999999</v>
      </c>
      <c r="I604" s="116">
        <v>100.573571</v>
      </c>
      <c r="J604" s="116" t="s">
        <v>890</v>
      </c>
      <c r="K604" s="117" t="s">
        <v>891</v>
      </c>
      <c r="L604" s="118" t="s">
        <v>891</v>
      </c>
      <c r="M604" s="117">
        <v>96888941</v>
      </c>
      <c r="N604" s="117" t="s">
        <v>892</v>
      </c>
      <c r="O604" s="117" t="s">
        <v>901</v>
      </c>
      <c r="P604" s="118" t="s">
        <v>902</v>
      </c>
      <c r="Q604" s="118">
        <v>80057501</v>
      </c>
      <c r="R604" s="138" t="s">
        <v>895</v>
      </c>
      <c r="S604" s="119" t="s">
        <v>895</v>
      </c>
      <c r="T604" s="222"/>
      <c r="U604" s="222"/>
      <c r="V604" s="222"/>
      <c r="W604" s="230"/>
      <c r="X604" s="331">
        <f t="shared" si="29"/>
        <v>0</v>
      </c>
      <c r="Y604" s="222"/>
      <c r="Z604" s="272">
        <f t="shared" si="27"/>
        <v>0</v>
      </c>
      <c r="AA604" s="331"/>
      <c r="AB604" s="331"/>
      <c r="AC604" s="331"/>
      <c r="AD604" s="331"/>
      <c r="AE604" s="331"/>
      <c r="AF604" s="331"/>
      <c r="AG604" s="331"/>
      <c r="AH604" s="241">
        <f t="shared" ca="1" si="28"/>
        <v>46153</v>
      </c>
      <c r="AI604" s="272"/>
      <c r="AJ604" s="222"/>
      <c r="AK604" s="222"/>
    </row>
    <row r="605" spans="1:37" ht="23.25" hidden="1" customHeight="1">
      <c r="A605" s="111">
        <v>1064</v>
      </c>
      <c r="B605" s="112" t="s">
        <v>1114</v>
      </c>
      <c r="C605" s="122" t="s">
        <v>2007</v>
      </c>
      <c r="D605" s="147" t="s">
        <v>2008</v>
      </c>
      <c r="E605" s="123" t="s">
        <v>2009</v>
      </c>
      <c r="F605" s="116" t="s">
        <v>1011</v>
      </c>
      <c r="G605" s="116" t="s">
        <v>957</v>
      </c>
      <c r="H605" s="116">
        <v>13.749604</v>
      </c>
      <c r="I605" s="116">
        <v>100.55712509999999</v>
      </c>
      <c r="J605" s="116" t="s">
        <v>890</v>
      </c>
      <c r="K605" s="117" t="s">
        <v>891</v>
      </c>
      <c r="L605" s="117" t="s">
        <v>891</v>
      </c>
      <c r="M605" s="117">
        <v>96895766</v>
      </c>
      <c r="N605" s="117" t="s">
        <v>892</v>
      </c>
      <c r="O605" s="117" t="s">
        <v>901</v>
      </c>
      <c r="P605" s="117" t="s">
        <v>902</v>
      </c>
      <c r="Q605" s="118">
        <v>80057501</v>
      </c>
      <c r="R605" s="119" t="s">
        <v>895</v>
      </c>
      <c r="S605" s="119" t="s">
        <v>895</v>
      </c>
      <c r="T605" s="312" t="s">
        <v>5212</v>
      </c>
      <c r="U605" s="312" t="s">
        <v>5205</v>
      </c>
      <c r="V605" s="329">
        <v>45007</v>
      </c>
      <c r="W605" s="326">
        <v>4</v>
      </c>
      <c r="X605" s="331">
        <f t="shared" si="29"/>
        <v>45011</v>
      </c>
      <c r="Y605" s="329">
        <v>45019</v>
      </c>
      <c r="Z605" s="332">
        <f t="shared" si="27"/>
        <v>8</v>
      </c>
      <c r="AA605" s="331"/>
      <c r="AB605" s="331"/>
      <c r="AC605" s="331"/>
      <c r="AD605" s="331"/>
      <c r="AE605" s="331"/>
      <c r="AF605" s="331"/>
      <c r="AG605" s="331"/>
      <c r="AH605" s="329">
        <f t="shared" ca="1" si="28"/>
        <v>46153</v>
      </c>
      <c r="AI605" s="330"/>
      <c r="AJ605" s="312" t="s">
        <v>5143</v>
      </c>
      <c r="AK605" s="312" t="s">
        <v>5149</v>
      </c>
    </row>
    <row r="606" spans="1:37" ht="23" hidden="1">
      <c r="A606" s="111">
        <v>1079</v>
      </c>
      <c r="B606" s="112">
        <v>14</v>
      </c>
      <c r="C606" s="113" t="s">
        <v>2029</v>
      </c>
      <c r="D606" s="147" t="s">
        <v>2030</v>
      </c>
      <c r="E606" s="114" t="s">
        <v>2031</v>
      </c>
      <c r="F606" s="115" t="s">
        <v>1011</v>
      </c>
      <c r="G606" s="115" t="s">
        <v>936</v>
      </c>
      <c r="H606" s="116">
        <v>13.7436904</v>
      </c>
      <c r="I606" s="116">
        <v>100.5897877</v>
      </c>
      <c r="J606" s="116" t="s">
        <v>890</v>
      </c>
      <c r="K606" s="117" t="s">
        <v>891</v>
      </c>
      <c r="L606" s="117" t="s">
        <v>891</v>
      </c>
      <c r="M606" s="127">
        <v>96898869</v>
      </c>
      <c r="N606" s="117" t="s">
        <v>892</v>
      </c>
      <c r="O606" s="117" t="s">
        <v>901</v>
      </c>
      <c r="P606" s="117" t="s">
        <v>902</v>
      </c>
      <c r="Q606" s="118">
        <v>80057501</v>
      </c>
      <c r="R606" s="119" t="s">
        <v>895</v>
      </c>
      <c r="S606" s="119" t="s">
        <v>895</v>
      </c>
      <c r="T606" s="222"/>
      <c r="U606" s="222"/>
      <c r="V606" s="222"/>
      <c r="W606" s="230"/>
      <c r="X606" s="331">
        <f t="shared" si="29"/>
        <v>0</v>
      </c>
      <c r="Y606" s="222"/>
      <c r="Z606" s="272">
        <f t="shared" si="27"/>
        <v>0</v>
      </c>
      <c r="AA606" s="331"/>
      <c r="AB606" s="331"/>
      <c r="AC606" s="331"/>
      <c r="AD606" s="331"/>
      <c r="AE606" s="331"/>
      <c r="AF606" s="331"/>
      <c r="AG606" s="331"/>
      <c r="AH606" s="241">
        <f t="shared" ca="1" si="28"/>
        <v>46153</v>
      </c>
      <c r="AI606" s="272"/>
      <c r="AJ606" s="222"/>
      <c r="AK606" s="222"/>
    </row>
    <row r="607" spans="1:37" ht="14.5" hidden="1">
      <c r="A607" s="111">
        <v>607</v>
      </c>
      <c r="B607" s="112">
        <v>5</v>
      </c>
      <c r="C607" s="122" t="s">
        <v>3636</v>
      </c>
      <c r="D607" s="160" t="s">
        <v>3637</v>
      </c>
      <c r="E607" s="156" t="s">
        <v>3638</v>
      </c>
      <c r="F607" s="117" t="s">
        <v>1011</v>
      </c>
      <c r="G607" s="148" t="s">
        <v>936</v>
      </c>
      <c r="H607" s="137" t="s">
        <v>3639</v>
      </c>
      <c r="I607" s="117">
        <v>100.58524300000001</v>
      </c>
      <c r="J607" s="116" t="s">
        <v>969</v>
      </c>
      <c r="K607" s="115" t="s">
        <v>1048</v>
      </c>
      <c r="L607" s="117" t="s">
        <v>3640</v>
      </c>
      <c r="M607" s="117">
        <v>96941779</v>
      </c>
      <c r="N607" s="117" t="s">
        <v>892</v>
      </c>
      <c r="O607" s="117" t="s">
        <v>901</v>
      </c>
      <c r="P607" s="117"/>
      <c r="Q607" s="119"/>
      <c r="R607" s="138"/>
      <c r="S607" s="119"/>
      <c r="T607" s="305" t="s">
        <v>5212</v>
      </c>
      <c r="U607" s="305" t="s">
        <v>5225</v>
      </c>
      <c r="V607" s="331">
        <v>45013</v>
      </c>
      <c r="W607" s="326">
        <v>4</v>
      </c>
      <c r="X607" s="331">
        <f t="shared" si="29"/>
        <v>45017</v>
      </c>
      <c r="Y607" s="331">
        <v>45022</v>
      </c>
      <c r="Z607" s="332">
        <f t="shared" si="27"/>
        <v>5</v>
      </c>
      <c r="AA607" s="331"/>
      <c r="AB607" s="331"/>
      <c r="AC607" s="331"/>
      <c r="AD607" s="331"/>
      <c r="AE607" s="331"/>
      <c r="AF607" s="331"/>
      <c r="AG607" s="331"/>
      <c r="AH607" s="331">
        <f t="shared" ca="1" si="28"/>
        <v>46153</v>
      </c>
      <c r="AI607" s="332"/>
      <c r="AJ607" s="312" t="s">
        <v>5143</v>
      </c>
      <c r="AK607" s="305"/>
    </row>
    <row r="608" spans="1:37" ht="23.25" hidden="1" customHeight="1">
      <c r="A608" s="111">
        <v>883</v>
      </c>
      <c r="B608" s="112">
        <v>15</v>
      </c>
      <c r="C608" s="113" t="s">
        <v>3662</v>
      </c>
      <c r="D608" s="147" t="s">
        <v>3663</v>
      </c>
      <c r="E608" s="114" t="s">
        <v>3664</v>
      </c>
      <c r="F608" s="115" t="s">
        <v>1011</v>
      </c>
      <c r="G608" s="115" t="s">
        <v>936</v>
      </c>
      <c r="H608" s="116">
        <v>13.748453</v>
      </c>
      <c r="I608" s="116">
        <v>100.56679699999999</v>
      </c>
      <c r="J608" s="115" t="s">
        <v>890</v>
      </c>
      <c r="K608" s="117" t="s">
        <v>891</v>
      </c>
      <c r="L608" s="117" t="s">
        <v>891</v>
      </c>
      <c r="M608" s="117">
        <v>97024696</v>
      </c>
      <c r="N608" s="121" t="s">
        <v>892</v>
      </c>
      <c r="O608" s="117" t="s">
        <v>901</v>
      </c>
      <c r="P608" s="117" t="s">
        <v>952</v>
      </c>
      <c r="Q608" s="125" t="s">
        <v>972</v>
      </c>
      <c r="R608" s="119" t="s">
        <v>895</v>
      </c>
      <c r="S608" s="119" t="s">
        <v>895</v>
      </c>
      <c r="T608" s="222"/>
      <c r="U608" s="222"/>
      <c r="V608" s="222"/>
      <c r="W608" s="230"/>
      <c r="X608" s="331">
        <f t="shared" si="29"/>
        <v>0</v>
      </c>
      <c r="Y608" s="222"/>
      <c r="Z608" s="272">
        <f t="shared" si="27"/>
        <v>0</v>
      </c>
      <c r="AA608" s="331"/>
      <c r="AB608" s="331"/>
      <c r="AC608" s="331"/>
      <c r="AD608" s="331"/>
      <c r="AE608" s="331"/>
      <c r="AF608" s="331"/>
      <c r="AG608" s="331"/>
      <c r="AH608" s="241">
        <f t="shared" ca="1" si="28"/>
        <v>46153</v>
      </c>
      <c r="AI608" s="272"/>
      <c r="AJ608" s="222"/>
      <c r="AK608" s="222"/>
    </row>
    <row r="609" spans="1:37" ht="23" hidden="1">
      <c r="A609" s="111">
        <v>700</v>
      </c>
      <c r="B609" s="112">
        <v>11</v>
      </c>
      <c r="C609" s="113" t="s">
        <v>3842</v>
      </c>
      <c r="D609" s="147" t="s">
        <v>3843</v>
      </c>
      <c r="E609" s="114" t="s">
        <v>3844</v>
      </c>
      <c r="F609" s="115" t="s">
        <v>1011</v>
      </c>
      <c r="G609" s="115" t="s">
        <v>936</v>
      </c>
      <c r="H609" s="116">
        <v>13.7451361</v>
      </c>
      <c r="I609" s="116">
        <v>100.5832642</v>
      </c>
      <c r="J609" s="116" t="s">
        <v>2097</v>
      </c>
      <c r="K609" s="116" t="s">
        <v>2097</v>
      </c>
      <c r="L609" s="117" t="s">
        <v>2098</v>
      </c>
      <c r="M609" s="116" t="s">
        <v>1347</v>
      </c>
      <c r="N609" s="121" t="s">
        <v>892</v>
      </c>
      <c r="O609" s="117" t="s">
        <v>901</v>
      </c>
      <c r="P609" s="117" t="s">
        <v>902</v>
      </c>
      <c r="Q609" s="125" t="s">
        <v>972</v>
      </c>
      <c r="R609" s="130" t="s">
        <v>972</v>
      </c>
      <c r="S609" s="125" t="s">
        <v>972</v>
      </c>
      <c r="T609" s="222"/>
      <c r="U609" s="222"/>
      <c r="V609" s="222"/>
      <c r="W609" s="230"/>
      <c r="X609" s="331">
        <f t="shared" si="29"/>
        <v>0</v>
      </c>
      <c r="Y609" s="222"/>
      <c r="Z609" s="272">
        <f t="shared" si="27"/>
        <v>0</v>
      </c>
      <c r="AA609" s="331"/>
      <c r="AB609" s="331"/>
      <c r="AC609" s="331"/>
      <c r="AD609" s="331"/>
      <c r="AE609" s="331"/>
      <c r="AF609" s="331"/>
      <c r="AG609" s="331"/>
      <c r="AH609" s="241">
        <f t="shared" ca="1" si="28"/>
        <v>46153</v>
      </c>
      <c r="AI609" s="272"/>
      <c r="AJ609" s="222"/>
      <c r="AK609" s="222"/>
    </row>
    <row r="610" spans="1:37" ht="23" hidden="1">
      <c r="A610" s="111">
        <v>701</v>
      </c>
      <c r="B610" s="128" t="s">
        <v>1155</v>
      </c>
      <c r="C610" s="113" t="s">
        <v>3845</v>
      </c>
      <c r="D610" s="147" t="s">
        <v>3846</v>
      </c>
      <c r="E610" s="114" t="s">
        <v>3847</v>
      </c>
      <c r="F610" s="115" t="s">
        <v>1011</v>
      </c>
      <c r="G610" s="115" t="s">
        <v>936</v>
      </c>
      <c r="H610" s="116">
        <v>13.745015</v>
      </c>
      <c r="I610" s="116">
        <v>100.583716</v>
      </c>
      <c r="J610" s="116" t="s">
        <v>969</v>
      </c>
      <c r="K610" s="116" t="s">
        <v>970</v>
      </c>
      <c r="L610" s="117" t="s">
        <v>3848</v>
      </c>
      <c r="M610" s="116" t="s">
        <v>1347</v>
      </c>
      <c r="N610" s="121" t="s">
        <v>892</v>
      </c>
      <c r="O610" s="117" t="s">
        <v>901</v>
      </c>
      <c r="P610" s="117" t="s">
        <v>902</v>
      </c>
      <c r="Q610" s="125" t="s">
        <v>972</v>
      </c>
      <c r="R610" s="125" t="s">
        <v>972</v>
      </c>
      <c r="S610" s="125" t="s">
        <v>972</v>
      </c>
      <c r="T610" s="222"/>
      <c r="U610" s="222"/>
      <c r="V610" s="222"/>
      <c r="W610" s="230"/>
      <c r="X610" s="331">
        <f t="shared" si="29"/>
        <v>0</v>
      </c>
      <c r="Y610" s="222"/>
      <c r="Z610" s="272">
        <f t="shared" si="27"/>
        <v>0</v>
      </c>
      <c r="AA610" s="331"/>
      <c r="AB610" s="331"/>
      <c r="AC610" s="331"/>
      <c r="AD610" s="331"/>
      <c r="AE610" s="331"/>
      <c r="AF610" s="331"/>
      <c r="AG610" s="331"/>
      <c r="AH610" s="241">
        <f t="shared" ca="1" si="28"/>
        <v>46153</v>
      </c>
      <c r="AI610" s="272"/>
      <c r="AJ610" s="222"/>
      <c r="AK610" s="222"/>
    </row>
    <row r="611" spans="1:37" ht="23" hidden="1">
      <c r="A611" s="111">
        <v>790</v>
      </c>
      <c r="B611" s="112" t="s">
        <v>1459</v>
      </c>
      <c r="C611" s="122" t="s">
        <v>4077</v>
      </c>
      <c r="D611" s="147" t="s">
        <v>4078</v>
      </c>
      <c r="E611" s="114" t="s">
        <v>4079</v>
      </c>
      <c r="F611" s="115" t="s">
        <v>1011</v>
      </c>
      <c r="G611" s="115" t="s">
        <v>936</v>
      </c>
      <c r="H611" s="116">
        <v>13.748253800000001</v>
      </c>
      <c r="I611" s="116">
        <v>100.5684121</v>
      </c>
      <c r="J611" s="116" t="s">
        <v>2097</v>
      </c>
      <c r="K611" s="116" t="s">
        <v>2097</v>
      </c>
      <c r="L611" s="117" t="s">
        <v>2132</v>
      </c>
      <c r="M611" s="116" t="s">
        <v>1347</v>
      </c>
      <c r="N611" s="121" t="s">
        <v>892</v>
      </c>
      <c r="O611" s="117" t="s">
        <v>901</v>
      </c>
      <c r="P611" s="117" t="s">
        <v>902</v>
      </c>
      <c r="Q611" s="125" t="s">
        <v>972</v>
      </c>
      <c r="R611" s="125" t="s">
        <v>972</v>
      </c>
      <c r="S611" s="125" t="s">
        <v>972</v>
      </c>
      <c r="T611" s="222"/>
      <c r="U611" s="222"/>
      <c r="V611" s="222"/>
      <c r="W611" s="230"/>
      <c r="X611" s="331">
        <f t="shared" si="29"/>
        <v>0</v>
      </c>
      <c r="Y611" s="222"/>
      <c r="Z611" s="272">
        <f t="shared" si="27"/>
        <v>0</v>
      </c>
      <c r="AA611" s="331"/>
      <c r="AB611" s="331"/>
      <c r="AC611" s="331"/>
      <c r="AD611" s="331"/>
      <c r="AE611" s="331"/>
      <c r="AF611" s="331"/>
      <c r="AG611" s="331"/>
      <c r="AH611" s="241">
        <f t="shared" ca="1" si="28"/>
        <v>46153</v>
      </c>
      <c r="AI611" s="272"/>
      <c r="AJ611" s="222"/>
      <c r="AK611" s="222"/>
    </row>
    <row r="612" spans="1:37" ht="23" hidden="1">
      <c r="A612" s="111">
        <v>846</v>
      </c>
      <c r="B612" s="112">
        <v>12</v>
      </c>
      <c r="C612" s="113" t="s">
        <v>4196</v>
      </c>
      <c r="D612" s="147" t="s">
        <v>4197</v>
      </c>
      <c r="E612" s="114" t="s">
        <v>4198</v>
      </c>
      <c r="F612" s="115" t="s">
        <v>1011</v>
      </c>
      <c r="G612" s="115" t="s">
        <v>936</v>
      </c>
      <c r="H612" s="116">
        <v>13.745296</v>
      </c>
      <c r="I612" s="116">
        <v>100.5826225</v>
      </c>
      <c r="J612" s="116" t="s">
        <v>2097</v>
      </c>
      <c r="K612" s="116" t="s">
        <v>2097</v>
      </c>
      <c r="L612" s="117" t="s">
        <v>2098</v>
      </c>
      <c r="M612" s="116" t="s">
        <v>1347</v>
      </c>
      <c r="N612" s="121" t="s">
        <v>892</v>
      </c>
      <c r="O612" s="136" t="s">
        <v>901</v>
      </c>
      <c r="P612" s="117" t="s">
        <v>902</v>
      </c>
      <c r="Q612" s="125" t="s">
        <v>972</v>
      </c>
      <c r="R612" s="125" t="s">
        <v>972</v>
      </c>
      <c r="S612" s="125" t="s">
        <v>972</v>
      </c>
      <c r="T612" s="222"/>
      <c r="U612" s="222"/>
      <c r="V612" s="222"/>
      <c r="W612" s="230"/>
      <c r="X612" s="331">
        <f t="shared" si="29"/>
        <v>0</v>
      </c>
      <c r="Y612" s="222"/>
      <c r="Z612" s="272">
        <f t="shared" si="27"/>
        <v>0</v>
      </c>
      <c r="AA612" s="331"/>
      <c r="AB612" s="331"/>
      <c r="AC612" s="331"/>
      <c r="AD612" s="331"/>
      <c r="AE612" s="331"/>
      <c r="AF612" s="331"/>
      <c r="AG612" s="331"/>
      <c r="AH612" s="241">
        <f t="shared" ca="1" si="28"/>
        <v>46153</v>
      </c>
      <c r="AI612" s="272"/>
      <c r="AJ612" s="222"/>
      <c r="AK612" s="222"/>
    </row>
    <row r="613" spans="1:37" ht="23" hidden="1">
      <c r="A613" s="111">
        <v>943</v>
      </c>
      <c r="B613" s="112" t="s">
        <v>1818</v>
      </c>
      <c r="C613" s="113" t="s">
        <v>4482</v>
      </c>
      <c r="D613" s="147" t="s">
        <v>4483</v>
      </c>
      <c r="E613" s="114" t="s">
        <v>4484</v>
      </c>
      <c r="F613" s="115" t="s">
        <v>1011</v>
      </c>
      <c r="G613" s="115" t="s">
        <v>957</v>
      </c>
      <c r="H613" s="116">
        <v>13.752276</v>
      </c>
      <c r="I613" s="131">
        <v>100.61787</v>
      </c>
      <c r="J613" s="116" t="s">
        <v>969</v>
      </c>
      <c r="K613" s="115" t="s">
        <v>1048</v>
      </c>
      <c r="L613" s="117" t="s">
        <v>4485</v>
      </c>
      <c r="M613" s="117">
        <v>96929605</v>
      </c>
      <c r="N613" s="121" t="s">
        <v>892</v>
      </c>
      <c r="O613" s="117" t="s">
        <v>901</v>
      </c>
      <c r="P613" s="117" t="s">
        <v>902</v>
      </c>
      <c r="Q613" s="125" t="s">
        <v>972</v>
      </c>
      <c r="R613" s="130" t="s">
        <v>972</v>
      </c>
      <c r="S613" s="125" t="s">
        <v>972</v>
      </c>
      <c r="T613" s="222"/>
      <c r="U613" s="222"/>
      <c r="V613" s="222"/>
      <c r="W613" s="230"/>
      <c r="X613" s="331">
        <f t="shared" si="29"/>
        <v>0</v>
      </c>
      <c r="Y613" s="222"/>
      <c r="Z613" s="272">
        <f t="shared" si="27"/>
        <v>0</v>
      </c>
      <c r="AA613" s="331"/>
      <c r="AB613" s="331"/>
      <c r="AC613" s="331"/>
      <c r="AD613" s="331"/>
      <c r="AE613" s="331"/>
      <c r="AF613" s="331"/>
      <c r="AG613" s="331"/>
      <c r="AH613" s="241">
        <f t="shared" ca="1" si="28"/>
        <v>46153</v>
      </c>
      <c r="AI613" s="272"/>
      <c r="AJ613" s="222"/>
      <c r="AK613" s="222"/>
    </row>
    <row r="614" spans="1:37" ht="23.25" hidden="1" customHeight="1">
      <c r="A614" s="111">
        <v>402</v>
      </c>
      <c r="B614" s="112">
        <v>10</v>
      </c>
      <c r="C614" s="113" t="s">
        <v>4578</v>
      </c>
      <c r="D614" s="147" t="s">
        <v>4579</v>
      </c>
      <c r="E614" s="114" t="s">
        <v>4580</v>
      </c>
      <c r="F614" s="115" t="s">
        <v>1011</v>
      </c>
      <c r="G614" s="115" t="s">
        <v>936</v>
      </c>
      <c r="H614" s="116">
        <v>13.746585</v>
      </c>
      <c r="I614" s="116">
        <v>100.57628800000001</v>
      </c>
      <c r="J614" s="115" t="s">
        <v>890</v>
      </c>
      <c r="K614" s="117" t="s">
        <v>891</v>
      </c>
      <c r="L614" s="117" t="s">
        <v>891</v>
      </c>
      <c r="M614" s="121">
        <v>97067968</v>
      </c>
      <c r="N614" s="121" t="s">
        <v>972</v>
      </c>
      <c r="O614" s="117" t="s">
        <v>901</v>
      </c>
      <c r="P614" s="117" t="s">
        <v>1876</v>
      </c>
      <c r="Q614" s="125" t="s">
        <v>972</v>
      </c>
      <c r="R614" s="119"/>
      <c r="S614" s="119" t="s">
        <v>4581</v>
      </c>
      <c r="T614" s="222"/>
      <c r="U614" s="222"/>
      <c r="V614" s="222"/>
      <c r="W614" s="230"/>
      <c r="X614" s="331">
        <f t="shared" si="29"/>
        <v>0</v>
      </c>
      <c r="Y614" s="222"/>
      <c r="Z614" s="272">
        <f t="shared" si="27"/>
        <v>0</v>
      </c>
      <c r="AA614" s="331"/>
      <c r="AB614" s="331"/>
      <c r="AC614" s="331"/>
      <c r="AD614" s="331"/>
      <c r="AE614" s="331"/>
      <c r="AF614" s="331"/>
      <c r="AG614" s="331"/>
      <c r="AH614" s="241">
        <f t="shared" ca="1" si="28"/>
        <v>46153</v>
      </c>
      <c r="AI614" s="272"/>
      <c r="AJ614" s="222"/>
      <c r="AK614" s="222"/>
    </row>
    <row r="615" spans="1:37" ht="23" hidden="1">
      <c r="A615" s="111">
        <v>990</v>
      </c>
      <c r="B615" s="112" t="s">
        <v>985</v>
      </c>
      <c r="C615" s="113" t="s">
        <v>4595</v>
      </c>
      <c r="D615" s="147" t="s">
        <v>4596</v>
      </c>
      <c r="E615" s="114" t="s">
        <v>4597</v>
      </c>
      <c r="F615" s="115" t="s">
        <v>1011</v>
      </c>
      <c r="G615" s="115" t="s">
        <v>936</v>
      </c>
      <c r="H615" s="116">
        <v>13.744115000000001</v>
      </c>
      <c r="I615" s="116">
        <v>100.587203</v>
      </c>
      <c r="J615" s="115" t="s">
        <v>2108</v>
      </c>
      <c r="K615" s="117" t="s">
        <v>2109</v>
      </c>
      <c r="L615" s="117" t="s">
        <v>2110</v>
      </c>
      <c r="M615" s="121" t="s">
        <v>972</v>
      </c>
      <c r="N615" s="121" t="s">
        <v>972</v>
      </c>
      <c r="O615" s="136" t="s">
        <v>901</v>
      </c>
      <c r="P615" s="118" t="s">
        <v>1876</v>
      </c>
      <c r="Q615" s="125" t="s">
        <v>972</v>
      </c>
      <c r="R615" s="125" t="s">
        <v>972</v>
      </c>
      <c r="S615" s="125" t="s">
        <v>972</v>
      </c>
      <c r="T615" s="222"/>
      <c r="U615" s="222"/>
      <c r="V615" s="222"/>
      <c r="W615" s="230"/>
      <c r="X615" s="331">
        <f t="shared" si="29"/>
        <v>0</v>
      </c>
      <c r="Y615" s="222"/>
      <c r="Z615" s="272">
        <f t="shared" si="27"/>
        <v>0</v>
      </c>
      <c r="AA615" s="331"/>
      <c r="AB615" s="331"/>
      <c r="AC615" s="331"/>
      <c r="AD615" s="331"/>
      <c r="AE615" s="331"/>
      <c r="AF615" s="331"/>
      <c r="AG615" s="331"/>
      <c r="AH615" s="241">
        <f t="shared" ca="1" si="28"/>
        <v>46153</v>
      </c>
      <c r="AI615" s="272"/>
      <c r="AJ615" s="222"/>
      <c r="AK615" s="222"/>
    </row>
    <row r="616" spans="1:37" s="345" customFormat="1" ht="23" hidden="1">
      <c r="A616" s="111">
        <v>1096</v>
      </c>
      <c r="B616" s="112">
        <v>4</v>
      </c>
      <c r="C616" s="113" t="s">
        <v>4838</v>
      </c>
      <c r="D616" s="147" t="s">
        <v>4839</v>
      </c>
      <c r="E616" s="114" t="s">
        <v>4840</v>
      </c>
      <c r="F616" s="115" t="s">
        <v>1011</v>
      </c>
      <c r="G616" s="115" t="s">
        <v>936</v>
      </c>
      <c r="H616" s="115">
        <v>13.742323799999999</v>
      </c>
      <c r="I616" s="115">
        <v>100.59591399999999</v>
      </c>
      <c r="J616" s="115" t="s">
        <v>2108</v>
      </c>
      <c r="K616" s="117" t="s">
        <v>2109</v>
      </c>
      <c r="L616" s="117" t="s">
        <v>2110</v>
      </c>
      <c r="M616" s="121" t="s">
        <v>972</v>
      </c>
      <c r="N616" s="121" t="s">
        <v>972</v>
      </c>
      <c r="O616" s="117" t="s">
        <v>901</v>
      </c>
      <c r="P616" s="117" t="s">
        <v>1876</v>
      </c>
      <c r="Q616" s="125" t="s">
        <v>972</v>
      </c>
      <c r="R616" s="125" t="s">
        <v>972</v>
      </c>
      <c r="S616" s="125" t="s">
        <v>972</v>
      </c>
      <c r="T616" s="222"/>
      <c r="U616" s="222"/>
      <c r="V616" s="222"/>
      <c r="W616" s="230"/>
      <c r="X616" s="331">
        <f t="shared" si="29"/>
        <v>0</v>
      </c>
      <c r="Y616" s="222"/>
      <c r="Z616" s="272">
        <f t="shared" si="27"/>
        <v>0</v>
      </c>
      <c r="AA616" s="331"/>
      <c r="AB616" s="331"/>
      <c r="AC616" s="331"/>
      <c r="AD616" s="331"/>
      <c r="AE616" s="331"/>
      <c r="AF616" s="331"/>
      <c r="AG616" s="331"/>
      <c r="AH616" s="241">
        <f t="shared" ca="1" si="28"/>
        <v>46153</v>
      </c>
      <c r="AI616" s="272"/>
      <c r="AJ616" s="222"/>
      <c r="AK616" s="222"/>
    </row>
    <row r="617" spans="1:37" ht="23" hidden="1">
      <c r="A617" s="111">
        <v>1097</v>
      </c>
      <c r="B617" s="164" t="s">
        <v>979</v>
      </c>
      <c r="C617" s="166" t="s">
        <v>4841</v>
      </c>
      <c r="D617" s="147" t="s">
        <v>5379</v>
      </c>
      <c r="E617" s="114" t="s">
        <v>4843</v>
      </c>
      <c r="F617" s="115" t="s">
        <v>1011</v>
      </c>
      <c r="G617" s="115" t="s">
        <v>936</v>
      </c>
      <c r="H617" s="131">
        <v>13.743690000000001</v>
      </c>
      <c r="I617" s="116">
        <v>100.58902500000001</v>
      </c>
      <c r="J617" s="115" t="s">
        <v>2108</v>
      </c>
      <c r="K617" s="117" t="s">
        <v>2109</v>
      </c>
      <c r="L617" s="117" t="s">
        <v>2110</v>
      </c>
      <c r="M617" s="121" t="s">
        <v>972</v>
      </c>
      <c r="N617" s="121" t="s">
        <v>972</v>
      </c>
      <c r="O617" s="136" t="s">
        <v>901</v>
      </c>
      <c r="P617" s="117" t="s">
        <v>1876</v>
      </c>
      <c r="Q617" s="125" t="s">
        <v>972</v>
      </c>
      <c r="R617" s="125" t="s">
        <v>972</v>
      </c>
      <c r="S617" s="125" t="s">
        <v>972</v>
      </c>
      <c r="T617" s="222"/>
      <c r="U617" s="222"/>
      <c r="V617" s="222"/>
      <c r="W617" s="230"/>
      <c r="X617" s="331">
        <f t="shared" si="29"/>
        <v>0</v>
      </c>
      <c r="Y617" s="222"/>
      <c r="Z617" s="272">
        <f t="shared" si="27"/>
        <v>0</v>
      </c>
      <c r="AA617" s="331"/>
      <c r="AB617" s="331"/>
      <c r="AC617" s="331"/>
      <c r="AD617" s="331"/>
      <c r="AE617" s="331"/>
      <c r="AF617" s="331"/>
      <c r="AG617" s="331"/>
      <c r="AH617" s="241">
        <f t="shared" ca="1" si="28"/>
        <v>46153</v>
      </c>
      <c r="AI617" s="272"/>
      <c r="AJ617" s="222"/>
      <c r="AK617" s="222"/>
    </row>
    <row r="618" spans="1:37" ht="16.5" hidden="1" customHeight="1">
      <c r="A618" s="111">
        <v>1151</v>
      </c>
      <c r="B618" s="164" t="s">
        <v>1553</v>
      </c>
      <c r="C618" s="165" t="s">
        <v>4990</v>
      </c>
      <c r="D618" s="147" t="s">
        <v>4991</v>
      </c>
      <c r="E618" s="114" t="s">
        <v>4992</v>
      </c>
      <c r="F618" s="115" t="s">
        <v>1011</v>
      </c>
      <c r="G618" s="115" t="s">
        <v>936</v>
      </c>
      <c r="H618" s="116">
        <v>13.745827</v>
      </c>
      <c r="I618" s="116">
        <v>100.579615</v>
      </c>
      <c r="J618" s="116" t="s">
        <v>969</v>
      </c>
      <c r="K618" s="115" t="s">
        <v>1048</v>
      </c>
      <c r="L618" s="117" t="s">
        <v>4993</v>
      </c>
      <c r="M618" s="117">
        <v>96924145</v>
      </c>
      <c r="N618" s="121" t="s">
        <v>892</v>
      </c>
      <c r="O618" s="136" t="s">
        <v>901</v>
      </c>
      <c r="P618" s="117" t="s">
        <v>1876</v>
      </c>
      <c r="Q618" s="125" t="s">
        <v>972</v>
      </c>
      <c r="R618" s="125" t="s">
        <v>972</v>
      </c>
      <c r="S618" s="125" t="s">
        <v>972</v>
      </c>
      <c r="T618" s="222"/>
      <c r="U618" s="222"/>
      <c r="V618" s="222"/>
      <c r="W618" s="230"/>
      <c r="X618" s="331">
        <f t="shared" si="29"/>
        <v>0</v>
      </c>
      <c r="Y618" s="222"/>
      <c r="Z618" s="272">
        <f t="shared" si="27"/>
        <v>0</v>
      </c>
      <c r="AA618" s="331"/>
      <c r="AB618" s="331"/>
      <c r="AC618" s="331"/>
      <c r="AD618" s="331"/>
      <c r="AE618" s="331"/>
      <c r="AF618" s="331"/>
      <c r="AG618" s="331"/>
      <c r="AH618" s="241">
        <f t="shared" ca="1" si="28"/>
        <v>46153</v>
      </c>
      <c r="AI618" s="272"/>
      <c r="AJ618" s="222"/>
      <c r="AK618" s="222"/>
    </row>
    <row r="619" spans="1:37" ht="23" hidden="1">
      <c r="A619" s="111">
        <v>1152</v>
      </c>
      <c r="B619" s="164">
        <v>6</v>
      </c>
      <c r="C619" s="165" t="s">
        <v>4994</v>
      </c>
      <c r="D619" s="147" t="s">
        <v>4995</v>
      </c>
      <c r="E619" s="114" t="s">
        <v>4996</v>
      </c>
      <c r="F619" s="115" t="s">
        <v>1011</v>
      </c>
      <c r="G619" s="115" t="s">
        <v>936</v>
      </c>
      <c r="H619" s="141">
        <v>13.7458686</v>
      </c>
      <c r="I619" s="141">
        <v>100.5794428</v>
      </c>
      <c r="J619" s="116" t="s">
        <v>969</v>
      </c>
      <c r="K619" s="115" t="s">
        <v>1048</v>
      </c>
      <c r="L619" s="117" t="s">
        <v>4993</v>
      </c>
      <c r="M619" s="117">
        <v>96924145</v>
      </c>
      <c r="N619" s="121" t="s">
        <v>892</v>
      </c>
      <c r="O619" s="117" t="s">
        <v>901</v>
      </c>
      <c r="P619" s="117" t="s">
        <v>1876</v>
      </c>
      <c r="Q619" s="125" t="s">
        <v>972</v>
      </c>
      <c r="R619" s="125" t="s">
        <v>972</v>
      </c>
      <c r="S619" s="125" t="s">
        <v>972</v>
      </c>
      <c r="T619" s="222"/>
      <c r="U619" s="222"/>
      <c r="V619" s="222"/>
      <c r="W619" s="230"/>
      <c r="X619" s="331">
        <f t="shared" si="29"/>
        <v>0</v>
      </c>
      <c r="Y619" s="222"/>
      <c r="Z619" s="272">
        <f t="shared" si="27"/>
        <v>0</v>
      </c>
      <c r="AA619" s="331"/>
      <c r="AB619" s="331"/>
      <c r="AC619" s="331"/>
      <c r="AD619" s="331"/>
      <c r="AE619" s="331"/>
      <c r="AF619" s="331"/>
      <c r="AG619" s="331"/>
      <c r="AH619" s="241">
        <f t="shared" ca="1" si="28"/>
        <v>46153</v>
      </c>
      <c r="AI619" s="272"/>
      <c r="AJ619" s="222"/>
      <c r="AK619" s="222"/>
    </row>
    <row r="620" spans="1:37" ht="16.5" hidden="1" customHeight="1">
      <c r="A620" s="111">
        <v>1153</v>
      </c>
      <c r="B620" s="164">
        <v>8</v>
      </c>
      <c r="C620" s="165" t="s">
        <v>4997</v>
      </c>
      <c r="D620" s="472" t="s">
        <v>4998</v>
      </c>
      <c r="E620" s="473" t="s">
        <v>4999</v>
      </c>
      <c r="F620" s="482" t="s">
        <v>1011</v>
      </c>
      <c r="G620" s="482" t="s">
        <v>936</v>
      </c>
      <c r="H620" s="486">
        <v>13.74729</v>
      </c>
      <c r="I620" s="486">
        <v>100.57389619999999</v>
      </c>
      <c r="J620" s="116" t="s">
        <v>969</v>
      </c>
      <c r="K620" s="115" t="s">
        <v>1048</v>
      </c>
      <c r="L620" s="117" t="s">
        <v>5000</v>
      </c>
      <c r="M620" s="117">
        <v>96930915</v>
      </c>
      <c r="N620" s="121" t="s">
        <v>892</v>
      </c>
      <c r="O620" s="117" t="s">
        <v>901</v>
      </c>
      <c r="P620" s="117" t="s">
        <v>1876</v>
      </c>
      <c r="Q620" s="125" t="s">
        <v>972</v>
      </c>
      <c r="R620" s="130" t="s">
        <v>972</v>
      </c>
      <c r="S620" s="125" t="s">
        <v>972</v>
      </c>
      <c r="T620" s="222"/>
      <c r="U620" s="222"/>
      <c r="V620" s="222"/>
      <c r="W620" s="230"/>
      <c r="X620" s="331">
        <f t="shared" si="29"/>
        <v>0</v>
      </c>
      <c r="Y620" s="222"/>
      <c r="Z620" s="272">
        <f t="shared" si="27"/>
        <v>0</v>
      </c>
      <c r="AA620" s="331"/>
      <c r="AB620" s="331"/>
      <c r="AC620" s="331"/>
      <c r="AD620" s="331"/>
      <c r="AE620" s="331"/>
      <c r="AF620" s="331"/>
      <c r="AG620" s="331"/>
      <c r="AH620" s="241">
        <f t="shared" ca="1" si="28"/>
        <v>46153</v>
      </c>
      <c r="AI620" s="272"/>
      <c r="AJ620" s="222"/>
      <c r="AK620" s="222"/>
    </row>
    <row r="621" spans="1:37" ht="23.25" hidden="1" customHeight="1">
      <c r="A621" s="111">
        <v>1154</v>
      </c>
      <c r="B621" s="164">
        <v>9</v>
      </c>
      <c r="C621" s="166" t="s">
        <v>5001</v>
      </c>
      <c r="D621" s="147" t="s">
        <v>5002</v>
      </c>
      <c r="E621" s="114" t="s">
        <v>5003</v>
      </c>
      <c r="F621" s="115" t="s">
        <v>1011</v>
      </c>
      <c r="G621" s="115" t="s">
        <v>936</v>
      </c>
      <c r="H621" s="116">
        <v>13.74729</v>
      </c>
      <c r="I621" s="116">
        <v>100.57389619999999</v>
      </c>
      <c r="J621" s="116" t="s">
        <v>969</v>
      </c>
      <c r="K621" s="115" t="s">
        <v>1048</v>
      </c>
      <c r="L621" s="117" t="s">
        <v>5000</v>
      </c>
      <c r="M621" s="121">
        <v>96930915</v>
      </c>
      <c r="N621" s="121" t="s">
        <v>892</v>
      </c>
      <c r="O621" s="117" t="s">
        <v>901</v>
      </c>
      <c r="P621" s="117" t="s">
        <v>1876</v>
      </c>
      <c r="Q621" s="125" t="s">
        <v>972</v>
      </c>
      <c r="R621" s="125" t="s">
        <v>972</v>
      </c>
      <c r="S621" s="125" t="s">
        <v>972</v>
      </c>
      <c r="T621" s="222"/>
      <c r="U621" s="222"/>
      <c r="V621" s="222"/>
      <c r="W621" s="230"/>
      <c r="X621" s="331">
        <f t="shared" si="29"/>
        <v>0</v>
      </c>
      <c r="Y621" s="222"/>
      <c r="Z621" s="272">
        <f t="shared" si="27"/>
        <v>0</v>
      </c>
      <c r="AA621" s="331"/>
      <c r="AB621" s="331"/>
      <c r="AC621" s="331"/>
      <c r="AD621" s="331"/>
      <c r="AE621" s="331"/>
      <c r="AF621" s="331"/>
      <c r="AG621" s="331"/>
      <c r="AH621" s="241">
        <f t="shared" ca="1" si="28"/>
        <v>46153</v>
      </c>
      <c r="AI621" s="272"/>
      <c r="AJ621" s="222"/>
      <c r="AK621" s="222"/>
    </row>
    <row r="622" spans="1:37" ht="24" hidden="1" customHeight="1">
      <c r="A622" s="111">
        <v>985</v>
      </c>
      <c r="B622" s="164">
        <v>9</v>
      </c>
      <c r="C622" s="166" t="s">
        <v>4585</v>
      </c>
      <c r="D622" s="147" t="s">
        <v>4586</v>
      </c>
      <c r="E622" s="114" t="s">
        <v>4587</v>
      </c>
      <c r="F622" s="115" t="s">
        <v>4588</v>
      </c>
      <c r="G622" s="115" t="s">
        <v>936</v>
      </c>
      <c r="H622" s="116">
        <v>13.747071999999999</v>
      </c>
      <c r="I622" s="116">
        <v>100.598254</v>
      </c>
      <c r="J622" s="115" t="s">
        <v>2108</v>
      </c>
      <c r="K622" s="117" t="s">
        <v>2109</v>
      </c>
      <c r="L622" s="117" t="s">
        <v>2110</v>
      </c>
      <c r="M622" s="121" t="s">
        <v>972</v>
      </c>
      <c r="N622" s="121" t="s">
        <v>972</v>
      </c>
      <c r="O622" s="117" t="s">
        <v>901</v>
      </c>
      <c r="P622" s="117" t="s">
        <v>1876</v>
      </c>
      <c r="Q622" s="125" t="s">
        <v>972</v>
      </c>
      <c r="R622" s="125" t="s">
        <v>972</v>
      </c>
      <c r="S622" s="130" t="s">
        <v>972</v>
      </c>
      <c r="T622" s="222"/>
      <c r="U622" s="222"/>
      <c r="V622" s="222"/>
      <c r="W622" s="230"/>
      <c r="X622" s="331">
        <f t="shared" si="29"/>
        <v>0</v>
      </c>
      <c r="Y622" s="222"/>
      <c r="Z622" s="272">
        <f t="shared" si="27"/>
        <v>0</v>
      </c>
      <c r="AA622" s="331"/>
      <c r="AB622" s="331"/>
      <c r="AC622" s="331"/>
      <c r="AD622" s="331"/>
      <c r="AE622" s="331"/>
      <c r="AF622" s="331"/>
      <c r="AG622" s="331"/>
      <c r="AH622" s="241">
        <f t="shared" ca="1" si="28"/>
        <v>46153</v>
      </c>
      <c r="AI622" s="272"/>
      <c r="AJ622" s="222"/>
      <c r="AK622" s="222"/>
    </row>
    <row r="623" spans="1:37" ht="23" hidden="1">
      <c r="A623" s="111">
        <v>434</v>
      </c>
      <c r="B623" s="164">
        <v>10</v>
      </c>
      <c r="C623" s="165" t="s">
        <v>3193</v>
      </c>
      <c r="D623" s="147" t="s">
        <v>3194</v>
      </c>
      <c r="E623" s="114" t="s">
        <v>3195</v>
      </c>
      <c r="F623" s="115" t="s">
        <v>3196</v>
      </c>
      <c r="G623" s="115" t="s">
        <v>936</v>
      </c>
      <c r="H623" s="116">
        <v>13.7510724</v>
      </c>
      <c r="I623" s="116">
        <v>100.5692109</v>
      </c>
      <c r="J623" s="115" t="s">
        <v>2108</v>
      </c>
      <c r="K623" s="117" t="s">
        <v>2109</v>
      </c>
      <c r="L623" s="117" t="s">
        <v>2110</v>
      </c>
      <c r="M623" s="121" t="s">
        <v>972</v>
      </c>
      <c r="N623" s="121" t="s">
        <v>972</v>
      </c>
      <c r="O623" s="136" t="s">
        <v>901</v>
      </c>
      <c r="P623" s="121" t="s">
        <v>1876</v>
      </c>
      <c r="Q623" s="125" t="s">
        <v>972</v>
      </c>
      <c r="R623" s="130" t="s">
        <v>972</v>
      </c>
      <c r="S623" s="125" t="s">
        <v>972</v>
      </c>
      <c r="T623" s="222"/>
      <c r="U623" s="222"/>
      <c r="V623" s="222"/>
      <c r="W623" s="230"/>
      <c r="X623" s="331">
        <f t="shared" si="29"/>
        <v>0</v>
      </c>
      <c r="Y623" s="222"/>
      <c r="Z623" s="272">
        <f t="shared" si="27"/>
        <v>0</v>
      </c>
      <c r="AA623" s="331"/>
      <c r="AB623" s="331"/>
      <c r="AC623" s="331"/>
      <c r="AD623" s="331"/>
      <c r="AE623" s="331"/>
      <c r="AF623" s="331"/>
      <c r="AG623" s="331"/>
      <c r="AH623" s="241">
        <f t="shared" ca="1" si="28"/>
        <v>46153</v>
      </c>
      <c r="AI623" s="272"/>
      <c r="AJ623" s="222"/>
      <c r="AK623" s="222"/>
    </row>
    <row r="624" spans="1:37" ht="23.25" hidden="1" customHeight="1">
      <c r="A624" s="111">
        <v>612</v>
      </c>
      <c r="B624" s="164">
        <v>11</v>
      </c>
      <c r="C624" s="165" t="s">
        <v>3656</v>
      </c>
      <c r="D624" s="147" t="s">
        <v>3657</v>
      </c>
      <c r="E624" s="114" t="s">
        <v>3658</v>
      </c>
      <c r="F624" s="115" t="s">
        <v>3196</v>
      </c>
      <c r="G624" s="115" t="s">
        <v>936</v>
      </c>
      <c r="H624" s="116">
        <v>13.75516</v>
      </c>
      <c r="I624" s="116">
        <v>100.56987700000001</v>
      </c>
      <c r="J624" s="116" t="s">
        <v>2097</v>
      </c>
      <c r="K624" s="116" t="s">
        <v>2097</v>
      </c>
      <c r="L624" s="117" t="s">
        <v>2844</v>
      </c>
      <c r="M624" s="116" t="s">
        <v>1347</v>
      </c>
      <c r="N624" s="121" t="s">
        <v>892</v>
      </c>
      <c r="O624" s="117" t="s">
        <v>901</v>
      </c>
      <c r="P624" s="117" t="s">
        <v>902</v>
      </c>
      <c r="Q624" s="125" t="s">
        <v>972</v>
      </c>
      <c r="R624" s="130" t="s">
        <v>972</v>
      </c>
      <c r="S624" s="125" t="s">
        <v>972</v>
      </c>
      <c r="T624" s="222"/>
      <c r="U624" s="222"/>
      <c r="V624" s="222"/>
      <c r="W624" s="230"/>
      <c r="X624" s="331">
        <f t="shared" si="29"/>
        <v>0</v>
      </c>
      <c r="Y624" s="222"/>
      <c r="Z624" s="272">
        <f t="shared" si="27"/>
        <v>0</v>
      </c>
      <c r="AA624" s="331"/>
      <c r="AB624" s="331"/>
      <c r="AC624" s="331"/>
      <c r="AD624" s="331"/>
      <c r="AE624" s="331"/>
      <c r="AF624" s="331"/>
      <c r="AG624" s="331"/>
      <c r="AH624" s="241">
        <f t="shared" ca="1" si="28"/>
        <v>46153</v>
      </c>
      <c r="AI624" s="272"/>
      <c r="AJ624" s="222"/>
      <c r="AK624" s="222"/>
    </row>
    <row r="625" spans="1:37" ht="23.25" hidden="1" customHeight="1">
      <c r="A625" s="111">
        <v>156</v>
      </c>
      <c r="B625" s="164" t="s">
        <v>1071</v>
      </c>
      <c r="C625" s="166" t="s">
        <v>1072</v>
      </c>
      <c r="D625" s="147" t="s">
        <v>1073</v>
      </c>
      <c r="E625" s="123" t="s">
        <v>1074</v>
      </c>
      <c r="F625" s="116" t="s">
        <v>1075</v>
      </c>
      <c r="G625" s="116" t="s">
        <v>990</v>
      </c>
      <c r="H625" s="117">
        <v>13.7441171</v>
      </c>
      <c r="I625" s="117">
        <v>100.54230769999999</v>
      </c>
      <c r="J625" s="121" t="s">
        <v>890</v>
      </c>
      <c r="K625" s="121" t="s">
        <v>891</v>
      </c>
      <c r="L625" s="121" t="s">
        <v>891</v>
      </c>
      <c r="M625" s="124">
        <v>96890816</v>
      </c>
      <c r="N625" s="121" t="s">
        <v>1050</v>
      </c>
      <c r="O625" s="121"/>
      <c r="P625" s="127" t="s">
        <v>1076</v>
      </c>
      <c r="Q625" s="118">
        <v>80057501</v>
      </c>
      <c r="R625" s="119" t="s">
        <v>895</v>
      </c>
      <c r="S625" s="119" t="s">
        <v>895</v>
      </c>
      <c r="T625" s="222"/>
      <c r="U625" s="222"/>
      <c r="V625" s="222"/>
      <c r="W625" s="230"/>
      <c r="X625" s="331">
        <f t="shared" si="29"/>
        <v>0</v>
      </c>
      <c r="Y625" s="222"/>
      <c r="Z625" s="272">
        <f t="shared" si="27"/>
        <v>0</v>
      </c>
      <c r="AA625" s="331"/>
      <c r="AB625" s="331"/>
      <c r="AC625" s="331"/>
      <c r="AD625" s="331"/>
      <c r="AE625" s="331"/>
      <c r="AF625" s="331"/>
      <c r="AG625" s="331"/>
      <c r="AH625" s="241">
        <f t="shared" ca="1" si="28"/>
        <v>46153</v>
      </c>
      <c r="AI625" s="272"/>
      <c r="AJ625" s="222"/>
      <c r="AK625" s="222"/>
    </row>
    <row r="626" spans="1:37" ht="23.25" hidden="1" customHeight="1">
      <c r="A626" s="111">
        <v>248</v>
      </c>
      <c r="B626" s="164" t="s">
        <v>1071</v>
      </c>
      <c r="C626" s="166" t="s">
        <v>2401</v>
      </c>
      <c r="D626" s="147" t="s">
        <v>2402</v>
      </c>
      <c r="E626" s="132" t="s">
        <v>2403</v>
      </c>
      <c r="F626" s="116" t="s">
        <v>1075</v>
      </c>
      <c r="G626" s="116" t="s">
        <v>990</v>
      </c>
      <c r="H626" s="117">
        <v>13.7440067</v>
      </c>
      <c r="I626" s="117">
        <v>100.54302680000001</v>
      </c>
      <c r="J626" s="121" t="s">
        <v>890</v>
      </c>
      <c r="K626" s="121" t="s">
        <v>891</v>
      </c>
      <c r="L626" s="121" t="s">
        <v>891</v>
      </c>
      <c r="M626" s="121">
        <v>96930560</v>
      </c>
      <c r="N626" s="121" t="s">
        <v>1050</v>
      </c>
      <c r="O626" s="121"/>
      <c r="P626" s="127" t="s">
        <v>1076</v>
      </c>
      <c r="Q626" s="129" t="s">
        <v>972</v>
      </c>
      <c r="R626" s="119" t="s">
        <v>895</v>
      </c>
      <c r="S626" s="119" t="s">
        <v>895</v>
      </c>
      <c r="T626" s="222"/>
      <c r="U626" s="222"/>
      <c r="V626" s="222"/>
      <c r="W626" s="230"/>
      <c r="X626" s="331">
        <f t="shared" si="29"/>
        <v>0</v>
      </c>
      <c r="Y626" s="222"/>
      <c r="Z626" s="272">
        <f t="shared" si="27"/>
        <v>0</v>
      </c>
      <c r="AA626" s="331"/>
      <c r="AB626" s="331"/>
      <c r="AC626" s="331"/>
      <c r="AD626" s="331"/>
      <c r="AE626" s="331"/>
      <c r="AF626" s="331"/>
      <c r="AG626" s="331"/>
      <c r="AH626" s="241">
        <f t="shared" ca="1" si="28"/>
        <v>46153</v>
      </c>
      <c r="AI626" s="272"/>
      <c r="AJ626" s="222"/>
      <c r="AK626" s="222"/>
    </row>
    <row r="627" spans="1:37" ht="23.25" hidden="1" customHeight="1">
      <c r="A627" s="111">
        <v>568</v>
      </c>
      <c r="B627" s="164">
        <v>5</v>
      </c>
      <c r="C627" s="165" t="s">
        <v>3540</v>
      </c>
      <c r="D627" s="147" t="s">
        <v>3541</v>
      </c>
      <c r="E627" s="114" t="s">
        <v>3542</v>
      </c>
      <c r="F627" s="115" t="s">
        <v>1075</v>
      </c>
      <c r="G627" s="115" t="s">
        <v>990</v>
      </c>
      <c r="H627" s="116">
        <v>13.742967</v>
      </c>
      <c r="I627" s="116">
        <v>100.54896599999999</v>
      </c>
      <c r="J627" s="116" t="s">
        <v>2097</v>
      </c>
      <c r="K627" s="116" t="s">
        <v>2097</v>
      </c>
      <c r="L627" s="117" t="s">
        <v>3543</v>
      </c>
      <c r="M627" s="116" t="s">
        <v>1347</v>
      </c>
      <c r="N627" s="121" t="s">
        <v>1050</v>
      </c>
      <c r="O627" s="121" t="s">
        <v>984</v>
      </c>
      <c r="P627" s="117" t="s">
        <v>894</v>
      </c>
      <c r="Q627" s="125" t="s">
        <v>972</v>
      </c>
      <c r="R627" s="125" t="s">
        <v>972</v>
      </c>
      <c r="S627" s="125" t="s">
        <v>972</v>
      </c>
      <c r="T627" s="222"/>
      <c r="U627" s="222"/>
      <c r="V627" s="222"/>
      <c r="W627" s="230"/>
      <c r="X627" s="331">
        <f t="shared" si="29"/>
        <v>0</v>
      </c>
      <c r="Y627" s="222"/>
      <c r="Z627" s="272">
        <f t="shared" si="27"/>
        <v>0</v>
      </c>
      <c r="AA627" s="331"/>
      <c r="AB627" s="331"/>
      <c r="AC627" s="331"/>
      <c r="AD627" s="331"/>
      <c r="AE627" s="331"/>
      <c r="AF627" s="331"/>
      <c r="AG627" s="331"/>
      <c r="AH627" s="241">
        <f t="shared" ca="1" si="28"/>
        <v>46153</v>
      </c>
      <c r="AI627" s="272"/>
      <c r="AJ627" s="222"/>
      <c r="AK627" s="222"/>
    </row>
    <row r="628" spans="1:37" ht="23.25" hidden="1" customHeight="1">
      <c r="A628" s="111">
        <v>571</v>
      </c>
      <c r="B628" s="164" t="s">
        <v>1071</v>
      </c>
      <c r="C628" s="166" t="s">
        <v>3547</v>
      </c>
      <c r="D628" s="147" t="s">
        <v>3548</v>
      </c>
      <c r="E628" s="132" t="s">
        <v>3549</v>
      </c>
      <c r="F628" s="116" t="s">
        <v>1075</v>
      </c>
      <c r="G628" s="116" t="s">
        <v>990</v>
      </c>
      <c r="H628" s="117">
        <v>13.743574600000001</v>
      </c>
      <c r="I628" s="117">
        <v>100.5465301</v>
      </c>
      <c r="J628" s="116" t="s">
        <v>2097</v>
      </c>
      <c r="K628" s="121" t="s">
        <v>2097</v>
      </c>
      <c r="L628" s="121" t="s">
        <v>3550</v>
      </c>
      <c r="M628" s="121" t="s">
        <v>3551</v>
      </c>
      <c r="N628" s="121" t="s">
        <v>972</v>
      </c>
      <c r="O628" s="121"/>
      <c r="P628" s="127" t="s">
        <v>1076</v>
      </c>
      <c r="Q628" s="129" t="s">
        <v>972</v>
      </c>
      <c r="R628" s="119" t="s">
        <v>972</v>
      </c>
      <c r="S628" s="119" t="s">
        <v>972</v>
      </c>
      <c r="T628" s="222"/>
      <c r="U628" s="222"/>
      <c r="V628" s="222"/>
      <c r="W628" s="230"/>
      <c r="X628" s="331">
        <f t="shared" si="29"/>
        <v>0</v>
      </c>
      <c r="Y628" s="222"/>
      <c r="Z628" s="272">
        <f t="shared" si="27"/>
        <v>0</v>
      </c>
      <c r="AA628" s="331"/>
      <c r="AB628" s="331"/>
      <c r="AC628" s="331"/>
      <c r="AD628" s="331"/>
      <c r="AE628" s="331"/>
      <c r="AF628" s="331"/>
      <c r="AG628" s="331"/>
      <c r="AH628" s="241">
        <f t="shared" ca="1" si="28"/>
        <v>46153</v>
      </c>
      <c r="AI628" s="272"/>
      <c r="AJ628" s="222"/>
      <c r="AK628" s="222"/>
    </row>
    <row r="629" spans="1:37" ht="23.25" hidden="1" customHeight="1">
      <c r="A629" s="111">
        <v>1031</v>
      </c>
      <c r="B629" s="164" t="s">
        <v>1098</v>
      </c>
      <c r="C629" s="166" t="s">
        <v>3849</v>
      </c>
      <c r="D629" s="147" t="s">
        <v>3850</v>
      </c>
      <c r="E629" s="123" t="s">
        <v>3851</v>
      </c>
      <c r="F629" s="116" t="s">
        <v>1075</v>
      </c>
      <c r="G629" s="116" t="s">
        <v>990</v>
      </c>
      <c r="H629" s="116">
        <v>13.7442013</v>
      </c>
      <c r="I629" s="116">
        <v>100.54288</v>
      </c>
      <c r="J629" s="115" t="s">
        <v>890</v>
      </c>
      <c r="K629" s="115" t="s">
        <v>891</v>
      </c>
      <c r="L629" s="117" t="s">
        <v>891</v>
      </c>
      <c r="M629" s="117">
        <v>97054095</v>
      </c>
      <c r="N629" s="121" t="s">
        <v>1050</v>
      </c>
      <c r="O629" s="121" t="s">
        <v>984</v>
      </c>
      <c r="P629" s="117" t="s">
        <v>952</v>
      </c>
      <c r="Q629" s="125" t="s">
        <v>972</v>
      </c>
      <c r="R629" s="138" t="s">
        <v>895</v>
      </c>
      <c r="S629" s="119" t="s">
        <v>895</v>
      </c>
      <c r="T629" s="312" t="s">
        <v>5212</v>
      </c>
      <c r="U629" s="312" t="s">
        <v>5249</v>
      </c>
      <c r="V629" s="329">
        <v>45005</v>
      </c>
      <c r="W629" s="326">
        <v>4</v>
      </c>
      <c r="X629" s="331">
        <f t="shared" si="29"/>
        <v>45009</v>
      </c>
      <c r="Y629" s="331">
        <v>45020</v>
      </c>
      <c r="Z629" s="332">
        <f t="shared" si="27"/>
        <v>11</v>
      </c>
      <c r="AA629" s="331"/>
      <c r="AB629" s="331"/>
      <c r="AC629" s="331"/>
      <c r="AD629" s="331"/>
      <c r="AE629" s="331"/>
      <c r="AF629" s="331"/>
      <c r="AG629" s="331"/>
      <c r="AH629" s="329">
        <f t="shared" ca="1" si="28"/>
        <v>46153</v>
      </c>
      <c r="AI629" s="330"/>
      <c r="AJ629" s="312" t="s">
        <v>5143</v>
      </c>
      <c r="AK629" s="312"/>
    </row>
    <row r="630" spans="1:37" ht="23.25" hidden="1" customHeight="1">
      <c r="A630" s="111">
        <v>709</v>
      </c>
      <c r="B630" s="164" t="s">
        <v>1071</v>
      </c>
      <c r="C630" s="166" t="s">
        <v>3869</v>
      </c>
      <c r="D630" s="147" t="s">
        <v>3870</v>
      </c>
      <c r="E630" s="132" t="s">
        <v>3871</v>
      </c>
      <c r="F630" s="116" t="s">
        <v>1075</v>
      </c>
      <c r="G630" s="116" t="s">
        <v>990</v>
      </c>
      <c r="H630" s="117">
        <v>13.7436612</v>
      </c>
      <c r="I630" s="117">
        <v>100.5450675</v>
      </c>
      <c r="J630" s="116" t="s">
        <v>2097</v>
      </c>
      <c r="K630" s="121" t="s">
        <v>2097</v>
      </c>
      <c r="L630" s="121" t="s">
        <v>3872</v>
      </c>
      <c r="M630" s="116" t="s">
        <v>1347</v>
      </c>
      <c r="N630" s="121" t="s">
        <v>972</v>
      </c>
      <c r="O630" s="121"/>
      <c r="P630" s="127" t="s">
        <v>1076</v>
      </c>
      <c r="Q630" s="129" t="s">
        <v>972</v>
      </c>
      <c r="R630" s="119" t="s">
        <v>972</v>
      </c>
      <c r="S630" s="119" t="s">
        <v>972</v>
      </c>
      <c r="T630" s="222"/>
      <c r="U630" s="222"/>
      <c r="V630" s="222"/>
      <c r="W630" s="230"/>
      <c r="X630" s="331">
        <f t="shared" si="29"/>
        <v>0</v>
      </c>
      <c r="Y630" s="222"/>
      <c r="Z630" s="272">
        <f t="shared" si="27"/>
        <v>0</v>
      </c>
      <c r="AA630" s="331"/>
      <c r="AB630" s="331"/>
      <c r="AC630" s="331"/>
      <c r="AD630" s="331"/>
      <c r="AE630" s="331"/>
      <c r="AF630" s="331"/>
      <c r="AG630" s="331"/>
      <c r="AH630" s="241">
        <f t="shared" ca="1" si="28"/>
        <v>46153</v>
      </c>
      <c r="AI630" s="272"/>
      <c r="AJ630" s="222"/>
      <c r="AK630" s="222"/>
    </row>
    <row r="631" spans="1:37" ht="23" hidden="1">
      <c r="A631" s="111">
        <v>1021</v>
      </c>
      <c r="B631" s="164" t="s">
        <v>1114</v>
      </c>
      <c r="C631" s="165" t="s">
        <v>4659</v>
      </c>
      <c r="D631" s="557" t="s">
        <v>4660</v>
      </c>
      <c r="E631" s="114" t="s">
        <v>4661</v>
      </c>
      <c r="F631" s="115" t="s">
        <v>1075</v>
      </c>
      <c r="G631" s="115" t="s">
        <v>990</v>
      </c>
      <c r="H631" s="116">
        <v>13.743143999999999</v>
      </c>
      <c r="I631" s="116">
        <v>100.548982</v>
      </c>
      <c r="J631" s="116" t="s">
        <v>2097</v>
      </c>
      <c r="K631" s="116" t="s">
        <v>2097</v>
      </c>
      <c r="L631" s="117" t="s">
        <v>4662</v>
      </c>
      <c r="M631" s="116" t="s">
        <v>1347</v>
      </c>
      <c r="N631" s="121" t="s">
        <v>1050</v>
      </c>
      <c r="O631" s="121" t="s">
        <v>984</v>
      </c>
      <c r="P631" s="118" t="s">
        <v>894</v>
      </c>
      <c r="Q631" s="125" t="s">
        <v>972</v>
      </c>
      <c r="R631" s="125" t="s">
        <v>972</v>
      </c>
      <c r="S631" s="125" t="s">
        <v>972</v>
      </c>
      <c r="T631" s="222"/>
      <c r="U631" s="222"/>
      <c r="V631" s="222"/>
      <c r="W631" s="230"/>
      <c r="X631" s="331">
        <f t="shared" si="29"/>
        <v>0</v>
      </c>
      <c r="Y631" s="222"/>
      <c r="Z631" s="272">
        <f t="shared" si="27"/>
        <v>0</v>
      </c>
      <c r="AA631" s="331"/>
      <c r="AB631" s="331"/>
      <c r="AC631" s="331"/>
      <c r="AD631" s="331"/>
      <c r="AE631" s="331"/>
      <c r="AF631" s="331"/>
      <c r="AG631" s="331"/>
      <c r="AH631" s="241">
        <f t="shared" ca="1" si="28"/>
        <v>46153</v>
      </c>
      <c r="AI631" s="272"/>
      <c r="AJ631" s="222"/>
      <c r="AK631" s="222"/>
    </row>
    <row r="632" spans="1:37" ht="23.25" hidden="1" customHeight="1">
      <c r="A632" s="111">
        <v>1077</v>
      </c>
      <c r="B632" s="164">
        <v>4</v>
      </c>
      <c r="C632" s="166" t="s">
        <v>4791</v>
      </c>
      <c r="D632" s="147" t="s">
        <v>4792</v>
      </c>
      <c r="E632" s="123" t="s">
        <v>4793</v>
      </c>
      <c r="F632" s="116" t="s">
        <v>1075</v>
      </c>
      <c r="G632" s="116" t="s">
        <v>990</v>
      </c>
      <c r="H632" s="116">
        <v>13.7429392</v>
      </c>
      <c r="I632" s="116" t="s">
        <v>4794</v>
      </c>
      <c r="J632" s="116" t="s">
        <v>969</v>
      </c>
      <c r="K632" s="116" t="s">
        <v>970</v>
      </c>
      <c r="L632" s="117" t="s">
        <v>4795</v>
      </c>
      <c r="M632" s="116" t="s">
        <v>1347</v>
      </c>
      <c r="N632" s="121" t="s">
        <v>1050</v>
      </c>
      <c r="O632" s="121" t="s">
        <v>984</v>
      </c>
      <c r="P632" s="118" t="s">
        <v>894</v>
      </c>
      <c r="Q632" s="125" t="s">
        <v>972</v>
      </c>
      <c r="R632" s="125" t="s">
        <v>972</v>
      </c>
      <c r="S632" s="125" t="s">
        <v>972</v>
      </c>
      <c r="T632" s="222"/>
      <c r="U632" s="222"/>
      <c r="V632" s="222"/>
      <c r="W632" s="230"/>
      <c r="X632" s="331">
        <f t="shared" si="29"/>
        <v>0</v>
      </c>
      <c r="Y632" s="222"/>
      <c r="Z632" s="272">
        <f t="shared" si="27"/>
        <v>0</v>
      </c>
      <c r="AA632" s="331"/>
      <c r="AB632" s="331"/>
      <c r="AC632" s="331"/>
      <c r="AD632" s="331"/>
      <c r="AE632" s="331"/>
      <c r="AF632" s="331"/>
      <c r="AG632" s="331"/>
      <c r="AH632" s="241">
        <f t="shared" ca="1" si="28"/>
        <v>46153</v>
      </c>
      <c r="AI632" s="272"/>
      <c r="AJ632" s="222"/>
      <c r="AK632" s="222"/>
    </row>
    <row r="633" spans="1:37" ht="23" hidden="1">
      <c r="A633" s="111">
        <v>1122</v>
      </c>
      <c r="B633" s="164">
        <v>16</v>
      </c>
      <c r="C633" s="165" t="s">
        <v>4907</v>
      </c>
      <c r="D633" s="147" t="s">
        <v>4908</v>
      </c>
      <c r="E633" s="123" t="s">
        <v>4909</v>
      </c>
      <c r="F633" s="116" t="s">
        <v>1075</v>
      </c>
      <c r="G633" s="116" t="s">
        <v>990</v>
      </c>
      <c r="H633" s="116">
        <v>13.743638000000001</v>
      </c>
      <c r="I633" s="116">
        <v>100.54615800000001</v>
      </c>
      <c r="J633" s="116" t="s">
        <v>969</v>
      </c>
      <c r="K633" s="121" t="s">
        <v>970</v>
      </c>
      <c r="L633" s="117" t="s">
        <v>2711</v>
      </c>
      <c r="M633" s="116" t="s">
        <v>1347</v>
      </c>
      <c r="N633" s="121" t="s">
        <v>892</v>
      </c>
      <c r="O633" s="121" t="s">
        <v>984</v>
      </c>
      <c r="P633" s="117" t="s">
        <v>894</v>
      </c>
      <c r="Q633" s="125" t="s">
        <v>972</v>
      </c>
      <c r="R633" s="125" t="s">
        <v>972</v>
      </c>
      <c r="S633" s="125" t="s">
        <v>972</v>
      </c>
      <c r="T633" s="222"/>
      <c r="U633" s="222"/>
      <c r="V633" s="222"/>
      <c r="W633" s="230"/>
      <c r="X633" s="331">
        <f t="shared" si="29"/>
        <v>0</v>
      </c>
      <c r="Y633" s="222"/>
      <c r="Z633" s="272">
        <f t="shared" si="27"/>
        <v>0</v>
      </c>
      <c r="AA633" s="331"/>
      <c r="AB633" s="331"/>
      <c r="AC633" s="331"/>
      <c r="AD633" s="331"/>
      <c r="AE633" s="331"/>
      <c r="AF633" s="331"/>
      <c r="AG633" s="331"/>
      <c r="AH633" s="241">
        <f t="shared" ca="1" si="28"/>
        <v>46153</v>
      </c>
      <c r="AI633" s="272"/>
      <c r="AJ633" s="222"/>
      <c r="AK633" s="222"/>
    </row>
    <row r="634" spans="1:37" ht="23" hidden="1">
      <c r="A634" s="111">
        <v>948</v>
      </c>
      <c r="B634" s="164" t="s">
        <v>1071</v>
      </c>
      <c r="C634" s="166" t="s">
        <v>4489</v>
      </c>
      <c r="D634" s="147" t="s">
        <v>4490</v>
      </c>
      <c r="E634" s="171" t="s">
        <v>4491</v>
      </c>
      <c r="F634" s="143" t="s">
        <v>4492</v>
      </c>
      <c r="G634" s="143" t="s">
        <v>990</v>
      </c>
      <c r="H634" s="172">
        <v>13.7438231</v>
      </c>
      <c r="I634" s="172">
        <v>100.54498270000001</v>
      </c>
      <c r="J634" s="116" t="s">
        <v>2097</v>
      </c>
      <c r="K634" s="121"/>
      <c r="L634" s="121"/>
      <c r="M634" s="121"/>
      <c r="N634" s="121"/>
      <c r="O634" s="121"/>
      <c r="P634" s="127" t="s">
        <v>1076</v>
      </c>
      <c r="Q634" s="129" t="s">
        <v>972</v>
      </c>
      <c r="R634" s="119" t="s">
        <v>972</v>
      </c>
      <c r="S634" s="119" t="s">
        <v>972</v>
      </c>
      <c r="T634" s="222"/>
      <c r="U634" s="222"/>
      <c r="V634" s="222"/>
      <c r="W634" s="230"/>
      <c r="X634" s="331">
        <f t="shared" si="29"/>
        <v>0</v>
      </c>
      <c r="Y634" s="222"/>
      <c r="Z634" s="272">
        <f t="shared" si="27"/>
        <v>0</v>
      </c>
      <c r="AA634" s="331"/>
      <c r="AB634" s="331"/>
      <c r="AC634" s="331"/>
      <c r="AD634" s="331"/>
      <c r="AE634" s="331"/>
      <c r="AF634" s="331"/>
      <c r="AG634" s="331"/>
      <c r="AH634" s="241">
        <f t="shared" ca="1" si="28"/>
        <v>46153</v>
      </c>
      <c r="AI634" s="272"/>
      <c r="AJ634" s="222"/>
      <c r="AK634" s="222"/>
    </row>
    <row r="635" spans="1:37" ht="23" hidden="1">
      <c r="A635" s="111">
        <v>582</v>
      </c>
      <c r="B635" s="164">
        <v>13</v>
      </c>
      <c r="C635" s="165" t="s">
        <v>1538</v>
      </c>
      <c r="D635" s="147" t="s">
        <v>1539</v>
      </c>
      <c r="E635" s="114" t="s">
        <v>1540</v>
      </c>
      <c r="F635" s="115" t="s">
        <v>1541</v>
      </c>
      <c r="G635" s="115" t="s">
        <v>1542</v>
      </c>
      <c r="H635" s="116">
        <v>13.732435000000001</v>
      </c>
      <c r="I635" s="116">
        <v>100.515666</v>
      </c>
      <c r="J635" s="116" t="s">
        <v>890</v>
      </c>
      <c r="K635" s="117" t="s">
        <v>891</v>
      </c>
      <c r="L635" s="118" t="s">
        <v>891</v>
      </c>
      <c r="M635" s="117">
        <v>96898545</v>
      </c>
      <c r="N635" s="117" t="s">
        <v>892</v>
      </c>
      <c r="O635" s="136" t="s">
        <v>984</v>
      </c>
      <c r="P635" s="117" t="s">
        <v>894</v>
      </c>
      <c r="Q635" s="118">
        <v>80057501</v>
      </c>
      <c r="R635" s="119" t="s">
        <v>895</v>
      </c>
      <c r="S635" s="119" t="s">
        <v>895</v>
      </c>
      <c r="T635" s="222"/>
      <c r="U635" s="222"/>
      <c r="V635" s="222"/>
      <c r="W635" s="230"/>
      <c r="X635" s="331">
        <f t="shared" si="29"/>
        <v>0</v>
      </c>
      <c r="Y635" s="222"/>
      <c r="Z635" s="272">
        <f t="shared" si="27"/>
        <v>0</v>
      </c>
      <c r="AA635" s="331"/>
      <c r="AB635" s="331"/>
      <c r="AC635" s="331"/>
      <c r="AD635" s="331"/>
      <c r="AE635" s="331"/>
      <c r="AF635" s="331"/>
      <c r="AG635" s="331"/>
      <c r="AH635" s="241">
        <f t="shared" ca="1" si="28"/>
        <v>46153</v>
      </c>
      <c r="AI635" s="272"/>
      <c r="AJ635" s="222"/>
      <c r="AK635" s="222"/>
    </row>
    <row r="636" spans="1:37" ht="23.25" hidden="1" customHeight="1">
      <c r="A636" s="111">
        <v>451</v>
      </c>
      <c r="B636" s="164">
        <v>2</v>
      </c>
      <c r="C636" s="165" t="s">
        <v>1417</v>
      </c>
      <c r="D636" s="147" t="s">
        <v>1418</v>
      </c>
      <c r="E636" s="114" t="s">
        <v>1419</v>
      </c>
      <c r="F636" s="115" t="s">
        <v>1420</v>
      </c>
      <c r="G636" s="115" t="s">
        <v>1421</v>
      </c>
      <c r="H636" s="116">
        <v>13.6982999</v>
      </c>
      <c r="I636" s="116">
        <v>100.4961428</v>
      </c>
      <c r="J636" s="116" t="s">
        <v>890</v>
      </c>
      <c r="K636" s="117" t="s">
        <v>891</v>
      </c>
      <c r="L636" s="117" t="s">
        <v>891</v>
      </c>
      <c r="M636" s="117">
        <v>96896572</v>
      </c>
      <c r="N636" s="117" t="s">
        <v>892</v>
      </c>
      <c r="O636" s="117" t="s">
        <v>918</v>
      </c>
      <c r="P636" s="117" t="s">
        <v>902</v>
      </c>
      <c r="Q636" s="118">
        <v>80057501</v>
      </c>
      <c r="R636" s="119" t="s">
        <v>895</v>
      </c>
      <c r="S636" s="119" t="s">
        <v>895</v>
      </c>
      <c r="T636" s="222"/>
      <c r="U636" s="222"/>
      <c r="V636" s="222"/>
      <c r="W636" s="230"/>
      <c r="X636" s="331">
        <f t="shared" si="29"/>
        <v>0</v>
      </c>
      <c r="Y636" s="222"/>
      <c r="Z636" s="272">
        <f t="shared" si="27"/>
        <v>0</v>
      </c>
      <c r="AA636" s="331"/>
      <c r="AB636" s="331"/>
      <c r="AC636" s="331"/>
      <c r="AD636" s="331"/>
      <c r="AE636" s="331"/>
      <c r="AF636" s="331"/>
      <c r="AG636" s="331"/>
      <c r="AH636" s="241">
        <f t="shared" ca="1" si="28"/>
        <v>46153</v>
      </c>
      <c r="AI636" s="272"/>
      <c r="AJ636" s="222"/>
      <c r="AK636" s="222"/>
    </row>
    <row r="637" spans="1:37" ht="23" hidden="1">
      <c r="A637" s="111">
        <v>453</v>
      </c>
      <c r="B637" s="164">
        <v>6</v>
      </c>
      <c r="C637" s="165" t="s">
        <v>3232</v>
      </c>
      <c r="D637" s="147" t="s">
        <v>3233</v>
      </c>
      <c r="E637" s="114" t="s">
        <v>3234</v>
      </c>
      <c r="F637" s="115" t="s">
        <v>1420</v>
      </c>
      <c r="G637" s="115" t="s">
        <v>1421</v>
      </c>
      <c r="H637" s="116">
        <v>13.697288</v>
      </c>
      <c r="I637" s="116">
        <v>100.496756</v>
      </c>
      <c r="J637" s="116" t="s">
        <v>2097</v>
      </c>
      <c r="K637" s="116" t="s">
        <v>2097</v>
      </c>
      <c r="L637" s="117" t="s">
        <v>3235</v>
      </c>
      <c r="M637" s="116" t="s">
        <v>1347</v>
      </c>
      <c r="N637" s="121" t="s">
        <v>892</v>
      </c>
      <c r="O637" s="117" t="s">
        <v>918</v>
      </c>
      <c r="P637" s="117" t="s">
        <v>894</v>
      </c>
      <c r="Q637" s="125" t="s">
        <v>972</v>
      </c>
      <c r="R637" s="125" t="s">
        <v>972</v>
      </c>
      <c r="S637" s="130" t="s">
        <v>972</v>
      </c>
      <c r="T637" s="222"/>
      <c r="U637" s="222"/>
      <c r="V637" s="222"/>
      <c r="W637" s="230"/>
      <c r="X637" s="331">
        <f t="shared" si="29"/>
        <v>0</v>
      </c>
      <c r="Y637" s="222"/>
      <c r="Z637" s="272">
        <f t="shared" si="27"/>
        <v>0</v>
      </c>
      <c r="AA637" s="331"/>
      <c r="AB637" s="331"/>
      <c r="AC637" s="331"/>
      <c r="AD637" s="331"/>
      <c r="AE637" s="331"/>
      <c r="AF637" s="331"/>
      <c r="AG637" s="331"/>
      <c r="AH637" s="241">
        <f t="shared" ca="1" si="28"/>
        <v>46153</v>
      </c>
      <c r="AI637" s="272"/>
      <c r="AJ637" s="222"/>
      <c r="AK637" s="222"/>
    </row>
    <row r="638" spans="1:37" ht="23" hidden="1">
      <c r="A638" s="111">
        <v>454</v>
      </c>
      <c r="B638" s="164">
        <v>6</v>
      </c>
      <c r="C638" s="165" t="s">
        <v>3236</v>
      </c>
      <c r="D638" s="147" t="s">
        <v>3237</v>
      </c>
      <c r="E638" s="114" t="s">
        <v>3238</v>
      </c>
      <c r="F638" s="115" t="s">
        <v>1420</v>
      </c>
      <c r="G638" s="115" t="s">
        <v>1421</v>
      </c>
      <c r="H638" s="116">
        <v>13.697732200000001</v>
      </c>
      <c r="I638" s="116">
        <v>100.49639569999999</v>
      </c>
      <c r="J638" s="116" t="s">
        <v>969</v>
      </c>
      <c r="K638" s="116" t="s">
        <v>970</v>
      </c>
      <c r="L638" s="117" t="s">
        <v>3239</v>
      </c>
      <c r="M638" s="116" t="s">
        <v>1347</v>
      </c>
      <c r="N638" s="121" t="s">
        <v>892</v>
      </c>
      <c r="O638" s="136" t="s">
        <v>918</v>
      </c>
      <c r="P638" s="117" t="s">
        <v>894</v>
      </c>
      <c r="Q638" s="125" t="s">
        <v>972</v>
      </c>
      <c r="R638" s="125" t="s">
        <v>972</v>
      </c>
      <c r="S638" s="125" t="s">
        <v>972</v>
      </c>
      <c r="T638" s="222"/>
      <c r="U638" s="222"/>
      <c r="V638" s="222"/>
      <c r="W638" s="230"/>
      <c r="X638" s="331">
        <f t="shared" si="29"/>
        <v>0</v>
      </c>
      <c r="Y638" s="222"/>
      <c r="Z638" s="272">
        <f t="shared" si="27"/>
        <v>0</v>
      </c>
      <c r="AA638" s="331"/>
      <c r="AB638" s="331"/>
      <c r="AC638" s="331"/>
      <c r="AD638" s="331"/>
      <c r="AE638" s="331"/>
      <c r="AF638" s="331"/>
      <c r="AG638" s="331"/>
      <c r="AH638" s="241">
        <f t="shared" ca="1" si="28"/>
        <v>46153</v>
      </c>
      <c r="AI638" s="272"/>
      <c r="AJ638" s="222"/>
      <c r="AK638" s="222"/>
    </row>
    <row r="639" spans="1:37" ht="23.25" hidden="1" customHeight="1">
      <c r="A639" s="111">
        <v>48</v>
      </c>
      <c r="B639" s="164">
        <v>7</v>
      </c>
      <c r="C639" s="165" t="s">
        <v>948</v>
      </c>
      <c r="D639" s="147" t="s">
        <v>949</v>
      </c>
      <c r="E639" s="114" t="s">
        <v>950</v>
      </c>
      <c r="F639" s="115" t="s">
        <v>951</v>
      </c>
      <c r="G639" s="115" t="s">
        <v>936</v>
      </c>
      <c r="H639" s="116">
        <v>13.784297</v>
      </c>
      <c r="I639" s="116">
        <v>100.574039</v>
      </c>
      <c r="J639" s="116" t="s">
        <v>890</v>
      </c>
      <c r="K639" s="117" t="s">
        <v>891</v>
      </c>
      <c r="L639" s="117" t="s">
        <v>891</v>
      </c>
      <c r="M639" s="117">
        <v>96887282</v>
      </c>
      <c r="N639" s="117" t="s">
        <v>892</v>
      </c>
      <c r="O639" s="121" t="s">
        <v>901</v>
      </c>
      <c r="P639" s="117" t="s">
        <v>952</v>
      </c>
      <c r="Q639" s="118">
        <v>80057501</v>
      </c>
      <c r="R639" s="119" t="s">
        <v>895</v>
      </c>
      <c r="S639" s="119" t="s">
        <v>895</v>
      </c>
      <c r="T639" s="222"/>
      <c r="U639" s="222"/>
      <c r="V639" s="222"/>
      <c r="W639" s="230"/>
      <c r="X639" s="331">
        <f t="shared" si="29"/>
        <v>0</v>
      </c>
      <c r="Y639" s="222"/>
      <c r="Z639" s="272">
        <f t="shared" si="27"/>
        <v>0</v>
      </c>
      <c r="AA639" s="331"/>
      <c r="AB639" s="331"/>
      <c r="AC639" s="331"/>
      <c r="AD639" s="331"/>
      <c r="AE639" s="331"/>
      <c r="AF639" s="331"/>
      <c r="AG639" s="331"/>
      <c r="AH639" s="241">
        <f t="shared" ca="1" si="28"/>
        <v>46153</v>
      </c>
      <c r="AI639" s="272"/>
      <c r="AJ639" s="222"/>
      <c r="AK639" s="222"/>
    </row>
    <row r="640" spans="1:37" ht="23.25" hidden="1" customHeight="1">
      <c r="A640" s="111">
        <v>51</v>
      </c>
      <c r="B640" s="164">
        <v>4</v>
      </c>
      <c r="C640" s="165" t="s">
        <v>959</v>
      </c>
      <c r="D640" s="147" t="s">
        <v>960</v>
      </c>
      <c r="E640" s="114" t="s">
        <v>961</v>
      </c>
      <c r="F640" s="115" t="s">
        <v>951</v>
      </c>
      <c r="G640" s="115" t="s">
        <v>936</v>
      </c>
      <c r="H640" s="116">
        <v>13.795991000000001</v>
      </c>
      <c r="I640" s="116">
        <v>100.5746187</v>
      </c>
      <c r="J640" s="116" t="s">
        <v>890</v>
      </c>
      <c r="K640" s="117" t="s">
        <v>891</v>
      </c>
      <c r="L640" s="117" t="s">
        <v>891</v>
      </c>
      <c r="M640" s="117">
        <v>96887784</v>
      </c>
      <c r="N640" s="117" t="s">
        <v>892</v>
      </c>
      <c r="O640" s="135" t="s">
        <v>901</v>
      </c>
      <c r="P640" s="117" t="s">
        <v>952</v>
      </c>
      <c r="Q640" s="118">
        <v>80057501</v>
      </c>
      <c r="R640" s="119" t="s">
        <v>895</v>
      </c>
      <c r="S640" s="119" t="s">
        <v>895</v>
      </c>
      <c r="T640" s="222"/>
      <c r="U640" s="222"/>
      <c r="V640" s="222"/>
      <c r="W640" s="230"/>
      <c r="X640" s="331">
        <f t="shared" si="29"/>
        <v>0</v>
      </c>
      <c r="Y640" s="222"/>
      <c r="Z640" s="272">
        <f t="shared" si="27"/>
        <v>0</v>
      </c>
      <c r="AA640" s="331"/>
      <c r="AB640" s="331"/>
      <c r="AC640" s="331"/>
      <c r="AD640" s="331"/>
      <c r="AE640" s="331"/>
      <c r="AF640" s="331"/>
      <c r="AG640" s="331"/>
      <c r="AH640" s="241">
        <f t="shared" ca="1" si="28"/>
        <v>46153</v>
      </c>
      <c r="AI640" s="272"/>
      <c r="AJ640" s="222"/>
      <c r="AK640" s="222"/>
    </row>
    <row r="641" spans="1:37" ht="23" hidden="1">
      <c r="A641" s="111">
        <v>65</v>
      </c>
      <c r="B641" s="164">
        <v>5</v>
      </c>
      <c r="C641" s="165" t="s">
        <v>965</v>
      </c>
      <c r="D641" s="147" t="s">
        <v>966</v>
      </c>
      <c r="E641" s="114" t="s">
        <v>967</v>
      </c>
      <c r="F641" s="115" t="s">
        <v>951</v>
      </c>
      <c r="G641" s="115" t="s">
        <v>968</v>
      </c>
      <c r="H641" s="116">
        <v>13.7880454</v>
      </c>
      <c r="I641" s="116">
        <v>100.5740361</v>
      </c>
      <c r="J641" s="116" t="s">
        <v>969</v>
      </c>
      <c r="K641" s="116" t="s">
        <v>970</v>
      </c>
      <c r="L641" s="118" t="s">
        <v>971</v>
      </c>
      <c r="M641" s="117">
        <v>96887816</v>
      </c>
      <c r="N641" s="121" t="s">
        <v>892</v>
      </c>
      <c r="O641" s="121" t="s">
        <v>901</v>
      </c>
      <c r="P641" s="117" t="s">
        <v>952</v>
      </c>
      <c r="Q641" s="125" t="s">
        <v>972</v>
      </c>
      <c r="R641" s="125" t="s">
        <v>972</v>
      </c>
      <c r="S641" s="125" t="s">
        <v>972</v>
      </c>
      <c r="T641" s="222"/>
      <c r="U641" s="222"/>
      <c r="V641" s="222"/>
      <c r="W641" s="230"/>
      <c r="X641" s="331">
        <f t="shared" si="29"/>
        <v>0</v>
      </c>
      <c r="Y641" s="222"/>
      <c r="Z641" s="272">
        <f t="shared" si="27"/>
        <v>0</v>
      </c>
      <c r="AA641" s="331"/>
      <c r="AB641" s="331"/>
      <c r="AC641" s="331"/>
      <c r="AD641" s="331"/>
      <c r="AE641" s="331"/>
      <c r="AF641" s="331"/>
      <c r="AG641" s="331"/>
      <c r="AH641" s="241">
        <f t="shared" ca="1" si="28"/>
        <v>46153</v>
      </c>
      <c r="AI641" s="272"/>
      <c r="AJ641" s="222"/>
      <c r="AK641" s="222"/>
    </row>
    <row r="642" spans="1:37" ht="23" hidden="1">
      <c r="A642" s="111">
        <v>140</v>
      </c>
      <c r="B642" s="164">
        <v>4</v>
      </c>
      <c r="C642" s="165" t="s">
        <v>1054</v>
      </c>
      <c r="D642" s="147" t="s">
        <v>1055</v>
      </c>
      <c r="E642" s="114" t="s">
        <v>1056</v>
      </c>
      <c r="F642" s="115" t="s">
        <v>951</v>
      </c>
      <c r="G642" s="115" t="s">
        <v>984</v>
      </c>
      <c r="H642" s="116">
        <v>13.728648</v>
      </c>
      <c r="I642" s="116">
        <v>100.560091</v>
      </c>
      <c r="J642" s="116" t="s">
        <v>969</v>
      </c>
      <c r="K642" s="116" t="s">
        <v>970</v>
      </c>
      <c r="L642" s="117" t="s">
        <v>1057</v>
      </c>
      <c r="M642" s="117">
        <v>96887851</v>
      </c>
      <c r="N642" s="121" t="s">
        <v>892</v>
      </c>
      <c r="O642" s="121" t="s">
        <v>984</v>
      </c>
      <c r="P642" s="117" t="s">
        <v>894</v>
      </c>
      <c r="Q642" s="125" t="s">
        <v>972</v>
      </c>
      <c r="R642" s="125" t="s">
        <v>972</v>
      </c>
      <c r="S642" s="125" t="s">
        <v>972</v>
      </c>
      <c r="T642" s="222"/>
      <c r="U642" s="222"/>
      <c r="V642" s="222"/>
      <c r="W642" s="230"/>
      <c r="X642" s="331">
        <f t="shared" si="29"/>
        <v>0</v>
      </c>
      <c r="Y642" s="222"/>
      <c r="Z642" s="272">
        <f t="shared" si="27"/>
        <v>0</v>
      </c>
      <c r="AA642" s="331"/>
      <c r="AB642" s="331"/>
      <c r="AC642" s="331"/>
      <c r="AD642" s="331"/>
      <c r="AE642" s="331"/>
      <c r="AF642" s="331"/>
      <c r="AG642" s="331"/>
      <c r="AH642" s="241">
        <f t="shared" ca="1" si="28"/>
        <v>46153</v>
      </c>
      <c r="AI642" s="272"/>
      <c r="AJ642" s="222"/>
      <c r="AK642" s="222"/>
    </row>
    <row r="643" spans="1:37" ht="23.25" hidden="1" customHeight="1">
      <c r="A643" s="111">
        <v>234</v>
      </c>
      <c r="B643" s="164" t="s">
        <v>985</v>
      </c>
      <c r="C643" s="166" t="s">
        <v>1152</v>
      </c>
      <c r="D643" s="147" t="s">
        <v>1153</v>
      </c>
      <c r="E643" s="123" t="s">
        <v>1154</v>
      </c>
      <c r="F643" s="116" t="s">
        <v>951</v>
      </c>
      <c r="G643" s="116" t="s">
        <v>1094</v>
      </c>
      <c r="H643" s="116">
        <v>13.813621400000001</v>
      </c>
      <c r="I643" s="116">
        <v>100.57522729999999</v>
      </c>
      <c r="J643" s="116" t="s">
        <v>890</v>
      </c>
      <c r="K643" s="117" t="s">
        <v>891</v>
      </c>
      <c r="L643" s="118" t="s">
        <v>891</v>
      </c>
      <c r="M643" s="117">
        <v>96896026</v>
      </c>
      <c r="N643" s="117" t="s">
        <v>892</v>
      </c>
      <c r="O643" s="121" t="s">
        <v>995</v>
      </c>
      <c r="P643" s="118" t="s">
        <v>952</v>
      </c>
      <c r="Q643" s="118">
        <v>80057501</v>
      </c>
      <c r="R643" s="119" t="s">
        <v>895</v>
      </c>
      <c r="S643" s="119" t="s">
        <v>895</v>
      </c>
      <c r="T643" s="222"/>
      <c r="U643" s="222"/>
      <c r="V643" s="222"/>
      <c r="W643" s="230"/>
      <c r="X643" s="331">
        <f t="shared" si="29"/>
        <v>0</v>
      </c>
      <c r="Y643" s="222"/>
      <c r="Z643" s="272">
        <f t="shared" ref="Z643:Z706" si="30">DATEDIF(X643,Y643,"d")</f>
        <v>0</v>
      </c>
      <c r="AA643" s="331"/>
      <c r="AB643" s="331"/>
      <c r="AC643" s="331"/>
      <c r="AD643" s="331"/>
      <c r="AE643" s="331"/>
      <c r="AF643" s="331"/>
      <c r="AG643" s="331"/>
      <c r="AH643" s="241">
        <f t="shared" ref="AH643:AH706" ca="1" si="31">TODAY()</f>
        <v>46153</v>
      </c>
      <c r="AI643" s="272"/>
      <c r="AJ643" s="222"/>
      <c r="AK643" s="222"/>
    </row>
    <row r="644" spans="1:37" ht="23.25" hidden="1" customHeight="1">
      <c r="A644" s="111">
        <v>266</v>
      </c>
      <c r="B644" s="164">
        <v>8</v>
      </c>
      <c r="C644" s="166" t="s">
        <v>1178</v>
      </c>
      <c r="D644" s="147" t="s">
        <v>1179</v>
      </c>
      <c r="E644" s="114" t="s">
        <v>1180</v>
      </c>
      <c r="F644" s="115" t="s">
        <v>951</v>
      </c>
      <c r="G644" s="115" t="s">
        <v>984</v>
      </c>
      <c r="H644" s="115">
        <v>13.7289976</v>
      </c>
      <c r="I644" s="115">
        <v>100.5600446</v>
      </c>
      <c r="J644" s="116" t="s">
        <v>890</v>
      </c>
      <c r="K644" s="117" t="s">
        <v>891</v>
      </c>
      <c r="L644" s="117" t="s">
        <v>891</v>
      </c>
      <c r="M644" s="117">
        <v>96887851</v>
      </c>
      <c r="N644" s="117" t="s">
        <v>892</v>
      </c>
      <c r="O644" s="121" t="s">
        <v>984</v>
      </c>
      <c r="P644" s="117" t="s">
        <v>894</v>
      </c>
      <c r="Q644" s="118">
        <v>80057501</v>
      </c>
      <c r="R644" s="119" t="s">
        <v>895</v>
      </c>
      <c r="S644" s="119" t="s">
        <v>895</v>
      </c>
      <c r="T644" s="222"/>
      <c r="U644" s="222"/>
      <c r="V644" s="222"/>
      <c r="W644" s="230"/>
      <c r="X644" s="331">
        <f t="shared" ref="X644:X707" si="32">V644+(W644)</f>
        <v>0</v>
      </c>
      <c r="Y644" s="222"/>
      <c r="Z644" s="272">
        <f t="shared" si="30"/>
        <v>0</v>
      </c>
      <c r="AA644" s="331"/>
      <c r="AB644" s="331"/>
      <c r="AC644" s="331"/>
      <c r="AD644" s="331"/>
      <c r="AE644" s="331"/>
      <c r="AF644" s="331"/>
      <c r="AG644" s="331"/>
      <c r="AH644" s="241">
        <f t="shared" ca="1" si="31"/>
        <v>46153</v>
      </c>
      <c r="AI644" s="272"/>
      <c r="AJ644" s="222"/>
      <c r="AK644" s="222"/>
    </row>
    <row r="645" spans="1:37" ht="23.25" hidden="1" customHeight="1">
      <c r="A645" s="111">
        <v>270</v>
      </c>
      <c r="B645" s="164" t="s">
        <v>919</v>
      </c>
      <c r="C645" s="165" t="s">
        <v>1181</v>
      </c>
      <c r="D645" s="147" t="s">
        <v>1182</v>
      </c>
      <c r="E645" s="114" t="s">
        <v>1183</v>
      </c>
      <c r="F645" s="115" t="s">
        <v>951</v>
      </c>
      <c r="G645" s="115" t="s">
        <v>984</v>
      </c>
      <c r="H645" s="116">
        <v>13.733369</v>
      </c>
      <c r="I645" s="116">
        <v>100.560076</v>
      </c>
      <c r="J645" s="116" t="s">
        <v>890</v>
      </c>
      <c r="K645" s="117" t="s">
        <v>891</v>
      </c>
      <c r="L645" s="117" t="s">
        <v>891</v>
      </c>
      <c r="M645" s="117">
        <v>96887853</v>
      </c>
      <c r="N645" s="117" t="s">
        <v>892</v>
      </c>
      <c r="O645" s="121" t="s">
        <v>984</v>
      </c>
      <c r="P645" s="117" t="s">
        <v>894</v>
      </c>
      <c r="Q645" s="118">
        <v>80057501</v>
      </c>
      <c r="R645" s="119" t="s">
        <v>895</v>
      </c>
      <c r="S645" s="119" t="s">
        <v>895</v>
      </c>
      <c r="T645" s="222"/>
      <c r="U645" s="222"/>
      <c r="V645" s="222"/>
      <c r="W645" s="230"/>
      <c r="X645" s="331">
        <f t="shared" si="32"/>
        <v>0</v>
      </c>
      <c r="Y645" s="222"/>
      <c r="Z645" s="272">
        <f t="shared" si="30"/>
        <v>0</v>
      </c>
      <c r="AA645" s="331"/>
      <c r="AB645" s="331"/>
      <c r="AC645" s="331"/>
      <c r="AD645" s="331"/>
      <c r="AE645" s="331"/>
      <c r="AF645" s="331"/>
      <c r="AG645" s="331"/>
      <c r="AH645" s="241">
        <f t="shared" ca="1" si="31"/>
        <v>46153</v>
      </c>
      <c r="AI645" s="272"/>
      <c r="AJ645" s="222"/>
      <c r="AK645" s="222"/>
    </row>
    <row r="646" spans="1:37" ht="23.25" hidden="1" customHeight="1">
      <c r="A646" s="111">
        <v>271</v>
      </c>
      <c r="B646" s="164">
        <v>4</v>
      </c>
      <c r="C646" s="165" t="s">
        <v>1184</v>
      </c>
      <c r="D646" s="147" t="s">
        <v>1185</v>
      </c>
      <c r="E646" s="114" t="s">
        <v>1186</v>
      </c>
      <c r="F646" s="115" t="s">
        <v>951</v>
      </c>
      <c r="G646" s="115" t="s">
        <v>984</v>
      </c>
      <c r="H646" s="116">
        <v>13.72753</v>
      </c>
      <c r="I646" s="116">
        <v>100.560046</v>
      </c>
      <c r="J646" s="116" t="s">
        <v>890</v>
      </c>
      <c r="K646" s="117" t="s">
        <v>891</v>
      </c>
      <c r="L646" s="117" t="s">
        <v>891</v>
      </c>
      <c r="M646" s="117">
        <v>96887858</v>
      </c>
      <c r="N646" s="117" t="s">
        <v>892</v>
      </c>
      <c r="O646" s="121" t="s">
        <v>984</v>
      </c>
      <c r="P646" s="117" t="s">
        <v>894</v>
      </c>
      <c r="Q646" s="118">
        <v>80057501</v>
      </c>
      <c r="R646" s="138" t="s">
        <v>895</v>
      </c>
      <c r="S646" s="119" t="s">
        <v>895</v>
      </c>
      <c r="T646" s="222"/>
      <c r="U646" s="222"/>
      <c r="V646" s="222"/>
      <c r="W646" s="230"/>
      <c r="X646" s="331">
        <f t="shared" si="32"/>
        <v>0</v>
      </c>
      <c r="Y646" s="222"/>
      <c r="Z646" s="272">
        <f t="shared" si="30"/>
        <v>0</v>
      </c>
      <c r="AA646" s="331"/>
      <c r="AB646" s="331"/>
      <c r="AC646" s="331"/>
      <c r="AD646" s="331"/>
      <c r="AE646" s="331"/>
      <c r="AF646" s="331"/>
      <c r="AG646" s="331"/>
      <c r="AH646" s="241">
        <f t="shared" ca="1" si="31"/>
        <v>46153</v>
      </c>
      <c r="AI646" s="272"/>
      <c r="AJ646" s="222"/>
      <c r="AK646" s="222"/>
    </row>
    <row r="647" spans="1:37" ht="23.25" hidden="1" customHeight="1">
      <c r="A647" s="111">
        <v>307</v>
      </c>
      <c r="B647" s="164">
        <v>10</v>
      </c>
      <c r="C647" s="165" t="s">
        <v>1244</v>
      </c>
      <c r="D647" s="147" t="s">
        <v>1245</v>
      </c>
      <c r="E647" s="114" t="s">
        <v>1246</v>
      </c>
      <c r="F647" s="115" t="s">
        <v>951</v>
      </c>
      <c r="G647" s="115" t="s">
        <v>984</v>
      </c>
      <c r="H647" s="116">
        <v>13.7220402</v>
      </c>
      <c r="I647" s="116">
        <v>100.5595795</v>
      </c>
      <c r="J647" s="116" t="s">
        <v>890</v>
      </c>
      <c r="K647" s="117" t="s">
        <v>891</v>
      </c>
      <c r="L647" s="117" t="s">
        <v>891</v>
      </c>
      <c r="M647" s="117">
        <v>96887878</v>
      </c>
      <c r="N647" s="117" t="s">
        <v>892</v>
      </c>
      <c r="O647" s="135" t="s">
        <v>984</v>
      </c>
      <c r="P647" s="118" t="s">
        <v>894</v>
      </c>
      <c r="Q647" s="118">
        <v>80057501</v>
      </c>
      <c r="R647" s="119" t="s">
        <v>895</v>
      </c>
      <c r="S647" s="119" t="s">
        <v>895</v>
      </c>
      <c r="T647" s="222"/>
      <c r="U647" s="222"/>
      <c r="V647" s="222"/>
      <c r="W647" s="230"/>
      <c r="X647" s="331">
        <f t="shared" si="32"/>
        <v>0</v>
      </c>
      <c r="Y647" s="222"/>
      <c r="Z647" s="272">
        <f t="shared" si="30"/>
        <v>0</v>
      </c>
      <c r="AA647" s="331"/>
      <c r="AB647" s="331"/>
      <c r="AC647" s="331"/>
      <c r="AD647" s="331"/>
      <c r="AE647" s="331"/>
      <c r="AF647" s="331"/>
      <c r="AG647" s="331"/>
      <c r="AH647" s="241">
        <f t="shared" ca="1" si="31"/>
        <v>46153</v>
      </c>
      <c r="AI647" s="272"/>
      <c r="AJ647" s="222"/>
      <c r="AK647" s="222"/>
    </row>
    <row r="648" spans="1:37" ht="23.25" hidden="1" customHeight="1">
      <c r="A648" s="111">
        <v>333</v>
      </c>
      <c r="B648" s="164">
        <v>5</v>
      </c>
      <c r="C648" s="166" t="s">
        <v>1270</v>
      </c>
      <c r="D648" s="147" t="s">
        <v>1271</v>
      </c>
      <c r="E648" s="114" t="s">
        <v>1272</v>
      </c>
      <c r="F648" s="115" t="s">
        <v>951</v>
      </c>
      <c r="G648" s="115" t="s">
        <v>936</v>
      </c>
      <c r="H648" s="116">
        <v>13.7704801</v>
      </c>
      <c r="I648" s="116">
        <v>100.57336770000001</v>
      </c>
      <c r="J648" s="116" t="s">
        <v>890</v>
      </c>
      <c r="K648" s="117" t="s">
        <v>891</v>
      </c>
      <c r="L648" s="117" t="s">
        <v>891</v>
      </c>
      <c r="M648" s="117">
        <v>96887815</v>
      </c>
      <c r="N648" s="117" t="s">
        <v>892</v>
      </c>
      <c r="O648" s="121" t="s">
        <v>901</v>
      </c>
      <c r="P648" s="117" t="s">
        <v>952</v>
      </c>
      <c r="Q648" s="118">
        <v>80057501</v>
      </c>
      <c r="R648" s="119" t="s">
        <v>895</v>
      </c>
      <c r="S648" s="119" t="s">
        <v>895</v>
      </c>
      <c r="T648" s="222"/>
      <c r="U648" s="222"/>
      <c r="V648" s="222"/>
      <c r="W648" s="230"/>
      <c r="X648" s="331">
        <f t="shared" si="32"/>
        <v>0</v>
      </c>
      <c r="Y648" s="222"/>
      <c r="Z648" s="272">
        <f t="shared" si="30"/>
        <v>0</v>
      </c>
      <c r="AA648" s="331"/>
      <c r="AB648" s="331"/>
      <c r="AC648" s="331"/>
      <c r="AD648" s="331"/>
      <c r="AE648" s="331"/>
      <c r="AF648" s="331"/>
      <c r="AG648" s="331"/>
      <c r="AH648" s="241">
        <f t="shared" ca="1" si="31"/>
        <v>46153</v>
      </c>
      <c r="AI648" s="272"/>
      <c r="AJ648" s="222"/>
      <c r="AK648" s="222"/>
    </row>
    <row r="649" spans="1:37" ht="23" hidden="1">
      <c r="A649" s="111">
        <v>335</v>
      </c>
      <c r="B649" s="164">
        <v>11</v>
      </c>
      <c r="C649" s="165" t="s">
        <v>1273</v>
      </c>
      <c r="D649" s="147" t="s">
        <v>1274</v>
      </c>
      <c r="E649" s="114" t="s">
        <v>1275</v>
      </c>
      <c r="F649" s="115" t="s">
        <v>951</v>
      </c>
      <c r="G649" s="115" t="s">
        <v>936</v>
      </c>
      <c r="H649" s="115">
        <v>13.769208900000001</v>
      </c>
      <c r="I649" s="115">
        <v>100.57329559999999</v>
      </c>
      <c r="J649" s="116" t="s">
        <v>969</v>
      </c>
      <c r="K649" s="116" t="s">
        <v>970</v>
      </c>
      <c r="L649" s="118" t="s">
        <v>1276</v>
      </c>
      <c r="M649" s="117">
        <v>96887815</v>
      </c>
      <c r="N649" s="121" t="s">
        <v>892</v>
      </c>
      <c r="O649" s="135" t="s">
        <v>901</v>
      </c>
      <c r="P649" s="118" t="s">
        <v>952</v>
      </c>
      <c r="Q649" s="125" t="s">
        <v>972</v>
      </c>
      <c r="R649" s="125" t="s">
        <v>972</v>
      </c>
      <c r="S649" s="125" t="s">
        <v>972</v>
      </c>
      <c r="T649" s="222"/>
      <c r="U649" s="222"/>
      <c r="V649" s="222"/>
      <c r="W649" s="230"/>
      <c r="X649" s="331">
        <f t="shared" si="32"/>
        <v>0</v>
      </c>
      <c r="Y649" s="222"/>
      <c r="Z649" s="272">
        <f t="shared" si="30"/>
        <v>0</v>
      </c>
      <c r="AA649" s="331"/>
      <c r="AB649" s="331"/>
      <c r="AC649" s="331"/>
      <c r="AD649" s="331"/>
      <c r="AE649" s="331"/>
      <c r="AF649" s="331"/>
      <c r="AG649" s="331"/>
      <c r="AH649" s="241">
        <f t="shared" ca="1" si="31"/>
        <v>46153</v>
      </c>
      <c r="AI649" s="272"/>
      <c r="AJ649" s="222"/>
      <c r="AK649" s="222"/>
    </row>
    <row r="650" spans="1:37" ht="23.25" hidden="1" customHeight="1">
      <c r="A650" s="111">
        <v>336</v>
      </c>
      <c r="B650" s="164">
        <v>16</v>
      </c>
      <c r="C650" s="165" t="s">
        <v>1277</v>
      </c>
      <c r="D650" s="147" t="s">
        <v>1278</v>
      </c>
      <c r="E650" s="114" t="s">
        <v>1279</v>
      </c>
      <c r="F650" s="115" t="s">
        <v>951</v>
      </c>
      <c r="G650" s="115" t="s">
        <v>968</v>
      </c>
      <c r="H650" s="116">
        <v>13.786312000000001</v>
      </c>
      <c r="I650" s="116">
        <v>100.57387900000001</v>
      </c>
      <c r="J650" s="116" t="s">
        <v>890</v>
      </c>
      <c r="K650" s="117" t="s">
        <v>891</v>
      </c>
      <c r="L650" s="118" t="s">
        <v>891</v>
      </c>
      <c r="M650" s="117">
        <v>96887816</v>
      </c>
      <c r="N650" s="117" t="s">
        <v>892</v>
      </c>
      <c r="O650" s="121" t="s">
        <v>901</v>
      </c>
      <c r="P650" s="118" t="s">
        <v>952</v>
      </c>
      <c r="Q650" s="118">
        <v>80057501</v>
      </c>
      <c r="R650" s="119" t="s">
        <v>895</v>
      </c>
      <c r="S650" s="119" t="s">
        <v>895</v>
      </c>
      <c r="T650" s="222"/>
      <c r="U650" s="222"/>
      <c r="V650" s="222"/>
      <c r="W650" s="230"/>
      <c r="X650" s="331">
        <f t="shared" si="32"/>
        <v>0</v>
      </c>
      <c r="Y650" s="222"/>
      <c r="Z650" s="272">
        <f t="shared" si="30"/>
        <v>0</v>
      </c>
      <c r="AA650" s="331"/>
      <c r="AB650" s="331"/>
      <c r="AC650" s="331"/>
      <c r="AD650" s="331"/>
      <c r="AE650" s="331"/>
      <c r="AF650" s="331"/>
      <c r="AG650" s="331"/>
      <c r="AH650" s="241">
        <f t="shared" ca="1" si="31"/>
        <v>46153</v>
      </c>
      <c r="AI650" s="272"/>
      <c r="AJ650" s="222"/>
      <c r="AK650" s="222"/>
    </row>
    <row r="651" spans="1:37" ht="23" hidden="1">
      <c r="A651" s="111">
        <v>361</v>
      </c>
      <c r="B651" s="164" t="s">
        <v>1082</v>
      </c>
      <c r="C651" s="165" t="s">
        <v>1295</v>
      </c>
      <c r="D651" s="147" t="s">
        <v>1296</v>
      </c>
      <c r="E651" s="123" t="s">
        <v>1297</v>
      </c>
      <c r="F651" s="115" t="s">
        <v>951</v>
      </c>
      <c r="G651" s="115" t="s">
        <v>968</v>
      </c>
      <c r="H651" s="115">
        <v>13.7729315</v>
      </c>
      <c r="I651" s="115">
        <v>100.57326999999999</v>
      </c>
      <c r="J651" s="116" t="s">
        <v>969</v>
      </c>
      <c r="K651" s="116" t="s">
        <v>970</v>
      </c>
      <c r="L651" s="117" t="s">
        <v>1298</v>
      </c>
      <c r="M651" s="117">
        <v>96916210</v>
      </c>
      <c r="N651" s="121" t="s">
        <v>892</v>
      </c>
      <c r="O651" s="121" t="s">
        <v>901</v>
      </c>
      <c r="P651" s="118" t="s">
        <v>952</v>
      </c>
      <c r="Q651" s="125" t="s">
        <v>972</v>
      </c>
      <c r="R651" s="125" t="s">
        <v>972</v>
      </c>
      <c r="S651" s="125" t="s">
        <v>972</v>
      </c>
      <c r="T651" s="222"/>
      <c r="U651" s="222"/>
      <c r="V651" s="222"/>
      <c r="W651" s="230"/>
      <c r="X651" s="331">
        <f t="shared" si="32"/>
        <v>0</v>
      </c>
      <c r="Y651" s="222"/>
      <c r="Z651" s="272">
        <f t="shared" si="30"/>
        <v>0</v>
      </c>
      <c r="AA651" s="331"/>
      <c r="AB651" s="331"/>
      <c r="AC651" s="331"/>
      <c r="AD651" s="331"/>
      <c r="AE651" s="331"/>
      <c r="AF651" s="331"/>
      <c r="AG651" s="331"/>
      <c r="AH651" s="241">
        <f t="shared" ca="1" si="31"/>
        <v>46153</v>
      </c>
      <c r="AI651" s="272"/>
      <c r="AJ651" s="222"/>
      <c r="AK651" s="222"/>
    </row>
    <row r="652" spans="1:37" ht="23.25" hidden="1" customHeight="1">
      <c r="A652" s="111">
        <v>413</v>
      </c>
      <c r="B652" s="164">
        <v>12</v>
      </c>
      <c r="C652" s="166" t="s">
        <v>1373</v>
      </c>
      <c r="D652" s="147" t="s">
        <v>1374</v>
      </c>
      <c r="E652" s="123" t="s">
        <v>1375</v>
      </c>
      <c r="F652" s="116" t="s">
        <v>951</v>
      </c>
      <c r="G652" s="116" t="s">
        <v>1094</v>
      </c>
      <c r="H652" s="116">
        <v>13.8225827</v>
      </c>
      <c r="I652" s="116">
        <v>100.5738881</v>
      </c>
      <c r="J652" s="116" t="s">
        <v>890</v>
      </c>
      <c r="K652" s="117" t="s">
        <v>891</v>
      </c>
      <c r="L652" s="118" t="s">
        <v>891</v>
      </c>
      <c r="M652" s="117">
        <v>96887659</v>
      </c>
      <c r="N652" s="117" t="s">
        <v>892</v>
      </c>
      <c r="O652" s="121" t="s">
        <v>995</v>
      </c>
      <c r="P652" s="118" t="s">
        <v>952</v>
      </c>
      <c r="Q652" s="118">
        <v>80057501</v>
      </c>
      <c r="R652" s="119" t="s">
        <v>895</v>
      </c>
      <c r="S652" s="119" t="s">
        <v>895</v>
      </c>
      <c r="T652" s="222"/>
      <c r="U652" s="222"/>
      <c r="V652" s="222"/>
      <c r="W652" s="230"/>
      <c r="X652" s="331">
        <f t="shared" si="32"/>
        <v>0</v>
      </c>
      <c r="Y652" s="222"/>
      <c r="Z652" s="272">
        <f t="shared" si="30"/>
        <v>0</v>
      </c>
      <c r="AA652" s="331"/>
      <c r="AB652" s="331"/>
      <c r="AC652" s="331"/>
      <c r="AD652" s="331"/>
      <c r="AE652" s="331"/>
      <c r="AF652" s="331"/>
      <c r="AG652" s="331"/>
      <c r="AH652" s="241">
        <f t="shared" ca="1" si="31"/>
        <v>46153</v>
      </c>
      <c r="AI652" s="272"/>
      <c r="AJ652" s="222"/>
      <c r="AK652" s="222"/>
    </row>
    <row r="653" spans="1:37" ht="23" hidden="1">
      <c r="A653" s="111">
        <v>518</v>
      </c>
      <c r="B653" s="164">
        <v>7</v>
      </c>
      <c r="C653" s="165" t="s">
        <v>1467</v>
      </c>
      <c r="D653" s="147" t="s">
        <v>1468</v>
      </c>
      <c r="E653" s="114" t="s">
        <v>1469</v>
      </c>
      <c r="F653" s="115" t="s">
        <v>951</v>
      </c>
      <c r="G653" s="115" t="s">
        <v>1435</v>
      </c>
      <c r="H653" s="116">
        <v>13.830711000000001</v>
      </c>
      <c r="I653" s="116">
        <v>100.537014</v>
      </c>
      <c r="J653" s="121" t="s">
        <v>890</v>
      </c>
      <c r="K653" s="117" t="s">
        <v>891</v>
      </c>
      <c r="L653" s="117" t="s">
        <v>891</v>
      </c>
      <c r="M653" s="124">
        <v>96897812</v>
      </c>
      <c r="N653" s="121" t="s">
        <v>892</v>
      </c>
      <c r="O653" s="135" t="s">
        <v>995</v>
      </c>
      <c r="P653" s="121" t="s">
        <v>972</v>
      </c>
      <c r="Q653" s="118">
        <v>80057501</v>
      </c>
      <c r="R653" s="119" t="s">
        <v>895</v>
      </c>
      <c r="S653" s="119" t="s">
        <v>895</v>
      </c>
      <c r="T653" s="222"/>
      <c r="U653" s="222"/>
      <c r="V653" s="222"/>
      <c r="W653" s="230"/>
      <c r="X653" s="331">
        <f t="shared" si="32"/>
        <v>0</v>
      </c>
      <c r="Y653" s="222"/>
      <c r="Z653" s="272">
        <f t="shared" si="30"/>
        <v>0</v>
      </c>
      <c r="AA653" s="331"/>
      <c r="AB653" s="331"/>
      <c r="AC653" s="331"/>
      <c r="AD653" s="331"/>
      <c r="AE653" s="331"/>
      <c r="AF653" s="331"/>
      <c r="AG653" s="331"/>
      <c r="AH653" s="241">
        <f t="shared" ca="1" si="31"/>
        <v>46153</v>
      </c>
      <c r="AI653" s="272"/>
      <c r="AJ653" s="222"/>
      <c r="AK653" s="222"/>
    </row>
    <row r="654" spans="1:37" ht="23.25" hidden="1" customHeight="1">
      <c r="A654" s="111">
        <v>575</v>
      </c>
      <c r="B654" s="164" t="s">
        <v>1459</v>
      </c>
      <c r="C654" s="165" t="s">
        <v>1535</v>
      </c>
      <c r="D654" s="147" t="s">
        <v>1536</v>
      </c>
      <c r="E654" s="114" t="s">
        <v>1537</v>
      </c>
      <c r="F654" s="115" t="s">
        <v>951</v>
      </c>
      <c r="G654" s="115" t="s">
        <v>984</v>
      </c>
      <c r="H654" s="116">
        <v>13.734088</v>
      </c>
      <c r="I654" s="116">
        <v>100.5604704</v>
      </c>
      <c r="J654" s="116" t="s">
        <v>890</v>
      </c>
      <c r="K654" s="117" t="s">
        <v>891</v>
      </c>
      <c r="L654" s="117" t="s">
        <v>891</v>
      </c>
      <c r="M654" s="117">
        <v>96887880</v>
      </c>
      <c r="N654" s="117" t="s">
        <v>892</v>
      </c>
      <c r="O654" s="121" t="s">
        <v>984</v>
      </c>
      <c r="P654" s="117" t="s">
        <v>894</v>
      </c>
      <c r="Q654" s="118">
        <v>80057501</v>
      </c>
      <c r="R654" s="119" t="s">
        <v>895</v>
      </c>
      <c r="S654" s="119" t="s">
        <v>895</v>
      </c>
      <c r="T654" s="222"/>
      <c r="U654" s="222"/>
      <c r="V654" s="222"/>
      <c r="W654" s="230"/>
      <c r="X654" s="331">
        <f t="shared" si="32"/>
        <v>0</v>
      </c>
      <c r="Y654" s="222"/>
      <c r="Z654" s="272">
        <f t="shared" si="30"/>
        <v>0</v>
      </c>
      <c r="AA654" s="331"/>
      <c r="AB654" s="331"/>
      <c r="AC654" s="331"/>
      <c r="AD654" s="331"/>
      <c r="AE654" s="331"/>
      <c r="AF654" s="331"/>
      <c r="AG654" s="331"/>
      <c r="AH654" s="241">
        <f t="shared" ca="1" si="31"/>
        <v>46153</v>
      </c>
      <c r="AI654" s="272"/>
      <c r="AJ654" s="222"/>
      <c r="AK654" s="222"/>
    </row>
    <row r="655" spans="1:37" ht="23.25" hidden="1" customHeight="1">
      <c r="A655" s="111">
        <v>592</v>
      </c>
      <c r="B655" s="164">
        <v>5</v>
      </c>
      <c r="C655" s="166" t="s">
        <v>1547</v>
      </c>
      <c r="D655" s="147" t="s">
        <v>1548</v>
      </c>
      <c r="E655" s="114" t="s">
        <v>1549</v>
      </c>
      <c r="F655" s="115" t="s">
        <v>951</v>
      </c>
      <c r="G655" s="115" t="s">
        <v>984</v>
      </c>
      <c r="H655" s="116">
        <v>13.727491300000001</v>
      </c>
      <c r="I655" s="116">
        <v>100.56025030000001</v>
      </c>
      <c r="J655" s="116" t="s">
        <v>890</v>
      </c>
      <c r="K655" s="117" t="s">
        <v>891</v>
      </c>
      <c r="L655" s="118" t="s">
        <v>891</v>
      </c>
      <c r="M655" s="117">
        <v>96887882</v>
      </c>
      <c r="N655" s="117" t="s">
        <v>892</v>
      </c>
      <c r="O655" s="121" t="s">
        <v>984</v>
      </c>
      <c r="P655" s="117" t="s">
        <v>894</v>
      </c>
      <c r="Q655" s="118">
        <v>80057501</v>
      </c>
      <c r="R655" s="119" t="s">
        <v>895</v>
      </c>
      <c r="S655" s="119" t="s">
        <v>895</v>
      </c>
      <c r="T655" s="222"/>
      <c r="U655" s="222"/>
      <c r="V655" s="222"/>
      <c r="W655" s="230"/>
      <c r="X655" s="331">
        <f t="shared" si="32"/>
        <v>0</v>
      </c>
      <c r="Y655" s="222"/>
      <c r="Z655" s="272">
        <f t="shared" si="30"/>
        <v>0</v>
      </c>
      <c r="AA655" s="331"/>
      <c r="AB655" s="331"/>
      <c r="AC655" s="331"/>
      <c r="AD655" s="331"/>
      <c r="AE655" s="331"/>
      <c r="AF655" s="331"/>
      <c r="AG655" s="331"/>
      <c r="AH655" s="241">
        <f t="shared" ca="1" si="31"/>
        <v>46153</v>
      </c>
      <c r="AI655" s="272"/>
      <c r="AJ655" s="222"/>
      <c r="AK655" s="222"/>
    </row>
    <row r="656" spans="1:37" ht="23.25" hidden="1" customHeight="1">
      <c r="A656" s="111">
        <v>594</v>
      </c>
      <c r="B656" s="164">
        <v>6</v>
      </c>
      <c r="C656" s="165" t="s">
        <v>1550</v>
      </c>
      <c r="D656" s="147" t="s">
        <v>1551</v>
      </c>
      <c r="E656" s="114" t="s">
        <v>1552</v>
      </c>
      <c r="F656" s="115" t="s">
        <v>951</v>
      </c>
      <c r="G656" s="115" t="s">
        <v>1094</v>
      </c>
      <c r="H656" s="116">
        <v>13.829914</v>
      </c>
      <c r="I656" s="116">
        <v>100.543845</v>
      </c>
      <c r="J656" s="116" t="s">
        <v>890</v>
      </c>
      <c r="K656" s="117" t="s">
        <v>891</v>
      </c>
      <c r="L656" s="118" t="s">
        <v>891</v>
      </c>
      <c r="M656" s="117">
        <v>96916199</v>
      </c>
      <c r="N656" s="117" t="s">
        <v>892</v>
      </c>
      <c r="O656" s="135" t="s">
        <v>995</v>
      </c>
      <c r="P656" s="118" t="s">
        <v>952</v>
      </c>
      <c r="Q656" s="118">
        <v>80057501</v>
      </c>
      <c r="R656" s="119" t="s">
        <v>895</v>
      </c>
      <c r="S656" s="119" t="s">
        <v>895</v>
      </c>
      <c r="T656" s="222"/>
      <c r="U656" s="222"/>
      <c r="V656" s="222"/>
      <c r="W656" s="230"/>
      <c r="X656" s="331">
        <f t="shared" si="32"/>
        <v>0</v>
      </c>
      <c r="Y656" s="222"/>
      <c r="Z656" s="272">
        <f t="shared" si="30"/>
        <v>0</v>
      </c>
      <c r="AA656" s="331"/>
      <c r="AB656" s="331"/>
      <c r="AC656" s="331"/>
      <c r="AD656" s="331"/>
      <c r="AE656" s="331"/>
      <c r="AF656" s="331"/>
      <c r="AG656" s="331"/>
      <c r="AH656" s="241">
        <f t="shared" ca="1" si="31"/>
        <v>46153</v>
      </c>
      <c r="AI656" s="272"/>
      <c r="AJ656" s="222"/>
      <c r="AK656" s="222"/>
    </row>
    <row r="657" spans="1:37" ht="23.25" hidden="1" customHeight="1">
      <c r="A657" s="111">
        <v>705</v>
      </c>
      <c r="B657" s="164" t="s">
        <v>1082</v>
      </c>
      <c r="C657" s="165" t="s">
        <v>1676</v>
      </c>
      <c r="D657" s="147" t="s">
        <v>1677</v>
      </c>
      <c r="E657" s="114" t="s">
        <v>1678</v>
      </c>
      <c r="F657" s="115" t="s">
        <v>951</v>
      </c>
      <c r="G657" s="115" t="s">
        <v>936</v>
      </c>
      <c r="H657" s="116">
        <v>13.780030399999999</v>
      </c>
      <c r="I657" s="116">
        <v>100.5738475</v>
      </c>
      <c r="J657" s="116" t="s">
        <v>890</v>
      </c>
      <c r="K657" s="117" t="s">
        <v>891</v>
      </c>
      <c r="L657" s="118" t="s">
        <v>891</v>
      </c>
      <c r="M657" s="117">
        <v>96887875</v>
      </c>
      <c r="N657" s="117" t="s">
        <v>892</v>
      </c>
      <c r="O657" s="121" t="s">
        <v>901</v>
      </c>
      <c r="P657" s="117" t="s">
        <v>952</v>
      </c>
      <c r="Q657" s="118">
        <v>80057501</v>
      </c>
      <c r="R657" s="119" t="s">
        <v>895</v>
      </c>
      <c r="S657" s="119" t="s">
        <v>895</v>
      </c>
      <c r="T657" s="222"/>
      <c r="U657" s="222"/>
      <c r="V657" s="222"/>
      <c r="W657" s="230"/>
      <c r="X657" s="331">
        <f t="shared" si="32"/>
        <v>0</v>
      </c>
      <c r="Y657" s="222"/>
      <c r="Z657" s="272">
        <f t="shared" si="30"/>
        <v>0</v>
      </c>
      <c r="AA657" s="331"/>
      <c r="AB657" s="331"/>
      <c r="AC657" s="331"/>
      <c r="AD657" s="331"/>
      <c r="AE657" s="331"/>
      <c r="AF657" s="331"/>
      <c r="AG657" s="331"/>
      <c r="AH657" s="241">
        <f t="shared" ca="1" si="31"/>
        <v>46153</v>
      </c>
      <c r="AI657" s="272"/>
      <c r="AJ657" s="222"/>
      <c r="AK657" s="222"/>
    </row>
    <row r="658" spans="1:37" ht="23.25" hidden="1" customHeight="1">
      <c r="A658" s="111">
        <v>818</v>
      </c>
      <c r="B658" s="164">
        <v>16</v>
      </c>
      <c r="C658" s="166" t="s">
        <v>1791</v>
      </c>
      <c r="D658" s="147" t="s">
        <v>1792</v>
      </c>
      <c r="E658" s="123" t="s">
        <v>1793</v>
      </c>
      <c r="F658" s="116" t="s">
        <v>951</v>
      </c>
      <c r="G658" s="116" t="s">
        <v>984</v>
      </c>
      <c r="H658" s="116">
        <v>13.716866</v>
      </c>
      <c r="I658" s="116">
        <v>100.5577341</v>
      </c>
      <c r="J658" s="116" t="s">
        <v>890</v>
      </c>
      <c r="K658" s="117" t="s">
        <v>891</v>
      </c>
      <c r="L658" s="117" t="s">
        <v>891</v>
      </c>
      <c r="M658" s="117">
        <v>96887885</v>
      </c>
      <c r="N658" s="117" t="s">
        <v>892</v>
      </c>
      <c r="O658" s="135" t="s">
        <v>984</v>
      </c>
      <c r="P658" s="117" t="s">
        <v>894</v>
      </c>
      <c r="Q658" s="118">
        <v>80057501</v>
      </c>
      <c r="R658" s="119" t="s">
        <v>895</v>
      </c>
      <c r="S658" s="119" t="s">
        <v>895</v>
      </c>
      <c r="T658" s="222"/>
      <c r="U658" s="222"/>
      <c r="V658" s="222"/>
      <c r="W658" s="230"/>
      <c r="X658" s="331">
        <f t="shared" si="32"/>
        <v>0</v>
      </c>
      <c r="Y658" s="222"/>
      <c r="Z658" s="272">
        <f t="shared" si="30"/>
        <v>0</v>
      </c>
      <c r="AA658" s="331"/>
      <c r="AB658" s="331"/>
      <c r="AC658" s="331"/>
      <c r="AD658" s="331"/>
      <c r="AE658" s="331"/>
      <c r="AF658" s="331"/>
      <c r="AG658" s="331"/>
      <c r="AH658" s="241">
        <f t="shared" ca="1" si="31"/>
        <v>46153</v>
      </c>
      <c r="AI658" s="272"/>
      <c r="AJ658" s="222"/>
      <c r="AK658" s="222"/>
    </row>
    <row r="659" spans="1:37" ht="23.25" hidden="1" customHeight="1">
      <c r="A659" s="111">
        <v>835</v>
      </c>
      <c r="B659" s="164">
        <v>12</v>
      </c>
      <c r="C659" s="165" t="s">
        <v>1812</v>
      </c>
      <c r="D659" s="147" t="s">
        <v>1813</v>
      </c>
      <c r="E659" s="114" t="s">
        <v>1814</v>
      </c>
      <c r="F659" s="115" t="s">
        <v>951</v>
      </c>
      <c r="G659" s="115" t="s">
        <v>984</v>
      </c>
      <c r="H659" s="116">
        <v>13.7184566</v>
      </c>
      <c r="I659" s="116">
        <v>100.5583666</v>
      </c>
      <c r="J659" s="116" t="s">
        <v>890</v>
      </c>
      <c r="K659" s="117" t="s">
        <v>891</v>
      </c>
      <c r="L659" s="117" t="s">
        <v>891</v>
      </c>
      <c r="M659" s="117">
        <v>96887886</v>
      </c>
      <c r="N659" s="117" t="s">
        <v>892</v>
      </c>
      <c r="O659" s="121" t="s">
        <v>984</v>
      </c>
      <c r="P659" s="117" t="s">
        <v>894</v>
      </c>
      <c r="Q659" s="118">
        <v>80057501</v>
      </c>
      <c r="R659" s="119" t="s">
        <v>895</v>
      </c>
      <c r="S659" s="119" t="s">
        <v>895</v>
      </c>
      <c r="T659" s="222"/>
      <c r="U659" s="222"/>
      <c r="V659" s="222"/>
      <c r="W659" s="230"/>
      <c r="X659" s="331">
        <f t="shared" si="32"/>
        <v>0</v>
      </c>
      <c r="Y659" s="222"/>
      <c r="Z659" s="272">
        <f t="shared" si="30"/>
        <v>0</v>
      </c>
      <c r="AA659" s="331"/>
      <c r="AB659" s="331"/>
      <c r="AC659" s="331"/>
      <c r="AD659" s="331"/>
      <c r="AE659" s="331"/>
      <c r="AF659" s="331"/>
      <c r="AG659" s="331"/>
      <c r="AH659" s="241">
        <f t="shared" ca="1" si="31"/>
        <v>46153</v>
      </c>
      <c r="AI659" s="272"/>
      <c r="AJ659" s="222"/>
      <c r="AK659" s="222"/>
    </row>
    <row r="660" spans="1:37" ht="23.25" hidden="1" customHeight="1">
      <c r="A660" s="111">
        <v>937</v>
      </c>
      <c r="B660" s="164">
        <v>4</v>
      </c>
      <c r="C660" s="165" t="s">
        <v>1870</v>
      </c>
      <c r="D660" s="147" t="s">
        <v>1871</v>
      </c>
      <c r="E660" s="114" t="s">
        <v>1872</v>
      </c>
      <c r="F660" s="115" t="s">
        <v>951</v>
      </c>
      <c r="G660" s="115" t="s">
        <v>1094</v>
      </c>
      <c r="H660" s="116">
        <v>13.830261800000001</v>
      </c>
      <c r="I660" s="116">
        <v>100.5607663</v>
      </c>
      <c r="J660" s="116" t="s">
        <v>890</v>
      </c>
      <c r="K660" s="117" t="s">
        <v>891</v>
      </c>
      <c r="L660" s="118" t="s">
        <v>891</v>
      </c>
      <c r="M660" s="117">
        <v>96916387</v>
      </c>
      <c r="N660" s="117" t="s">
        <v>892</v>
      </c>
      <c r="O660" s="135" t="s">
        <v>995</v>
      </c>
      <c r="P660" s="118" t="s">
        <v>952</v>
      </c>
      <c r="Q660" s="118">
        <v>80057501</v>
      </c>
      <c r="R660" s="119" t="s">
        <v>895</v>
      </c>
      <c r="S660" s="119" t="s">
        <v>895</v>
      </c>
      <c r="T660" s="222"/>
      <c r="U660" s="222"/>
      <c r="V660" s="222"/>
      <c r="W660" s="230"/>
      <c r="X660" s="331">
        <f t="shared" si="32"/>
        <v>0</v>
      </c>
      <c r="Y660" s="222"/>
      <c r="Z660" s="272">
        <f t="shared" si="30"/>
        <v>0</v>
      </c>
      <c r="AA660" s="331"/>
      <c r="AB660" s="331"/>
      <c r="AC660" s="331"/>
      <c r="AD660" s="331"/>
      <c r="AE660" s="331"/>
      <c r="AF660" s="331"/>
      <c r="AG660" s="331"/>
      <c r="AH660" s="241">
        <f t="shared" ca="1" si="31"/>
        <v>46153</v>
      </c>
      <c r="AI660" s="272"/>
      <c r="AJ660" s="222"/>
      <c r="AK660" s="222"/>
    </row>
    <row r="661" spans="1:37" ht="23.25" hidden="1" customHeight="1">
      <c r="A661" s="111">
        <v>946</v>
      </c>
      <c r="B661" s="164">
        <v>13</v>
      </c>
      <c r="C661" s="165" t="s">
        <v>1880</v>
      </c>
      <c r="D661" s="147" t="s">
        <v>1881</v>
      </c>
      <c r="E661" s="114" t="s">
        <v>5127</v>
      </c>
      <c r="F661" s="115" t="s">
        <v>951</v>
      </c>
      <c r="G661" s="115" t="s">
        <v>984</v>
      </c>
      <c r="H661" s="116">
        <v>13.7349269</v>
      </c>
      <c r="I661" s="116">
        <v>100.5608173</v>
      </c>
      <c r="J661" s="116" t="s">
        <v>969</v>
      </c>
      <c r="K661" s="116" t="s">
        <v>970</v>
      </c>
      <c r="L661" s="117" t="s">
        <v>1882</v>
      </c>
      <c r="M661" s="124">
        <v>96887889</v>
      </c>
      <c r="N661" s="121" t="s">
        <v>892</v>
      </c>
      <c r="O661" s="135" t="s">
        <v>984</v>
      </c>
      <c r="P661" s="117" t="s">
        <v>894</v>
      </c>
      <c r="Q661" s="118">
        <v>80057501</v>
      </c>
      <c r="R661" s="119" t="s">
        <v>895</v>
      </c>
      <c r="S661" s="125" t="s">
        <v>972</v>
      </c>
      <c r="T661" s="222"/>
      <c r="U661" s="222"/>
      <c r="V661" s="222"/>
      <c r="W661" s="230"/>
      <c r="X661" s="331">
        <f t="shared" si="32"/>
        <v>0</v>
      </c>
      <c r="Y661" s="222"/>
      <c r="Z661" s="272">
        <f t="shared" si="30"/>
        <v>0</v>
      </c>
      <c r="AA661" s="331"/>
      <c r="AB661" s="331"/>
      <c r="AC661" s="331"/>
      <c r="AD661" s="331"/>
      <c r="AE661" s="331"/>
      <c r="AF661" s="331"/>
      <c r="AG661" s="331"/>
      <c r="AH661" s="241">
        <f t="shared" ca="1" si="31"/>
        <v>46153</v>
      </c>
      <c r="AI661" s="272"/>
      <c r="AJ661" s="222"/>
      <c r="AK661" s="222"/>
    </row>
    <row r="662" spans="1:37" ht="23.25" hidden="1" customHeight="1">
      <c r="A662" s="111">
        <v>1069</v>
      </c>
      <c r="B662" s="164">
        <v>1</v>
      </c>
      <c r="C662" s="165" t="s">
        <v>2013</v>
      </c>
      <c r="D662" s="147" t="s">
        <v>2014</v>
      </c>
      <c r="E662" s="123" t="s">
        <v>2015</v>
      </c>
      <c r="F662" s="115" t="s">
        <v>951</v>
      </c>
      <c r="G662" s="115" t="s">
        <v>968</v>
      </c>
      <c r="H662" s="116">
        <v>13.773535000000001</v>
      </c>
      <c r="I662" s="116">
        <v>100.57328</v>
      </c>
      <c r="J662" s="116" t="s">
        <v>890</v>
      </c>
      <c r="K662" s="117" t="s">
        <v>891</v>
      </c>
      <c r="L662" s="117" t="s">
        <v>891</v>
      </c>
      <c r="M662" s="117">
        <v>96916210</v>
      </c>
      <c r="N662" s="117" t="s">
        <v>892</v>
      </c>
      <c r="O662" s="121" t="s">
        <v>901</v>
      </c>
      <c r="P662" s="117" t="s">
        <v>952</v>
      </c>
      <c r="Q662" s="125" t="s">
        <v>972</v>
      </c>
      <c r="R662" s="119" t="s">
        <v>895</v>
      </c>
      <c r="S662" s="119" t="s">
        <v>895</v>
      </c>
      <c r="T662" s="222"/>
      <c r="U662" s="222"/>
      <c r="V662" s="222"/>
      <c r="W662" s="230"/>
      <c r="X662" s="331">
        <f t="shared" si="32"/>
        <v>0</v>
      </c>
      <c r="Y662" s="222"/>
      <c r="Z662" s="272">
        <f t="shared" si="30"/>
        <v>0</v>
      </c>
      <c r="AA662" s="331"/>
      <c r="AB662" s="331"/>
      <c r="AC662" s="331"/>
      <c r="AD662" s="331"/>
      <c r="AE662" s="331"/>
      <c r="AF662" s="331"/>
      <c r="AG662" s="331"/>
      <c r="AH662" s="241">
        <f t="shared" ca="1" si="31"/>
        <v>46153</v>
      </c>
      <c r="AI662" s="272"/>
      <c r="AJ662" s="222"/>
      <c r="AK662" s="222"/>
    </row>
    <row r="663" spans="1:37" ht="23.25" hidden="1" customHeight="1">
      <c r="A663" s="111">
        <v>1148</v>
      </c>
      <c r="B663" s="164">
        <v>8</v>
      </c>
      <c r="C663" s="165" t="s">
        <v>2071</v>
      </c>
      <c r="D663" s="147" t="s">
        <v>2072</v>
      </c>
      <c r="E663" s="114" t="s">
        <v>2073</v>
      </c>
      <c r="F663" s="115" t="s">
        <v>951</v>
      </c>
      <c r="G663" s="115" t="s">
        <v>936</v>
      </c>
      <c r="H663" s="116">
        <v>13.774934999999999</v>
      </c>
      <c r="I663" s="116">
        <v>100.57354100000001</v>
      </c>
      <c r="J663" s="116" t="s">
        <v>969</v>
      </c>
      <c r="K663" s="115" t="s">
        <v>1048</v>
      </c>
      <c r="L663" s="117" t="s">
        <v>2074</v>
      </c>
      <c r="M663" s="117">
        <v>96887906</v>
      </c>
      <c r="N663" s="117" t="s">
        <v>892</v>
      </c>
      <c r="O663" s="121" t="s">
        <v>901</v>
      </c>
      <c r="P663" s="117" t="s">
        <v>952</v>
      </c>
      <c r="Q663" s="118">
        <v>80057501</v>
      </c>
      <c r="R663" s="119" t="s">
        <v>895</v>
      </c>
      <c r="S663" s="125" t="s">
        <v>972</v>
      </c>
      <c r="T663" s="222"/>
      <c r="U663" s="222"/>
      <c r="V663" s="222"/>
      <c r="W663" s="230"/>
      <c r="X663" s="331">
        <f t="shared" si="32"/>
        <v>0</v>
      </c>
      <c r="Y663" s="222"/>
      <c r="Z663" s="272">
        <f t="shared" si="30"/>
        <v>0</v>
      </c>
      <c r="AA663" s="331"/>
      <c r="AB663" s="331"/>
      <c r="AC663" s="331"/>
      <c r="AD663" s="331"/>
      <c r="AE663" s="331"/>
      <c r="AF663" s="331"/>
      <c r="AG663" s="331"/>
      <c r="AH663" s="241">
        <f t="shared" ca="1" si="31"/>
        <v>46153</v>
      </c>
      <c r="AI663" s="272"/>
      <c r="AJ663" s="222"/>
      <c r="AK663" s="222"/>
    </row>
    <row r="664" spans="1:37" ht="23.25" hidden="1" customHeight="1">
      <c r="A664" s="111">
        <v>1163</v>
      </c>
      <c r="B664" s="164">
        <v>14</v>
      </c>
      <c r="C664" s="166" t="s">
        <v>2083</v>
      </c>
      <c r="D664" s="147" t="s">
        <v>2084</v>
      </c>
      <c r="E664" s="123" t="s">
        <v>2085</v>
      </c>
      <c r="F664" s="116" t="s">
        <v>951</v>
      </c>
      <c r="G664" s="116" t="s">
        <v>984</v>
      </c>
      <c r="H664" s="116">
        <v>13.720803399999999</v>
      </c>
      <c r="I664" s="116">
        <v>100.55917549999999</v>
      </c>
      <c r="J664" s="116" t="s">
        <v>890</v>
      </c>
      <c r="K664" s="117" t="s">
        <v>891</v>
      </c>
      <c r="L664" s="117" t="s">
        <v>891</v>
      </c>
      <c r="M664" s="117">
        <v>96887890</v>
      </c>
      <c r="N664" s="117" t="s">
        <v>892</v>
      </c>
      <c r="O664" s="121" t="s">
        <v>984</v>
      </c>
      <c r="P664" s="117" t="s">
        <v>894</v>
      </c>
      <c r="Q664" s="118">
        <v>80057501</v>
      </c>
      <c r="R664" s="138" t="s">
        <v>895</v>
      </c>
      <c r="S664" s="119" t="s">
        <v>895</v>
      </c>
      <c r="T664" s="222"/>
      <c r="U664" s="222"/>
      <c r="V664" s="222"/>
      <c r="W664" s="230"/>
      <c r="X664" s="331">
        <f t="shared" si="32"/>
        <v>0</v>
      </c>
      <c r="Y664" s="222"/>
      <c r="Z664" s="272">
        <f t="shared" si="30"/>
        <v>0</v>
      </c>
      <c r="AA664" s="331"/>
      <c r="AB664" s="331"/>
      <c r="AC664" s="331"/>
      <c r="AD664" s="331"/>
      <c r="AE664" s="331"/>
      <c r="AF664" s="331"/>
      <c r="AG664" s="331"/>
      <c r="AH664" s="241">
        <f t="shared" ca="1" si="31"/>
        <v>46153</v>
      </c>
      <c r="AI664" s="272"/>
      <c r="AJ664" s="222"/>
      <c r="AK664" s="222"/>
    </row>
    <row r="665" spans="1:37" ht="23" hidden="1">
      <c r="A665" s="111">
        <v>19</v>
      </c>
      <c r="B665" s="164" t="s">
        <v>1818</v>
      </c>
      <c r="C665" s="165" t="s">
        <v>2125</v>
      </c>
      <c r="D665" s="147" t="s">
        <v>2126</v>
      </c>
      <c r="E665" s="114" t="s">
        <v>2127</v>
      </c>
      <c r="F665" s="115" t="s">
        <v>951</v>
      </c>
      <c r="G665" s="115" t="s">
        <v>936</v>
      </c>
      <c r="H665" s="116">
        <v>13.786288000000001</v>
      </c>
      <c r="I665" s="116">
        <v>100.574077</v>
      </c>
      <c r="J665" s="116" t="s">
        <v>969</v>
      </c>
      <c r="K665" s="115" t="s">
        <v>1048</v>
      </c>
      <c r="L665" s="117" t="s">
        <v>2128</v>
      </c>
      <c r="M665" s="117">
        <v>96941168</v>
      </c>
      <c r="N665" s="121" t="s">
        <v>892</v>
      </c>
      <c r="O665" s="135" t="s">
        <v>901</v>
      </c>
      <c r="P665" s="117" t="s">
        <v>952</v>
      </c>
      <c r="Q665" s="125" t="s">
        <v>972</v>
      </c>
      <c r="R665" s="125" t="s">
        <v>972</v>
      </c>
      <c r="S665" s="125" t="s">
        <v>972</v>
      </c>
      <c r="T665" s="222"/>
      <c r="U665" s="222"/>
      <c r="V665" s="222"/>
      <c r="W665" s="230"/>
      <c r="X665" s="331">
        <f t="shared" si="32"/>
        <v>0</v>
      </c>
      <c r="Y665" s="222"/>
      <c r="Z665" s="272">
        <f t="shared" si="30"/>
        <v>0</v>
      </c>
      <c r="AA665" s="331"/>
      <c r="AB665" s="331"/>
      <c r="AC665" s="331"/>
      <c r="AD665" s="331"/>
      <c r="AE665" s="331"/>
      <c r="AF665" s="331"/>
      <c r="AG665" s="331"/>
      <c r="AH665" s="241">
        <f t="shared" ca="1" si="31"/>
        <v>46153</v>
      </c>
      <c r="AI665" s="272"/>
      <c r="AJ665" s="222"/>
      <c r="AK665" s="222"/>
    </row>
    <row r="666" spans="1:37" ht="24" hidden="1" customHeight="1">
      <c r="A666" s="111">
        <v>20</v>
      </c>
      <c r="B666" s="164">
        <v>3</v>
      </c>
      <c r="C666" s="167" t="s">
        <v>2129</v>
      </c>
      <c r="D666" s="147" t="s">
        <v>2130</v>
      </c>
      <c r="E666" s="123" t="s">
        <v>2131</v>
      </c>
      <c r="F666" s="115" t="s">
        <v>951</v>
      </c>
      <c r="G666" s="115" t="s">
        <v>936</v>
      </c>
      <c r="H666" s="116">
        <v>13.763556899999999</v>
      </c>
      <c r="I666" s="116">
        <v>100.56834000000001</v>
      </c>
      <c r="J666" s="116" t="s">
        <v>2097</v>
      </c>
      <c r="K666" s="116" t="s">
        <v>2097</v>
      </c>
      <c r="L666" s="117" t="s">
        <v>2132</v>
      </c>
      <c r="M666" s="121" t="s">
        <v>972</v>
      </c>
      <c r="N666" s="121" t="s">
        <v>892</v>
      </c>
      <c r="O666" s="121" t="s">
        <v>901</v>
      </c>
      <c r="P666" s="117" t="s">
        <v>952</v>
      </c>
      <c r="Q666" s="125" t="s">
        <v>972</v>
      </c>
      <c r="R666" s="130" t="s">
        <v>972</v>
      </c>
      <c r="S666" s="125" t="s">
        <v>972</v>
      </c>
      <c r="T666" s="222"/>
      <c r="U666" s="222"/>
      <c r="V666" s="222"/>
      <c r="W666" s="230"/>
      <c r="X666" s="331">
        <f t="shared" si="32"/>
        <v>0</v>
      </c>
      <c r="Y666" s="222"/>
      <c r="Z666" s="272">
        <f t="shared" si="30"/>
        <v>0</v>
      </c>
      <c r="AA666" s="331"/>
      <c r="AB666" s="331"/>
      <c r="AC666" s="331"/>
      <c r="AD666" s="331"/>
      <c r="AE666" s="331"/>
      <c r="AF666" s="331"/>
      <c r="AG666" s="331"/>
      <c r="AH666" s="241">
        <f t="shared" ca="1" si="31"/>
        <v>46153</v>
      </c>
      <c r="AI666" s="272"/>
      <c r="AJ666" s="222"/>
      <c r="AK666" s="222"/>
    </row>
    <row r="667" spans="1:37" ht="23" hidden="1">
      <c r="A667" s="111">
        <v>31</v>
      </c>
      <c r="B667" s="112">
        <v>12</v>
      </c>
      <c r="C667" s="122" t="s">
        <v>2160</v>
      </c>
      <c r="D667" s="147" t="s">
        <v>2161</v>
      </c>
      <c r="E667" s="114" t="s">
        <v>2162</v>
      </c>
      <c r="F667" s="115" t="s">
        <v>951</v>
      </c>
      <c r="G667" s="115" t="s">
        <v>1094</v>
      </c>
      <c r="H667" s="116">
        <v>13.825234999999999</v>
      </c>
      <c r="I667" s="116">
        <v>100.571325</v>
      </c>
      <c r="J667" s="116" t="s">
        <v>969</v>
      </c>
      <c r="K667" s="115" t="s">
        <v>1048</v>
      </c>
      <c r="L667" s="117" t="s">
        <v>2163</v>
      </c>
      <c r="M667" s="117">
        <v>96941186</v>
      </c>
      <c r="N667" s="121" t="s">
        <v>892</v>
      </c>
      <c r="O667" s="121" t="s">
        <v>995</v>
      </c>
      <c r="P667" s="118" t="s">
        <v>952</v>
      </c>
      <c r="Q667" s="125" t="s">
        <v>972</v>
      </c>
      <c r="R667" s="130" t="s">
        <v>972</v>
      </c>
      <c r="S667" s="125" t="s">
        <v>972</v>
      </c>
      <c r="T667" s="222"/>
      <c r="U667" s="222"/>
      <c r="V667" s="222"/>
      <c r="W667" s="230"/>
      <c r="X667" s="331">
        <f t="shared" si="32"/>
        <v>0</v>
      </c>
      <c r="Y667" s="222"/>
      <c r="Z667" s="272">
        <f t="shared" si="30"/>
        <v>0</v>
      </c>
      <c r="AA667" s="331"/>
      <c r="AB667" s="331"/>
      <c r="AC667" s="331"/>
      <c r="AD667" s="331"/>
      <c r="AE667" s="331"/>
      <c r="AF667" s="331"/>
      <c r="AG667" s="331"/>
      <c r="AH667" s="241">
        <f t="shared" ca="1" si="31"/>
        <v>46153</v>
      </c>
      <c r="AI667" s="272"/>
      <c r="AJ667" s="222"/>
      <c r="AK667" s="222"/>
    </row>
    <row r="668" spans="1:37" ht="23.25" hidden="1" customHeight="1">
      <c r="A668" s="111">
        <v>77</v>
      </c>
      <c r="B668" s="112">
        <v>1</v>
      </c>
      <c r="C668" s="122" t="s">
        <v>2177</v>
      </c>
      <c r="D668" s="147" t="s">
        <v>2178</v>
      </c>
      <c r="E668" s="123" t="s">
        <v>2179</v>
      </c>
      <c r="F668" s="116" t="s">
        <v>951</v>
      </c>
      <c r="G668" s="116" t="s">
        <v>936</v>
      </c>
      <c r="H668" s="116">
        <v>13.798193700000001</v>
      </c>
      <c r="I668" s="116">
        <v>100.5747193</v>
      </c>
      <c r="J668" s="116" t="s">
        <v>890</v>
      </c>
      <c r="K668" s="117" t="s">
        <v>2180</v>
      </c>
      <c r="L668" s="117" t="s">
        <v>2180</v>
      </c>
      <c r="M668" s="117">
        <v>77114966</v>
      </c>
      <c r="N668" s="117" t="s">
        <v>892</v>
      </c>
      <c r="O668" s="121" t="s">
        <v>995</v>
      </c>
      <c r="P668" s="118" t="s">
        <v>1876</v>
      </c>
      <c r="Q668" s="125" t="s">
        <v>972</v>
      </c>
      <c r="R668" s="138" t="s">
        <v>895</v>
      </c>
      <c r="S668" s="119" t="s">
        <v>895</v>
      </c>
      <c r="T668" s="222"/>
      <c r="U668" s="222"/>
      <c r="V668" s="222"/>
      <c r="W668" s="230"/>
      <c r="X668" s="331">
        <f t="shared" si="32"/>
        <v>0</v>
      </c>
      <c r="Y668" s="222"/>
      <c r="Z668" s="272">
        <f t="shared" si="30"/>
        <v>0</v>
      </c>
      <c r="AA668" s="331"/>
      <c r="AB668" s="331"/>
      <c r="AC668" s="331"/>
      <c r="AD668" s="331"/>
      <c r="AE668" s="331"/>
      <c r="AF668" s="331"/>
      <c r="AG668" s="331"/>
      <c r="AH668" s="241">
        <f t="shared" ca="1" si="31"/>
        <v>46153</v>
      </c>
      <c r="AI668" s="272"/>
      <c r="AJ668" s="222"/>
      <c r="AK668" s="222"/>
    </row>
    <row r="669" spans="1:37" ht="23.25" hidden="1" customHeight="1">
      <c r="A669" s="111">
        <v>52</v>
      </c>
      <c r="B669" s="112" t="s">
        <v>1114</v>
      </c>
      <c r="C669" s="113" t="s">
        <v>2222</v>
      </c>
      <c r="D669" s="147" t="s">
        <v>2223</v>
      </c>
      <c r="E669" s="123" t="s">
        <v>2224</v>
      </c>
      <c r="F669" s="116" t="s">
        <v>951</v>
      </c>
      <c r="G669" s="116" t="s">
        <v>1094</v>
      </c>
      <c r="H669" s="116">
        <v>13.802681400000001</v>
      </c>
      <c r="I669" s="116">
        <v>100.57494699999999</v>
      </c>
      <c r="J669" s="115" t="s">
        <v>890</v>
      </c>
      <c r="K669" s="115" t="s">
        <v>2180</v>
      </c>
      <c r="L669" s="117" t="s">
        <v>2180</v>
      </c>
      <c r="M669" s="121">
        <v>77116509</v>
      </c>
      <c r="N669" s="121" t="s">
        <v>892</v>
      </c>
      <c r="O669" s="135" t="s">
        <v>995</v>
      </c>
      <c r="P669" s="117" t="s">
        <v>952</v>
      </c>
      <c r="Q669" s="125" t="s">
        <v>972</v>
      </c>
      <c r="R669" s="125" t="s">
        <v>972</v>
      </c>
      <c r="S669" s="125" t="s">
        <v>972</v>
      </c>
      <c r="T669" s="222"/>
      <c r="U669" s="222"/>
      <c r="V669" s="222"/>
      <c r="W669" s="230"/>
      <c r="X669" s="331">
        <f t="shared" si="32"/>
        <v>0</v>
      </c>
      <c r="Y669" s="222"/>
      <c r="Z669" s="272">
        <f t="shared" si="30"/>
        <v>0</v>
      </c>
      <c r="AA669" s="331"/>
      <c r="AB669" s="331"/>
      <c r="AC669" s="331"/>
      <c r="AD669" s="331"/>
      <c r="AE669" s="331"/>
      <c r="AF669" s="331"/>
      <c r="AG669" s="331"/>
      <c r="AH669" s="241">
        <f t="shared" ca="1" si="31"/>
        <v>46153</v>
      </c>
      <c r="AI669" s="272"/>
      <c r="AJ669" s="222"/>
      <c r="AK669" s="222"/>
    </row>
    <row r="670" spans="1:37" ht="23" hidden="1">
      <c r="A670" s="111">
        <v>64</v>
      </c>
      <c r="B670" s="112">
        <v>1</v>
      </c>
      <c r="C670" s="113" t="s">
        <v>2261</v>
      </c>
      <c r="D670" s="147" t="s">
        <v>2262</v>
      </c>
      <c r="E670" s="114" t="s">
        <v>2263</v>
      </c>
      <c r="F670" s="115" t="s">
        <v>951</v>
      </c>
      <c r="G670" s="115" t="s">
        <v>968</v>
      </c>
      <c r="H670" s="116">
        <v>13.7680328</v>
      </c>
      <c r="I670" s="116">
        <v>100.57154920000001</v>
      </c>
      <c r="J670" s="116" t="s">
        <v>969</v>
      </c>
      <c r="K670" s="115" t="s">
        <v>1048</v>
      </c>
      <c r="L670" s="118" t="s">
        <v>2264</v>
      </c>
      <c r="M670" s="121">
        <v>96941200</v>
      </c>
      <c r="N670" s="121" t="s">
        <v>892</v>
      </c>
      <c r="O670" s="135" t="s">
        <v>901</v>
      </c>
      <c r="P670" s="118" t="s">
        <v>952</v>
      </c>
      <c r="Q670" s="125" t="s">
        <v>972</v>
      </c>
      <c r="R670" s="130" t="s">
        <v>972</v>
      </c>
      <c r="S670" s="125" t="s">
        <v>972</v>
      </c>
      <c r="T670" s="222"/>
      <c r="U670" s="222"/>
      <c r="V670" s="222"/>
      <c r="W670" s="230"/>
      <c r="X670" s="331">
        <f t="shared" si="32"/>
        <v>0</v>
      </c>
      <c r="Y670" s="222"/>
      <c r="Z670" s="272">
        <f t="shared" si="30"/>
        <v>0</v>
      </c>
      <c r="AA670" s="331"/>
      <c r="AB670" s="331"/>
      <c r="AC670" s="331"/>
      <c r="AD670" s="331"/>
      <c r="AE670" s="331"/>
      <c r="AF670" s="331"/>
      <c r="AG670" s="331"/>
      <c r="AH670" s="241">
        <f t="shared" ca="1" si="31"/>
        <v>46153</v>
      </c>
      <c r="AI670" s="272"/>
      <c r="AJ670" s="222"/>
      <c r="AK670" s="222"/>
    </row>
    <row r="671" spans="1:37" ht="23" hidden="1">
      <c r="A671" s="111">
        <v>66</v>
      </c>
      <c r="B671" s="112">
        <v>15</v>
      </c>
      <c r="C671" s="113" t="s">
        <v>2265</v>
      </c>
      <c r="D671" s="147" t="s">
        <v>2266</v>
      </c>
      <c r="E671" s="114" t="s">
        <v>2267</v>
      </c>
      <c r="F671" s="115" t="s">
        <v>951</v>
      </c>
      <c r="G671" s="115" t="s">
        <v>968</v>
      </c>
      <c r="H671" s="116">
        <v>13.7754361</v>
      </c>
      <c r="I671" s="116">
        <v>100.5733656</v>
      </c>
      <c r="J671" s="116" t="s">
        <v>969</v>
      </c>
      <c r="K671" s="115" t="s">
        <v>1048</v>
      </c>
      <c r="L671" s="118" t="s">
        <v>2268</v>
      </c>
      <c r="M671" s="117">
        <v>96941164</v>
      </c>
      <c r="N671" s="121" t="s">
        <v>892</v>
      </c>
      <c r="O671" s="121" t="s">
        <v>901</v>
      </c>
      <c r="P671" s="118" t="s">
        <v>952</v>
      </c>
      <c r="Q671" s="125" t="s">
        <v>972</v>
      </c>
      <c r="R671" s="130" t="s">
        <v>972</v>
      </c>
      <c r="S671" s="125" t="s">
        <v>972</v>
      </c>
      <c r="T671" s="222"/>
      <c r="U671" s="222"/>
      <c r="V671" s="222"/>
      <c r="W671" s="230"/>
      <c r="X671" s="331">
        <f t="shared" si="32"/>
        <v>0</v>
      </c>
      <c r="Y671" s="222"/>
      <c r="Z671" s="272">
        <f t="shared" si="30"/>
        <v>0</v>
      </c>
      <c r="AA671" s="331"/>
      <c r="AB671" s="331"/>
      <c r="AC671" s="331"/>
      <c r="AD671" s="331"/>
      <c r="AE671" s="331"/>
      <c r="AF671" s="331"/>
      <c r="AG671" s="331"/>
      <c r="AH671" s="241">
        <f t="shared" ca="1" si="31"/>
        <v>46153</v>
      </c>
      <c r="AI671" s="272"/>
      <c r="AJ671" s="222"/>
      <c r="AK671" s="222"/>
    </row>
    <row r="672" spans="1:37" ht="23.25" hidden="1" customHeight="1">
      <c r="A672" s="111">
        <v>69</v>
      </c>
      <c r="B672" s="112">
        <v>3</v>
      </c>
      <c r="C672" s="122" t="s">
        <v>2269</v>
      </c>
      <c r="D672" s="147" t="s">
        <v>2270</v>
      </c>
      <c r="E672" s="114" t="s">
        <v>2271</v>
      </c>
      <c r="F672" s="115" t="s">
        <v>951</v>
      </c>
      <c r="G672" s="115" t="s">
        <v>968</v>
      </c>
      <c r="H672" s="116">
        <v>13.758528</v>
      </c>
      <c r="I672" s="116">
        <v>100.565399</v>
      </c>
      <c r="J672" s="116" t="s">
        <v>969</v>
      </c>
      <c r="K672" s="115" t="s">
        <v>1048</v>
      </c>
      <c r="L672" s="117" t="s">
        <v>2272</v>
      </c>
      <c r="M672" s="117">
        <v>96941184</v>
      </c>
      <c r="N672" s="121" t="s">
        <v>892</v>
      </c>
      <c r="O672" s="121" t="s">
        <v>901</v>
      </c>
      <c r="P672" s="118" t="s">
        <v>1876</v>
      </c>
      <c r="Q672" s="125" t="s">
        <v>972</v>
      </c>
      <c r="R672" s="125" t="s">
        <v>972</v>
      </c>
      <c r="S672" s="125" t="s">
        <v>972</v>
      </c>
      <c r="T672" s="222"/>
      <c r="U672" s="222"/>
      <c r="V672" s="222"/>
      <c r="W672" s="230"/>
      <c r="X672" s="331">
        <f t="shared" si="32"/>
        <v>0</v>
      </c>
      <c r="Y672" s="222"/>
      <c r="Z672" s="272">
        <f t="shared" si="30"/>
        <v>0</v>
      </c>
      <c r="AA672" s="331"/>
      <c r="AB672" s="331"/>
      <c r="AC672" s="331"/>
      <c r="AD672" s="331"/>
      <c r="AE672" s="331"/>
      <c r="AF672" s="331"/>
      <c r="AG672" s="331"/>
      <c r="AH672" s="241">
        <f t="shared" ca="1" si="31"/>
        <v>46153</v>
      </c>
      <c r="AI672" s="272"/>
      <c r="AJ672" s="222"/>
      <c r="AK672" s="222"/>
    </row>
    <row r="673" spans="1:37" ht="23" hidden="1">
      <c r="A673" s="111">
        <v>70</v>
      </c>
      <c r="B673" s="112">
        <v>11</v>
      </c>
      <c r="C673" s="113" t="s">
        <v>2273</v>
      </c>
      <c r="D673" s="147" t="s">
        <v>2274</v>
      </c>
      <c r="E673" s="114" t="s">
        <v>2275</v>
      </c>
      <c r="F673" s="115" t="s">
        <v>951</v>
      </c>
      <c r="G673" s="115" t="s">
        <v>968</v>
      </c>
      <c r="H673" s="115">
        <v>13.7590542</v>
      </c>
      <c r="I673" s="115">
        <v>100.5655216</v>
      </c>
      <c r="J673" s="116" t="s">
        <v>969</v>
      </c>
      <c r="K673" s="115" t="s">
        <v>1048</v>
      </c>
      <c r="L673" s="117" t="s">
        <v>2272</v>
      </c>
      <c r="M673" s="117">
        <v>96941184</v>
      </c>
      <c r="N673" s="121" t="s">
        <v>892</v>
      </c>
      <c r="O673" s="121" t="s">
        <v>901</v>
      </c>
      <c r="P673" s="118" t="s">
        <v>952</v>
      </c>
      <c r="Q673" s="125" t="s">
        <v>972</v>
      </c>
      <c r="R673" s="130" t="s">
        <v>972</v>
      </c>
      <c r="S673" s="125" t="s">
        <v>972</v>
      </c>
      <c r="T673" s="222"/>
      <c r="U673" s="222"/>
      <c r="V673" s="222"/>
      <c r="W673" s="230"/>
      <c r="X673" s="331">
        <f t="shared" si="32"/>
        <v>0</v>
      </c>
      <c r="Y673" s="222"/>
      <c r="Z673" s="272">
        <f t="shared" si="30"/>
        <v>0</v>
      </c>
      <c r="AA673" s="331"/>
      <c r="AB673" s="331"/>
      <c r="AC673" s="331"/>
      <c r="AD673" s="331"/>
      <c r="AE673" s="331"/>
      <c r="AF673" s="331"/>
      <c r="AG673" s="331"/>
      <c r="AH673" s="241">
        <f t="shared" ca="1" si="31"/>
        <v>46153</v>
      </c>
      <c r="AI673" s="272"/>
      <c r="AJ673" s="222"/>
      <c r="AK673" s="222"/>
    </row>
    <row r="674" spans="1:37" ht="23" hidden="1">
      <c r="A674" s="111">
        <v>71</v>
      </c>
      <c r="B674" s="112" t="s">
        <v>1553</v>
      </c>
      <c r="C674" s="113" t="s">
        <v>2276</v>
      </c>
      <c r="D674" s="147" t="s">
        <v>2277</v>
      </c>
      <c r="E674" s="114" t="s">
        <v>2278</v>
      </c>
      <c r="F674" s="115" t="s">
        <v>951</v>
      </c>
      <c r="G674" s="115" t="s">
        <v>968</v>
      </c>
      <c r="H674" s="116">
        <v>13.766971</v>
      </c>
      <c r="I674" s="116">
        <v>100.570724</v>
      </c>
      <c r="J674" s="116" t="s">
        <v>969</v>
      </c>
      <c r="K674" s="115" t="s">
        <v>1048</v>
      </c>
      <c r="L674" s="117" t="s">
        <v>2264</v>
      </c>
      <c r="M674" s="117">
        <v>96941200</v>
      </c>
      <c r="N674" s="121" t="s">
        <v>892</v>
      </c>
      <c r="O674" s="121" t="s">
        <v>901</v>
      </c>
      <c r="P674" s="118" t="s">
        <v>1876</v>
      </c>
      <c r="Q674" s="125" t="s">
        <v>972</v>
      </c>
      <c r="R674" s="130" t="s">
        <v>972</v>
      </c>
      <c r="S674" s="125" t="s">
        <v>972</v>
      </c>
      <c r="T674" s="222"/>
      <c r="U674" s="222"/>
      <c r="V674" s="222"/>
      <c r="W674" s="230"/>
      <c r="X674" s="331">
        <f t="shared" si="32"/>
        <v>0</v>
      </c>
      <c r="Y674" s="222"/>
      <c r="Z674" s="272">
        <f t="shared" si="30"/>
        <v>0</v>
      </c>
      <c r="AA674" s="331"/>
      <c r="AB674" s="331"/>
      <c r="AC674" s="331"/>
      <c r="AD674" s="331"/>
      <c r="AE674" s="331"/>
      <c r="AF674" s="331"/>
      <c r="AG674" s="331"/>
      <c r="AH674" s="241">
        <f t="shared" ca="1" si="31"/>
        <v>46153</v>
      </c>
      <c r="AI674" s="272"/>
      <c r="AJ674" s="222"/>
      <c r="AK674" s="222"/>
    </row>
    <row r="675" spans="1:37" ht="23" hidden="1">
      <c r="A675" s="111">
        <v>72</v>
      </c>
      <c r="B675" s="112">
        <v>10</v>
      </c>
      <c r="C675" s="122" t="s">
        <v>2279</v>
      </c>
      <c r="D675" s="147" t="s">
        <v>2280</v>
      </c>
      <c r="E675" s="114" t="s">
        <v>2281</v>
      </c>
      <c r="F675" s="115" t="s">
        <v>951</v>
      </c>
      <c r="G675" s="115" t="s">
        <v>968</v>
      </c>
      <c r="H675" s="116">
        <v>13.7683204</v>
      </c>
      <c r="I675" s="116">
        <v>100.571772</v>
      </c>
      <c r="J675" s="116" t="s">
        <v>969</v>
      </c>
      <c r="K675" s="116" t="s">
        <v>970</v>
      </c>
      <c r="L675" s="117" t="s">
        <v>2282</v>
      </c>
      <c r="M675" s="117">
        <v>96941200</v>
      </c>
      <c r="N675" s="121" t="s">
        <v>892</v>
      </c>
      <c r="O675" s="121" t="s">
        <v>901</v>
      </c>
      <c r="P675" s="117" t="s">
        <v>952</v>
      </c>
      <c r="Q675" s="125" t="s">
        <v>972</v>
      </c>
      <c r="R675" s="130" t="s">
        <v>972</v>
      </c>
      <c r="S675" s="125" t="s">
        <v>972</v>
      </c>
      <c r="T675" s="222"/>
      <c r="U675" s="222"/>
      <c r="V675" s="222"/>
      <c r="W675" s="230"/>
      <c r="X675" s="331">
        <f t="shared" si="32"/>
        <v>0</v>
      </c>
      <c r="Y675" s="222"/>
      <c r="Z675" s="272">
        <f t="shared" si="30"/>
        <v>0</v>
      </c>
      <c r="AA675" s="331"/>
      <c r="AB675" s="331"/>
      <c r="AC675" s="331"/>
      <c r="AD675" s="331"/>
      <c r="AE675" s="331"/>
      <c r="AF675" s="331"/>
      <c r="AG675" s="331"/>
      <c r="AH675" s="241">
        <f t="shared" ca="1" si="31"/>
        <v>46153</v>
      </c>
      <c r="AI675" s="272"/>
      <c r="AJ675" s="222"/>
      <c r="AK675" s="222"/>
    </row>
    <row r="676" spans="1:37" ht="23.25" hidden="1" customHeight="1">
      <c r="A676" s="111">
        <v>73</v>
      </c>
      <c r="B676" s="112" t="s">
        <v>1155</v>
      </c>
      <c r="C676" s="122" t="s">
        <v>2283</v>
      </c>
      <c r="D676" s="147" t="s">
        <v>2284</v>
      </c>
      <c r="E676" s="114" t="s">
        <v>2285</v>
      </c>
      <c r="F676" s="115" t="s">
        <v>951</v>
      </c>
      <c r="G676" s="115" t="s">
        <v>968</v>
      </c>
      <c r="H676" s="115">
        <v>13.765584199999999</v>
      </c>
      <c r="I676" s="115">
        <v>100.56965529999999</v>
      </c>
      <c r="J676" s="116" t="s">
        <v>969</v>
      </c>
      <c r="K676" s="115" t="s">
        <v>1048</v>
      </c>
      <c r="L676" s="117" t="s">
        <v>2286</v>
      </c>
      <c r="M676" s="117">
        <v>96941198</v>
      </c>
      <c r="N676" s="121" t="s">
        <v>892</v>
      </c>
      <c r="O676" s="121" t="s">
        <v>901</v>
      </c>
      <c r="P676" s="117" t="s">
        <v>952</v>
      </c>
      <c r="Q676" s="125" t="s">
        <v>972</v>
      </c>
      <c r="R676" s="125" t="s">
        <v>972</v>
      </c>
      <c r="S676" s="125" t="s">
        <v>972</v>
      </c>
      <c r="T676" s="222"/>
      <c r="U676" s="222"/>
      <c r="V676" s="222"/>
      <c r="W676" s="230"/>
      <c r="X676" s="331">
        <f t="shared" si="32"/>
        <v>0</v>
      </c>
      <c r="Y676" s="222"/>
      <c r="Z676" s="272">
        <f t="shared" si="30"/>
        <v>0</v>
      </c>
      <c r="AA676" s="331"/>
      <c r="AB676" s="331"/>
      <c r="AC676" s="331"/>
      <c r="AD676" s="331"/>
      <c r="AE676" s="331"/>
      <c r="AF676" s="331"/>
      <c r="AG676" s="331"/>
      <c r="AH676" s="241">
        <f t="shared" ca="1" si="31"/>
        <v>46153</v>
      </c>
      <c r="AI676" s="272"/>
      <c r="AJ676" s="222"/>
      <c r="AK676" s="222"/>
    </row>
    <row r="677" spans="1:37" ht="23" hidden="1">
      <c r="A677" s="111">
        <v>75</v>
      </c>
      <c r="B677" s="112">
        <v>8</v>
      </c>
      <c r="C677" s="122" t="s">
        <v>2291</v>
      </c>
      <c r="D677" s="147" t="s">
        <v>2292</v>
      </c>
      <c r="E677" s="123" t="s">
        <v>2293</v>
      </c>
      <c r="F677" s="116" t="s">
        <v>951</v>
      </c>
      <c r="G677" s="116" t="s">
        <v>936</v>
      </c>
      <c r="H677" s="116">
        <v>13.7569085</v>
      </c>
      <c r="I677" s="116">
        <v>100.56530549999999</v>
      </c>
      <c r="J677" s="116" t="s">
        <v>969</v>
      </c>
      <c r="K677" s="115" t="s">
        <v>1048</v>
      </c>
      <c r="L677" s="117" t="s">
        <v>2294</v>
      </c>
      <c r="M677" s="117">
        <v>96941185</v>
      </c>
      <c r="N677" s="121" t="s">
        <v>892</v>
      </c>
      <c r="O677" s="121" t="s">
        <v>901</v>
      </c>
      <c r="P677" s="117" t="s">
        <v>952</v>
      </c>
      <c r="Q677" s="125" t="s">
        <v>972</v>
      </c>
      <c r="R677" s="125" t="s">
        <v>972</v>
      </c>
      <c r="S677" s="125" t="s">
        <v>972</v>
      </c>
      <c r="T677" s="222"/>
      <c r="U677" s="222"/>
      <c r="V677" s="222"/>
      <c r="W677" s="230"/>
      <c r="X677" s="331">
        <f t="shared" si="32"/>
        <v>0</v>
      </c>
      <c r="Y677" s="222"/>
      <c r="Z677" s="272">
        <f t="shared" si="30"/>
        <v>0</v>
      </c>
      <c r="AA677" s="331"/>
      <c r="AB677" s="331"/>
      <c r="AC677" s="331"/>
      <c r="AD677" s="331"/>
      <c r="AE677" s="331"/>
      <c r="AF677" s="331"/>
      <c r="AG677" s="331"/>
      <c r="AH677" s="241">
        <f t="shared" ca="1" si="31"/>
        <v>46153</v>
      </c>
      <c r="AI677" s="272"/>
      <c r="AJ677" s="222"/>
      <c r="AK677" s="222"/>
    </row>
    <row r="678" spans="1:37" ht="23" hidden="1">
      <c r="A678" s="111">
        <v>76</v>
      </c>
      <c r="B678" s="112" t="s">
        <v>1553</v>
      </c>
      <c r="C678" s="122" t="s">
        <v>2295</v>
      </c>
      <c r="D678" s="147" t="s">
        <v>2296</v>
      </c>
      <c r="E678" s="123" t="s">
        <v>2297</v>
      </c>
      <c r="F678" s="116" t="s">
        <v>951</v>
      </c>
      <c r="G678" s="116" t="s">
        <v>968</v>
      </c>
      <c r="H678" s="116">
        <v>13.7824218</v>
      </c>
      <c r="I678" s="116">
        <v>100.5737276</v>
      </c>
      <c r="J678" s="115" t="s">
        <v>2108</v>
      </c>
      <c r="K678" s="117" t="s">
        <v>2136</v>
      </c>
      <c r="L678" s="117" t="s">
        <v>2298</v>
      </c>
      <c r="M678" s="121" t="s">
        <v>972</v>
      </c>
      <c r="N678" s="121" t="s">
        <v>972</v>
      </c>
      <c r="O678" s="121" t="s">
        <v>995</v>
      </c>
      <c r="P678" s="117" t="s">
        <v>952</v>
      </c>
      <c r="Q678" s="125" t="s">
        <v>972</v>
      </c>
      <c r="R678" s="125" t="s">
        <v>972</v>
      </c>
      <c r="S678" s="125" t="s">
        <v>972</v>
      </c>
      <c r="T678" s="222"/>
      <c r="U678" s="222"/>
      <c r="V678" s="222"/>
      <c r="W678" s="230"/>
      <c r="X678" s="331">
        <f t="shared" si="32"/>
        <v>0</v>
      </c>
      <c r="Y678" s="222"/>
      <c r="Z678" s="272">
        <f t="shared" si="30"/>
        <v>0</v>
      </c>
      <c r="AA678" s="331"/>
      <c r="AB678" s="331"/>
      <c r="AC678" s="331"/>
      <c r="AD678" s="331"/>
      <c r="AE678" s="331"/>
      <c r="AF678" s="331"/>
      <c r="AG678" s="331"/>
      <c r="AH678" s="241">
        <f t="shared" ca="1" si="31"/>
        <v>46153</v>
      </c>
      <c r="AI678" s="272"/>
      <c r="AJ678" s="222"/>
      <c r="AK678" s="222"/>
    </row>
    <row r="679" spans="1:37" ht="16.5" hidden="1" customHeight="1">
      <c r="A679" s="111">
        <v>78</v>
      </c>
      <c r="B679" s="112">
        <v>12</v>
      </c>
      <c r="C679" s="122" t="s">
        <v>2302</v>
      </c>
      <c r="D679" s="147" t="s">
        <v>2303</v>
      </c>
      <c r="E679" s="123" t="s">
        <v>2304</v>
      </c>
      <c r="F679" s="116" t="s">
        <v>951</v>
      </c>
      <c r="G679" s="116" t="s">
        <v>968</v>
      </c>
      <c r="H679" s="116">
        <v>13.764810600000001</v>
      </c>
      <c r="I679" s="116">
        <v>100.56913900000001</v>
      </c>
      <c r="J679" s="116" t="s">
        <v>969</v>
      </c>
      <c r="K679" s="115" t="s">
        <v>1048</v>
      </c>
      <c r="L679" s="117" t="s">
        <v>2286</v>
      </c>
      <c r="M679" s="117">
        <v>96941198</v>
      </c>
      <c r="N679" s="121" t="s">
        <v>892</v>
      </c>
      <c r="O679" s="121" t="s">
        <v>901</v>
      </c>
      <c r="P679" s="118" t="s">
        <v>952</v>
      </c>
      <c r="Q679" s="125" t="s">
        <v>972</v>
      </c>
      <c r="R679" s="125" t="s">
        <v>972</v>
      </c>
      <c r="S679" s="125" t="s">
        <v>972</v>
      </c>
      <c r="T679" s="222"/>
      <c r="U679" s="222"/>
      <c r="V679" s="222"/>
      <c r="W679" s="230"/>
      <c r="X679" s="331">
        <f t="shared" si="32"/>
        <v>0</v>
      </c>
      <c r="Y679" s="222"/>
      <c r="Z679" s="272">
        <f t="shared" si="30"/>
        <v>0</v>
      </c>
      <c r="AA679" s="331"/>
      <c r="AB679" s="331"/>
      <c r="AC679" s="331"/>
      <c r="AD679" s="331"/>
      <c r="AE679" s="331"/>
      <c r="AF679" s="331"/>
      <c r="AG679" s="331"/>
      <c r="AH679" s="241">
        <f t="shared" ca="1" si="31"/>
        <v>46153</v>
      </c>
      <c r="AI679" s="272"/>
      <c r="AJ679" s="222"/>
      <c r="AK679" s="222"/>
    </row>
    <row r="680" spans="1:37" ht="23" hidden="1">
      <c r="A680" s="111">
        <v>79</v>
      </c>
      <c r="B680" s="112">
        <v>15</v>
      </c>
      <c r="C680" s="113" t="s">
        <v>2305</v>
      </c>
      <c r="D680" s="147" t="s">
        <v>2306</v>
      </c>
      <c r="E680" s="114" t="s">
        <v>2307</v>
      </c>
      <c r="F680" s="115" t="s">
        <v>951</v>
      </c>
      <c r="G680" s="115" t="s">
        <v>968</v>
      </c>
      <c r="H680" s="116">
        <v>13.772242</v>
      </c>
      <c r="I680" s="116">
        <v>100.573244</v>
      </c>
      <c r="J680" s="116" t="s">
        <v>969</v>
      </c>
      <c r="K680" s="115" t="s">
        <v>1048</v>
      </c>
      <c r="L680" s="117" t="s">
        <v>2308</v>
      </c>
      <c r="M680" s="117">
        <v>96939894</v>
      </c>
      <c r="N680" s="121" t="s">
        <v>892</v>
      </c>
      <c r="O680" s="121" t="s">
        <v>901</v>
      </c>
      <c r="P680" s="117" t="s">
        <v>1876</v>
      </c>
      <c r="Q680" s="125" t="s">
        <v>972</v>
      </c>
      <c r="R680" s="125" t="s">
        <v>972</v>
      </c>
      <c r="S680" s="125" t="s">
        <v>972</v>
      </c>
      <c r="T680" s="222"/>
      <c r="U680" s="222"/>
      <c r="V680" s="222"/>
      <c r="W680" s="230"/>
      <c r="X680" s="331">
        <f t="shared" si="32"/>
        <v>0</v>
      </c>
      <c r="Y680" s="222"/>
      <c r="Z680" s="272">
        <f t="shared" si="30"/>
        <v>0</v>
      </c>
      <c r="AA680" s="331"/>
      <c r="AB680" s="331"/>
      <c r="AC680" s="331"/>
      <c r="AD680" s="331"/>
      <c r="AE680" s="331"/>
      <c r="AF680" s="331"/>
      <c r="AG680" s="331"/>
      <c r="AH680" s="241">
        <f t="shared" ca="1" si="31"/>
        <v>46153</v>
      </c>
      <c r="AI680" s="272"/>
      <c r="AJ680" s="222"/>
      <c r="AK680" s="222"/>
    </row>
    <row r="681" spans="1:37" ht="23" hidden="1">
      <c r="A681" s="111">
        <v>80</v>
      </c>
      <c r="B681" s="112">
        <v>6</v>
      </c>
      <c r="C681" s="113" t="s">
        <v>2309</v>
      </c>
      <c r="D681" s="147" t="s">
        <v>2310</v>
      </c>
      <c r="E681" s="114" t="s">
        <v>2311</v>
      </c>
      <c r="F681" s="115" t="s">
        <v>951</v>
      </c>
      <c r="G681" s="115" t="s">
        <v>968</v>
      </c>
      <c r="H681" s="116">
        <v>13.7705597</v>
      </c>
      <c r="I681" s="116">
        <v>100.5730702</v>
      </c>
      <c r="J681" s="116" t="s">
        <v>969</v>
      </c>
      <c r="K681" s="115" t="s">
        <v>1048</v>
      </c>
      <c r="L681" s="117" t="s">
        <v>2308</v>
      </c>
      <c r="M681" s="121">
        <v>96939894</v>
      </c>
      <c r="N681" s="121" t="s">
        <v>892</v>
      </c>
      <c r="O681" s="121" t="s">
        <v>901</v>
      </c>
      <c r="P681" s="117" t="s">
        <v>952</v>
      </c>
      <c r="Q681" s="125" t="s">
        <v>972</v>
      </c>
      <c r="R681" s="130" t="s">
        <v>972</v>
      </c>
      <c r="S681" s="125" t="s">
        <v>972</v>
      </c>
      <c r="T681" s="222"/>
      <c r="U681" s="222"/>
      <c r="V681" s="222"/>
      <c r="W681" s="230"/>
      <c r="X681" s="331">
        <f t="shared" si="32"/>
        <v>0</v>
      </c>
      <c r="Y681" s="222"/>
      <c r="Z681" s="272">
        <f t="shared" si="30"/>
        <v>0</v>
      </c>
      <c r="AA681" s="331"/>
      <c r="AB681" s="331"/>
      <c r="AC681" s="331"/>
      <c r="AD681" s="331"/>
      <c r="AE681" s="331"/>
      <c r="AF681" s="331"/>
      <c r="AG681" s="331"/>
      <c r="AH681" s="241">
        <f t="shared" ca="1" si="31"/>
        <v>46153</v>
      </c>
      <c r="AI681" s="272"/>
      <c r="AJ681" s="222"/>
      <c r="AK681" s="222"/>
    </row>
    <row r="682" spans="1:37" ht="23" hidden="1">
      <c r="A682" s="111">
        <v>81</v>
      </c>
      <c r="B682" s="112">
        <v>14</v>
      </c>
      <c r="C682" s="113" t="s">
        <v>2312</v>
      </c>
      <c r="D682" s="147" t="s">
        <v>2313</v>
      </c>
      <c r="E682" s="114" t="s">
        <v>2314</v>
      </c>
      <c r="F682" s="115" t="s">
        <v>951</v>
      </c>
      <c r="G682" s="115" t="s">
        <v>968</v>
      </c>
      <c r="H682" s="116">
        <v>13.790054</v>
      </c>
      <c r="I682" s="116">
        <v>100.57406899999999</v>
      </c>
      <c r="J682" s="116" t="s">
        <v>969</v>
      </c>
      <c r="K682" s="115" t="s">
        <v>1048</v>
      </c>
      <c r="L682" s="117" t="s">
        <v>2315</v>
      </c>
      <c r="M682" s="117">
        <v>96941165</v>
      </c>
      <c r="N682" s="121" t="s">
        <v>892</v>
      </c>
      <c r="O682" s="121" t="s">
        <v>901</v>
      </c>
      <c r="P682" s="117" t="s">
        <v>952</v>
      </c>
      <c r="Q682" s="125" t="s">
        <v>972</v>
      </c>
      <c r="R682" s="130" t="s">
        <v>972</v>
      </c>
      <c r="S682" s="125" t="s">
        <v>972</v>
      </c>
      <c r="T682" s="222"/>
      <c r="U682" s="222"/>
      <c r="V682" s="222"/>
      <c r="W682" s="230"/>
      <c r="X682" s="331">
        <f t="shared" si="32"/>
        <v>0</v>
      </c>
      <c r="Y682" s="222"/>
      <c r="Z682" s="272">
        <f t="shared" si="30"/>
        <v>0</v>
      </c>
      <c r="AA682" s="331"/>
      <c r="AB682" s="331"/>
      <c r="AC682" s="331"/>
      <c r="AD682" s="331"/>
      <c r="AE682" s="331"/>
      <c r="AF682" s="331"/>
      <c r="AG682" s="331"/>
      <c r="AH682" s="241">
        <f t="shared" ca="1" si="31"/>
        <v>46153</v>
      </c>
      <c r="AI682" s="272"/>
      <c r="AJ682" s="222"/>
      <c r="AK682" s="222"/>
    </row>
    <row r="683" spans="1:37" ht="23" hidden="1">
      <c r="A683" s="111">
        <v>82</v>
      </c>
      <c r="B683" s="112" t="s">
        <v>919</v>
      </c>
      <c r="C683" s="113" t="s">
        <v>2316</v>
      </c>
      <c r="D683" s="147" t="s">
        <v>2317</v>
      </c>
      <c r="E683" s="114" t="s">
        <v>2318</v>
      </c>
      <c r="F683" s="115" t="s">
        <v>951</v>
      </c>
      <c r="G683" s="115" t="s">
        <v>968</v>
      </c>
      <c r="H683" s="116">
        <v>13.791674</v>
      </c>
      <c r="I683" s="116">
        <v>100.57414</v>
      </c>
      <c r="J683" s="116" t="s">
        <v>969</v>
      </c>
      <c r="K683" s="115" t="s">
        <v>1048</v>
      </c>
      <c r="L683" s="117" t="s">
        <v>2315</v>
      </c>
      <c r="M683" s="117">
        <v>96941165</v>
      </c>
      <c r="N683" s="121" t="s">
        <v>892</v>
      </c>
      <c r="O683" s="121" t="s">
        <v>901</v>
      </c>
      <c r="P683" s="118" t="s">
        <v>952</v>
      </c>
      <c r="Q683" s="125" t="s">
        <v>972</v>
      </c>
      <c r="R683" s="130" t="s">
        <v>972</v>
      </c>
      <c r="S683" s="125" t="s">
        <v>972</v>
      </c>
      <c r="T683" s="222"/>
      <c r="U683" s="222"/>
      <c r="V683" s="222"/>
      <c r="W683" s="230"/>
      <c r="X683" s="331">
        <f t="shared" si="32"/>
        <v>0</v>
      </c>
      <c r="Y683" s="222"/>
      <c r="Z683" s="272">
        <f t="shared" si="30"/>
        <v>0</v>
      </c>
      <c r="AA683" s="331"/>
      <c r="AB683" s="331"/>
      <c r="AC683" s="331"/>
      <c r="AD683" s="331"/>
      <c r="AE683" s="331"/>
      <c r="AF683" s="331"/>
      <c r="AG683" s="331"/>
      <c r="AH683" s="241">
        <f t="shared" ca="1" si="31"/>
        <v>46153</v>
      </c>
      <c r="AI683" s="272"/>
      <c r="AJ683" s="222"/>
      <c r="AK683" s="222"/>
    </row>
    <row r="684" spans="1:37" ht="23" hidden="1">
      <c r="A684" s="111">
        <v>84</v>
      </c>
      <c r="B684" s="112" t="s">
        <v>1818</v>
      </c>
      <c r="C684" s="122" t="s">
        <v>2319</v>
      </c>
      <c r="D684" s="147" t="s">
        <v>2320</v>
      </c>
      <c r="E684" s="114" t="s">
        <v>2321</v>
      </c>
      <c r="F684" s="115" t="s">
        <v>951</v>
      </c>
      <c r="G684" s="115" t="s">
        <v>968</v>
      </c>
      <c r="H684" s="115">
        <v>13.7976537</v>
      </c>
      <c r="I684" s="115">
        <v>100.57443859999999</v>
      </c>
      <c r="J684" s="116" t="s">
        <v>969</v>
      </c>
      <c r="K684" s="115" t="s">
        <v>1048</v>
      </c>
      <c r="L684" s="117" t="s">
        <v>2322</v>
      </c>
      <c r="M684" s="117">
        <v>96941182</v>
      </c>
      <c r="N684" s="121" t="s">
        <v>892</v>
      </c>
      <c r="O684" s="121" t="s">
        <v>901</v>
      </c>
      <c r="P684" s="117" t="s">
        <v>1876</v>
      </c>
      <c r="Q684" s="125" t="s">
        <v>972</v>
      </c>
      <c r="R684" s="130" t="s">
        <v>972</v>
      </c>
      <c r="S684" s="125" t="s">
        <v>972</v>
      </c>
      <c r="T684" s="222"/>
      <c r="U684" s="222"/>
      <c r="V684" s="222"/>
      <c r="W684" s="230"/>
      <c r="X684" s="331">
        <f t="shared" si="32"/>
        <v>0</v>
      </c>
      <c r="Y684" s="222"/>
      <c r="Z684" s="272">
        <f t="shared" si="30"/>
        <v>0</v>
      </c>
      <c r="AA684" s="331"/>
      <c r="AB684" s="331"/>
      <c r="AC684" s="331"/>
      <c r="AD684" s="331"/>
      <c r="AE684" s="331"/>
      <c r="AF684" s="331"/>
      <c r="AG684" s="331"/>
      <c r="AH684" s="241">
        <f t="shared" ca="1" si="31"/>
        <v>46153</v>
      </c>
      <c r="AI684" s="272"/>
      <c r="AJ684" s="222"/>
      <c r="AK684" s="222"/>
    </row>
    <row r="685" spans="1:37" ht="23.25" hidden="1" customHeight="1">
      <c r="A685" s="111">
        <v>216</v>
      </c>
      <c r="B685" s="112">
        <v>13</v>
      </c>
      <c r="C685" s="113" t="s">
        <v>2340</v>
      </c>
      <c r="D685" s="147" t="s">
        <v>2341</v>
      </c>
      <c r="E685" s="114" t="s">
        <v>2342</v>
      </c>
      <c r="F685" s="115" t="s">
        <v>951</v>
      </c>
      <c r="G685" s="115" t="s">
        <v>936</v>
      </c>
      <c r="H685" s="116">
        <v>13.799825</v>
      </c>
      <c r="I685" s="116">
        <v>100.574541</v>
      </c>
      <c r="J685" s="116" t="s">
        <v>890</v>
      </c>
      <c r="K685" s="117" t="s">
        <v>2180</v>
      </c>
      <c r="L685" s="117" t="s">
        <v>2180</v>
      </c>
      <c r="M685" s="117">
        <v>77113593</v>
      </c>
      <c r="N685" s="117" t="s">
        <v>892</v>
      </c>
      <c r="O685" s="121" t="s">
        <v>995</v>
      </c>
      <c r="P685" s="117" t="s">
        <v>1876</v>
      </c>
      <c r="Q685" s="125" t="s">
        <v>972</v>
      </c>
      <c r="R685" s="119" t="s">
        <v>895</v>
      </c>
      <c r="S685" s="119" t="s">
        <v>895</v>
      </c>
      <c r="T685" s="312" t="s">
        <v>5212</v>
      </c>
      <c r="U685" s="312" t="s">
        <v>5094</v>
      </c>
      <c r="V685" s="329">
        <v>45005</v>
      </c>
      <c r="W685" s="326">
        <v>30</v>
      </c>
      <c r="X685" s="331">
        <f t="shared" si="32"/>
        <v>45035</v>
      </c>
      <c r="Y685" s="329">
        <v>45043</v>
      </c>
      <c r="Z685" s="332">
        <f t="shared" si="30"/>
        <v>8</v>
      </c>
      <c r="AA685" s="331"/>
      <c r="AB685" s="331"/>
      <c r="AC685" s="331"/>
      <c r="AD685" s="331"/>
      <c r="AE685" s="331"/>
      <c r="AF685" s="331"/>
      <c r="AG685" s="331"/>
      <c r="AH685" s="329">
        <f t="shared" ca="1" si="31"/>
        <v>46153</v>
      </c>
      <c r="AI685" s="330"/>
      <c r="AJ685" s="312" t="s">
        <v>5143</v>
      </c>
      <c r="AK685" s="312" t="s">
        <v>5149</v>
      </c>
    </row>
    <row r="686" spans="1:37" ht="23" hidden="1">
      <c r="A686" s="111">
        <v>150</v>
      </c>
      <c r="B686" s="112" t="s">
        <v>1082</v>
      </c>
      <c r="C686" s="122" t="s">
        <v>2495</v>
      </c>
      <c r="D686" s="147" t="s">
        <v>2496</v>
      </c>
      <c r="E686" s="114" t="s">
        <v>2497</v>
      </c>
      <c r="F686" s="115" t="s">
        <v>951</v>
      </c>
      <c r="G686" s="115" t="s">
        <v>1094</v>
      </c>
      <c r="H686" s="115">
        <v>13.8300252</v>
      </c>
      <c r="I686" s="115">
        <v>100.5616165</v>
      </c>
      <c r="J686" s="116" t="s">
        <v>2108</v>
      </c>
      <c r="K686" s="116" t="s">
        <v>970</v>
      </c>
      <c r="L686" s="117" t="s">
        <v>2498</v>
      </c>
      <c r="M686" s="121" t="s">
        <v>972</v>
      </c>
      <c r="N686" s="121" t="s">
        <v>972</v>
      </c>
      <c r="O686" s="121" t="s">
        <v>995</v>
      </c>
      <c r="P686" s="117" t="s">
        <v>1876</v>
      </c>
      <c r="Q686" s="125" t="s">
        <v>972</v>
      </c>
      <c r="R686" s="125" t="s">
        <v>972</v>
      </c>
      <c r="S686" s="125" t="s">
        <v>972</v>
      </c>
      <c r="T686" s="222"/>
      <c r="U686" s="222"/>
      <c r="V686" s="222"/>
      <c r="W686" s="230"/>
      <c r="X686" s="331">
        <f t="shared" si="32"/>
        <v>0</v>
      </c>
      <c r="Y686" s="222"/>
      <c r="Z686" s="272">
        <f t="shared" si="30"/>
        <v>0</v>
      </c>
      <c r="AA686" s="331"/>
      <c r="AB686" s="331"/>
      <c r="AC686" s="331"/>
      <c r="AD686" s="331"/>
      <c r="AE686" s="331"/>
      <c r="AF686" s="331"/>
      <c r="AG686" s="331"/>
      <c r="AH686" s="241">
        <f t="shared" ca="1" si="31"/>
        <v>46153</v>
      </c>
      <c r="AI686" s="272"/>
      <c r="AJ686" s="222"/>
      <c r="AK686" s="222"/>
    </row>
    <row r="687" spans="1:37" ht="23" hidden="1">
      <c r="A687" s="111">
        <v>180</v>
      </c>
      <c r="B687" s="112" t="s">
        <v>1098</v>
      </c>
      <c r="C687" s="113" t="s">
        <v>2576</v>
      </c>
      <c r="D687" s="147" t="s">
        <v>2577</v>
      </c>
      <c r="E687" s="114" t="s">
        <v>2578</v>
      </c>
      <c r="F687" s="115" t="s">
        <v>951</v>
      </c>
      <c r="G687" s="115" t="s">
        <v>1435</v>
      </c>
      <c r="H687" s="116">
        <v>13.8302491</v>
      </c>
      <c r="I687" s="116">
        <v>100.5388621</v>
      </c>
      <c r="J687" s="116" t="s">
        <v>2097</v>
      </c>
      <c r="K687" s="116" t="s">
        <v>2097</v>
      </c>
      <c r="L687" s="117" t="s">
        <v>2579</v>
      </c>
      <c r="M687" s="121" t="s">
        <v>972</v>
      </c>
      <c r="N687" s="121" t="s">
        <v>892</v>
      </c>
      <c r="O687" s="121" t="s">
        <v>995</v>
      </c>
      <c r="P687" s="117" t="s">
        <v>952</v>
      </c>
      <c r="Q687" s="125" t="s">
        <v>972</v>
      </c>
      <c r="R687" s="125" t="s">
        <v>972</v>
      </c>
      <c r="S687" s="125" t="s">
        <v>972</v>
      </c>
      <c r="T687" s="222"/>
      <c r="U687" s="222"/>
      <c r="V687" s="222"/>
      <c r="W687" s="230"/>
      <c r="X687" s="331">
        <f t="shared" si="32"/>
        <v>0</v>
      </c>
      <c r="Y687" s="222"/>
      <c r="Z687" s="272">
        <f t="shared" si="30"/>
        <v>0</v>
      </c>
      <c r="AA687" s="331"/>
      <c r="AB687" s="331"/>
      <c r="AC687" s="331"/>
      <c r="AD687" s="331"/>
      <c r="AE687" s="331"/>
      <c r="AF687" s="331"/>
      <c r="AG687" s="331"/>
      <c r="AH687" s="241">
        <f t="shared" ca="1" si="31"/>
        <v>46153</v>
      </c>
      <c r="AI687" s="272"/>
      <c r="AJ687" s="222"/>
      <c r="AK687" s="222"/>
    </row>
    <row r="688" spans="1:37" ht="23" hidden="1">
      <c r="A688" s="111">
        <v>181</v>
      </c>
      <c r="B688" s="112">
        <v>2</v>
      </c>
      <c r="C688" s="113" t="s">
        <v>2580</v>
      </c>
      <c r="D688" s="147" t="s">
        <v>2581</v>
      </c>
      <c r="E688" s="114" t="s">
        <v>2582</v>
      </c>
      <c r="F688" s="115" t="s">
        <v>951</v>
      </c>
      <c r="G688" s="115" t="s">
        <v>1094</v>
      </c>
      <c r="H688" s="116">
        <v>13.829865</v>
      </c>
      <c r="I688" s="116">
        <v>100.562017</v>
      </c>
      <c r="J688" s="115" t="s">
        <v>2108</v>
      </c>
      <c r="K688" s="117" t="s">
        <v>2109</v>
      </c>
      <c r="L688" s="117" t="s">
        <v>2110</v>
      </c>
      <c r="M688" s="121" t="s">
        <v>972</v>
      </c>
      <c r="N688" s="121" t="s">
        <v>972</v>
      </c>
      <c r="O688" s="121" t="s">
        <v>995</v>
      </c>
      <c r="P688" s="117" t="s">
        <v>1876</v>
      </c>
      <c r="Q688" s="125" t="s">
        <v>972</v>
      </c>
      <c r="R688" s="130" t="s">
        <v>972</v>
      </c>
      <c r="S688" s="125" t="s">
        <v>972</v>
      </c>
      <c r="T688" s="222"/>
      <c r="U688" s="222"/>
      <c r="V688" s="222"/>
      <c r="W688" s="230"/>
      <c r="X688" s="331">
        <f t="shared" si="32"/>
        <v>0</v>
      </c>
      <c r="Y688" s="222"/>
      <c r="Z688" s="272">
        <f t="shared" si="30"/>
        <v>0</v>
      </c>
      <c r="AA688" s="331"/>
      <c r="AB688" s="331"/>
      <c r="AC688" s="331"/>
      <c r="AD688" s="331"/>
      <c r="AE688" s="331"/>
      <c r="AF688" s="331"/>
      <c r="AG688" s="331"/>
      <c r="AH688" s="241">
        <f t="shared" ca="1" si="31"/>
        <v>46153</v>
      </c>
      <c r="AI688" s="272"/>
      <c r="AJ688" s="222"/>
      <c r="AK688" s="222"/>
    </row>
    <row r="689" spans="1:37" s="345" customFormat="1" ht="23" hidden="1">
      <c r="A689" s="111">
        <v>184</v>
      </c>
      <c r="B689" s="112">
        <v>6</v>
      </c>
      <c r="C689" s="113" t="s">
        <v>2583</v>
      </c>
      <c r="D689" s="147" t="s">
        <v>2584</v>
      </c>
      <c r="E689" s="114" t="s">
        <v>2585</v>
      </c>
      <c r="F689" s="115" t="s">
        <v>951</v>
      </c>
      <c r="G689" s="115" t="s">
        <v>1435</v>
      </c>
      <c r="H689" s="116">
        <v>13.830399</v>
      </c>
      <c r="I689" s="116">
        <v>100.531127</v>
      </c>
      <c r="J689" s="115" t="s">
        <v>2108</v>
      </c>
      <c r="K689" s="115" t="s">
        <v>2136</v>
      </c>
      <c r="L689" s="117" t="s">
        <v>2586</v>
      </c>
      <c r="M689" s="199" t="s">
        <v>972</v>
      </c>
      <c r="N689" s="199" t="s">
        <v>972</v>
      </c>
      <c r="O689" s="199" t="s">
        <v>995</v>
      </c>
      <c r="P689" s="346" t="s">
        <v>952</v>
      </c>
      <c r="Q689" s="340" t="s">
        <v>972</v>
      </c>
      <c r="R689" s="341" t="s">
        <v>972</v>
      </c>
      <c r="S689" s="340" t="s">
        <v>972</v>
      </c>
      <c r="T689" s="342"/>
      <c r="U689" s="342"/>
      <c r="V689" s="342"/>
      <c r="W689" s="553"/>
      <c r="X689" s="331">
        <f t="shared" si="32"/>
        <v>0</v>
      </c>
      <c r="Y689" s="342"/>
      <c r="Z689" s="344">
        <f t="shared" si="30"/>
        <v>0</v>
      </c>
      <c r="AA689" s="331"/>
      <c r="AB689" s="331"/>
      <c r="AC689" s="331"/>
      <c r="AD689" s="331"/>
      <c r="AE689" s="331"/>
      <c r="AF689" s="331"/>
      <c r="AG689" s="331"/>
      <c r="AH689" s="343">
        <f t="shared" ca="1" si="31"/>
        <v>46153</v>
      </c>
      <c r="AI689" s="344"/>
      <c r="AJ689" s="342"/>
      <c r="AK689" s="342"/>
    </row>
    <row r="690" spans="1:37" ht="23.25" hidden="1" customHeight="1">
      <c r="A690" s="111">
        <v>187</v>
      </c>
      <c r="B690" s="112">
        <v>2</v>
      </c>
      <c r="C690" s="113" t="s">
        <v>2591</v>
      </c>
      <c r="D690" s="147" t="s">
        <v>2592</v>
      </c>
      <c r="E690" s="114" t="s">
        <v>2593</v>
      </c>
      <c r="F690" s="115" t="s">
        <v>951</v>
      </c>
      <c r="G690" s="115" t="s">
        <v>1094</v>
      </c>
      <c r="H690" s="116">
        <v>13.8302376</v>
      </c>
      <c r="I690" s="116">
        <v>100.5425864</v>
      </c>
      <c r="J690" s="115" t="s">
        <v>2108</v>
      </c>
      <c r="K690" s="115" t="s">
        <v>2136</v>
      </c>
      <c r="L690" s="117" t="s">
        <v>2594</v>
      </c>
      <c r="M690" s="121" t="s">
        <v>972</v>
      </c>
      <c r="N690" s="121" t="s">
        <v>972</v>
      </c>
      <c r="O690" s="121" t="s">
        <v>995</v>
      </c>
      <c r="P690" s="117" t="s">
        <v>1876</v>
      </c>
      <c r="Q690" s="125" t="s">
        <v>972</v>
      </c>
      <c r="R690" s="125" t="s">
        <v>972</v>
      </c>
      <c r="S690" s="125" t="s">
        <v>972</v>
      </c>
      <c r="T690" s="222"/>
      <c r="U690" s="222"/>
      <c r="V690" s="222"/>
      <c r="W690" s="230"/>
      <c r="X690" s="331">
        <f t="shared" si="32"/>
        <v>0</v>
      </c>
      <c r="Y690" s="222"/>
      <c r="Z690" s="272">
        <f t="shared" si="30"/>
        <v>0</v>
      </c>
      <c r="AA690" s="331"/>
      <c r="AB690" s="331"/>
      <c r="AC690" s="331"/>
      <c r="AD690" s="331"/>
      <c r="AE690" s="331"/>
      <c r="AF690" s="331"/>
      <c r="AG690" s="331"/>
      <c r="AH690" s="241">
        <f t="shared" ca="1" si="31"/>
        <v>46153</v>
      </c>
      <c r="AI690" s="272"/>
      <c r="AJ690" s="222"/>
      <c r="AK690" s="222"/>
    </row>
    <row r="691" spans="1:37" ht="23" hidden="1">
      <c r="A691" s="111">
        <v>189</v>
      </c>
      <c r="B691" s="112">
        <v>5</v>
      </c>
      <c r="C691" s="113" t="s">
        <v>2595</v>
      </c>
      <c r="D691" s="147" t="s">
        <v>2596</v>
      </c>
      <c r="E691" s="114" t="s">
        <v>2597</v>
      </c>
      <c r="F691" s="115" t="s">
        <v>951</v>
      </c>
      <c r="G691" s="115" t="s">
        <v>1435</v>
      </c>
      <c r="H691" s="116">
        <v>13.8306874</v>
      </c>
      <c r="I691" s="116">
        <v>100.5334038</v>
      </c>
      <c r="J691" s="116" t="s">
        <v>969</v>
      </c>
      <c r="K691" s="116" t="s">
        <v>970</v>
      </c>
      <c r="L691" s="117" t="s">
        <v>2598</v>
      </c>
      <c r="M691" s="121" t="s">
        <v>972</v>
      </c>
      <c r="N691" s="121" t="s">
        <v>972</v>
      </c>
      <c r="O691" s="121" t="s">
        <v>995</v>
      </c>
      <c r="P691" s="117" t="s">
        <v>952</v>
      </c>
      <c r="Q691" s="125" t="s">
        <v>972</v>
      </c>
      <c r="R691" s="125" t="s">
        <v>972</v>
      </c>
      <c r="S691" s="125" t="s">
        <v>972</v>
      </c>
      <c r="T691" s="222"/>
      <c r="U691" s="222"/>
      <c r="V691" s="222"/>
      <c r="W691" s="230"/>
      <c r="X691" s="331">
        <f t="shared" si="32"/>
        <v>0</v>
      </c>
      <c r="Y691" s="222"/>
      <c r="Z691" s="272">
        <f t="shared" si="30"/>
        <v>0</v>
      </c>
      <c r="AA691" s="331"/>
      <c r="AB691" s="331"/>
      <c r="AC691" s="331"/>
      <c r="AD691" s="331"/>
      <c r="AE691" s="331"/>
      <c r="AF691" s="331"/>
      <c r="AG691" s="331"/>
      <c r="AH691" s="241">
        <f t="shared" ca="1" si="31"/>
        <v>46153</v>
      </c>
      <c r="AI691" s="272"/>
      <c r="AJ691" s="222"/>
      <c r="AK691" s="222"/>
    </row>
    <row r="692" spans="1:37" ht="23.25" hidden="1" customHeight="1">
      <c r="A692" s="111">
        <v>322</v>
      </c>
      <c r="B692" s="112">
        <v>15</v>
      </c>
      <c r="C692" s="113" t="s">
        <v>2668</v>
      </c>
      <c r="D692" s="147" t="s">
        <v>2669</v>
      </c>
      <c r="E692" s="114" t="s">
        <v>2670</v>
      </c>
      <c r="F692" s="115" t="s">
        <v>951</v>
      </c>
      <c r="G692" s="115" t="s">
        <v>936</v>
      </c>
      <c r="H692" s="116">
        <v>13.799637000000001</v>
      </c>
      <c r="I692" s="116">
        <v>100.574791</v>
      </c>
      <c r="J692" s="116" t="s">
        <v>890</v>
      </c>
      <c r="K692" s="117" t="s">
        <v>2180</v>
      </c>
      <c r="L692" s="117" t="s">
        <v>2180</v>
      </c>
      <c r="M692" s="117">
        <v>77116503</v>
      </c>
      <c r="N692" s="117" t="s">
        <v>892</v>
      </c>
      <c r="O692" s="121" t="s">
        <v>995</v>
      </c>
      <c r="P692" s="117" t="s">
        <v>1876</v>
      </c>
      <c r="Q692" s="125" t="s">
        <v>972</v>
      </c>
      <c r="R692" s="138" t="s">
        <v>895</v>
      </c>
      <c r="S692" s="138" t="s">
        <v>895</v>
      </c>
      <c r="T692" s="222"/>
      <c r="U692" s="222"/>
      <c r="V692" s="222"/>
      <c r="W692" s="230"/>
      <c r="X692" s="331">
        <f t="shared" si="32"/>
        <v>0</v>
      </c>
      <c r="Y692" s="222"/>
      <c r="Z692" s="272">
        <f t="shared" si="30"/>
        <v>0</v>
      </c>
      <c r="AA692" s="331"/>
      <c r="AB692" s="331"/>
      <c r="AC692" s="331"/>
      <c r="AD692" s="331"/>
      <c r="AE692" s="331"/>
      <c r="AF692" s="331"/>
      <c r="AG692" s="331"/>
      <c r="AH692" s="241">
        <f t="shared" ca="1" si="31"/>
        <v>46153</v>
      </c>
      <c r="AI692" s="272"/>
      <c r="AJ692" s="222"/>
      <c r="AK692" s="222"/>
    </row>
    <row r="693" spans="1:37" ht="23" hidden="1">
      <c r="A693" s="111">
        <v>225</v>
      </c>
      <c r="B693" s="112" t="s">
        <v>1022</v>
      </c>
      <c r="C693" s="122" t="s">
        <v>2692</v>
      </c>
      <c r="D693" s="147" t="s">
        <v>2693</v>
      </c>
      <c r="E693" s="123" t="s">
        <v>2694</v>
      </c>
      <c r="F693" s="116" t="s">
        <v>951</v>
      </c>
      <c r="G693" s="116" t="s">
        <v>968</v>
      </c>
      <c r="H693" s="116">
        <v>13.7621178</v>
      </c>
      <c r="I693" s="116">
        <v>100.5669697</v>
      </c>
      <c r="J693" s="116" t="s">
        <v>969</v>
      </c>
      <c r="K693" s="115" t="s">
        <v>1048</v>
      </c>
      <c r="L693" s="159" t="s">
        <v>2695</v>
      </c>
      <c r="M693" s="117">
        <v>96939891</v>
      </c>
      <c r="N693" s="121" t="s">
        <v>892</v>
      </c>
      <c r="O693" s="121" t="s">
        <v>901</v>
      </c>
      <c r="P693" s="117" t="s">
        <v>952</v>
      </c>
      <c r="Q693" s="125" t="s">
        <v>972</v>
      </c>
      <c r="R693" s="130" t="s">
        <v>972</v>
      </c>
      <c r="S693" s="125" t="s">
        <v>972</v>
      </c>
      <c r="T693" s="222"/>
      <c r="U693" s="222"/>
      <c r="V693" s="222"/>
      <c r="W693" s="230"/>
      <c r="X693" s="331">
        <f t="shared" si="32"/>
        <v>0</v>
      </c>
      <c r="Y693" s="222"/>
      <c r="Z693" s="272">
        <f t="shared" si="30"/>
        <v>0</v>
      </c>
      <c r="AA693" s="331"/>
      <c r="AB693" s="331"/>
      <c r="AC693" s="331"/>
      <c r="AD693" s="331"/>
      <c r="AE693" s="331"/>
      <c r="AF693" s="331"/>
      <c r="AG693" s="331"/>
      <c r="AH693" s="241">
        <f t="shared" ca="1" si="31"/>
        <v>46153</v>
      </c>
      <c r="AI693" s="272"/>
      <c r="AJ693" s="222"/>
      <c r="AK693" s="222"/>
    </row>
    <row r="694" spans="1:37" ht="23" hidden="1">
      <c r="A694" s="111">
        <v>255</v>
      </c>
      <c r="B694" s="112">
        <v>4</v>
      </c>
      <c r="C694" s="122" t="s">
        <v>2774</v>
      </c>
      <c r="D694" s="147" t="s">
        <v>2775</v>
      </c>
      <c r="E694" s="123" t="s">
        <v>2776</v>
      </c>
      <c r="F694" s="116" t="s">
        <v>951</v>
      </c>
      <c r="G694" s="116" t="s">
        <v>1094</v>
      </c>
      <c r="H694" s="116">
        <v>13.811821200000001</v>
      </c>
      <c r="I694" s="116">
        <v>100.5751439</v>
      </c>
      <c r="J694" s="116" t="s">
        <v>969</v>
      </c>
      <c r="K694" s="115" t="s">
        <v>1048</v>
      </c>
      <c r="L694" s="118" t="s">
        <v>2777</v>
      </c>
      <c r="M694" s="121">
        <v>77098387</v>
      </c>
      <c r="N694" s="121" t="s">
        <v>892</v>
      </c>
      <c r="O694" s="121" t="s">
        <v>995</v>
      </c>
      <c r="P694" s="118" t="s">
        <v>952</v>
      </c>
      <c r="Q694" s="125" t="s">
        <v>972</v>
      </c>
      <c r="R694" s="130" t="s">
        <v>972</v>
      </c>
      <c r="S694" s="125" t="s">
        <v>972</v>
      </c>
      <c r="T694" s="222"/>
      <c r="U694" s="222"/>
      <c r="V694" s="222"/>
      <c r="W694" s="230"/>
      <c r="X694" s="331">
        <f t="shared" si="32"/>
        <v>0</v>
      </c>
      <c r="Y694" s="222"/>
      <c r="Z694" s="272">
        <f t="shared" si="30"/>
        <v>0</v>
      </c>
      <c r="AA694" s="331"/>
      <c r="AB694" s="331"/>
      <c r="AC694" s="331"/>
      <c r="AD694" s="331"/>
      <c r="AE694" s="331"/>
      <c r="AF694" s="331"/>
      <c r="AG694" s="331"/>
      <c r="AH694" s="241">
        <f t="shared" ca="1" si="31"/>
        <v>46153</v>
      </c>
      <c r="AI694" s="272"/>
      <c r="AJ694" s="222"/>
      <c r="AK694" s="222"/>
    </row>
    <row r="695" spans="1:37" ht="23" hidden="1">
      <c r="A695" s="111">
        <v>279</v>
      </c>
      <c r="B695" s="112" t="s">
        <v>1013</v>
      </c>
      <c r="C695" s="113" t="s">
        <v>2837</v>
      </c>
      <c r="D695" s="147" t="s">
        <v>2838</v>
      </c>
      <c r="E695" s="114" t="s">
        <v>2839</v>
      </c>
      <c r="F695" s="115" t="s">
        <v>951</v>
      </c>
      <c r="G695" s="115" t="s">
        <v>968</v>
      </c>
      <c r="H695" s="116">
        <v>13.784834999999999</v>
      </c>
      <c r="I695" s="116">
        <v>100.57383400000001</v>
      </c>
      <c r="J695" s="116" t="s">
        <v>2108</v>
      </c>
      <c r="K695" s="116" t="s">
        <v>970</v>
      </c>
      <c r="L695" s="117" t="s">
        <v>2840</v>
      </c>
      <c r="M695" s="121" t="s">
        <v>972</v>
      </c>
      <c r="N695" s="121" t="s">
        <v>972</v>
      </c>
      <c r="O695" s="121" t="s">
        <v>901</v>
      </c>
      <c r="P695" s="117" t="s">
        <v>952</v>
      </c>
      <c r="Q695" s="125" t="s">
        <v>972</v>
      </c>
      <c r="R695" s="130" t="s">
        <v>972</v>
      </c>
      <c r="S695" s="125" t="s">
        <v>972</v>
      </c>
      <c r="T695" s="222"/>
      <c r="U695" s="222"/>
      <c r="V695" s="222"/>
      <c r="W695" s="230"/>
      <c r="X695" s="331">
        <f t="shared" si="32"/>
        <v>0</v>
      </c>
      <c r="Y695" s="222"/>
      <c r="Z695" s="272">
        <f t="shared" si="30"/>
        <v>0</v>
      </c>
      <c r="AA695" s="331"/>
      <c r="AB695" s="331"/>
      <c r="AC695" s="331"/>
      <c r="AD695" s="331"/>
      <c r="AE695" s="331"/>
      <c r="AF695" s="331"/>
      <c r="AG695" s="331"/>
      <c r="AH695" s="241">
        <f t="shared" ca="1" si="31"/>
        <v>46153</v>
      </c>
      <c r="AI695" s="272"/>
      <c r="AJ695" s="222"/>
      <c r="AK695" s="222"/>
    </row>
    <row r="696" spans="1:37" ht="23" hidden="1">
      <c r="A696" s="111">
        <v>285</v>
      </c>
      <c r="B696" s="128" t="s">
        <v>1569</v>
      </c>
      <c r="C696" s="113" t="s">
        <v>2856</v>
      </c>
      <c r="D696" s="147" t="s">
        <v>2857</v>
      </c>
      <c r="E696" s="114" t="s">
        <v>2858</v>
      </c>
      <c r="F696" s="115" t="s">
        <v>951</v>
      </c>
      <c r="G696" s="115" t="s">
        <v>1094</v>
      </c>
      <c r="H696" s="116">
        <v>13.806962</v>
      </c>
      <c r="I696" s="116">
        <v>100.575191</v>
      </c>
      <c r="J696" s="116" t="s">
        <v>969</v>
      </c>
      <c r="K696" s="116" t="s">
        <v>970</v>
      </c>
      <c r="L696" s="117" t="s">
        <v>2859</v>
      </c>
      <c r="M696" s="159" t="s">
        <v>1347</v>
      </c>
      <c r="N696" s="121" t="s">
        <v>892</v>
      </c>
      <c r="O696" s="121" t="s">
        <v>995</v>
      </c>
      <c r="P696" s="117" t="s">
        <v>952</v>
      </c>
      <c r="Q696" s="125" t="s">
        <v>972</v>
      </c>
      <c r="R696" s="125" t="s">
        <v>972</v>
      </c>
      <c r="S696" s="125" t="s">
        <v>972</v>
      </c>
      <c r="T696" s="222"/>
      <c r="U696" s="222"/>
      <c r="V696" s="222"/>
      <c r="W696" s="230"/>
      <c r="X696" s="331">
        <f t="shared" si="32"/>
        <v>0</v>
      </c>
      <c r="Y696" s="222"/>
      <c r="Z696" s="272">
        <f t="shared" si="30"/>
        <v>0</v>
      </c>
      <c r="AA696" s="331"/>
      <c r="AB696" s="331"/>
      <c r="AC696" s="331"/>
      <c r="AD696" s="331"/>
      <c r="AE696" s="331"/>
      <c r="AF696" s="331"/>
      <c r="AG696" s="331"/>
      <c r="AH696" s="241">
        <f t="shared" ca="1" si="31"/>
        <v>46153</v>
      </c>
      <c r="AI696" s="272"/>
      <c r="AJ696" s="222"/>
      <c r="AK696" s="222"/>
    </row>
    <row r="697" spans="1:37" ht="23.25" hidden="1" customHeight="1">
      <c r="A697" s="111">
        <v>520</v>
      </c>
      <c r="B697" s="112">
        <v>2</v>
      </c>
      <c r="C697" s="113" t="s">
        <v>2881</v>
      </c>
      <c r="D697" s="147" t="s">
        <v>2882</v>
      </c>
      <c r="E697" s="114" t="s">
        <v>2883</v>
      </c>
      <c r="F697" s="115" t="s">
        <v>951</v>
      </c>
      <c r="G697" s="115" t="s">
        <v>1094</v>
      </c>
      <c r="H697" s="116">
        <v>13.804565999999999</v>
      </c>
      <c r="I697" s="116">
        <v>100.574788</v>
      </c>
      <c r="J697" s="116" t="s">
        <v>890</v>
      </c>
      <c r="K697" s="117" t="s">
        <v>2180</v>
      </c>
      <c r="L697" s="117" t="s">
        <v>2180</v>
      </c>
      <c r="M697" s="117">
        <v>77116508</v>
      </c>
      <c r="N697" s="117" t="s">
        <v>892</v>
      </c>
      <c r="O697" s="121" t="s">
        <v>995</v>
      </c>
      <c r="P697" s="117" t="s">
        <v>1876</v>
      </c>
      <c r="Q697" s="125" t="s">
        <v>972</v>
      </c>
      <c r="R697" s="138" t="s">
        <v>895</v>
      </c>
      <c r="S697" s="119" t="s">
        <v>895</v>
      </c>
      <c r="T697" s="222"/>
      <c r="U697" s="222"/>
      <c r="V697" s="222"/>
      <c r="W697" s="230"/>
      <c r="X697" s="331">
        <f t="shared" si="32"/>
        <v>0</v>
      </c>
      <c r="Y697" s="222"/>
      <c r="Z697" s="272">
        <f t="shared" si="30"/>
        <v>0</v>
      </c>
      <c r="AA697" s="331"/>
      <c r="AB697" s="331"/>
      <c r="AC697" s="331"/>
      <c r="AD697" s="331"/>
      <c r="AE697" s="331"/>
      <c r="AF697" s="331"/>
      <c r="AG697" s="331"/>
      <c r="AH697" s="241">
        <f t="shared" ca="1" si="31"/>
        <v>46153</v>
      </c>
      <c r="AI697" s="272"/>
      <c r="AJ697" s="222"/>
      <c r="AK697" s="222"/>
    </row>
    <row r="698" spans="1:37" ht="23.25" hidden="1" customHeight="1">
      <c r="A698" s="111">
        <v>306</v>
      </c>
      <c r="B698" s="112" t="s">
        <v>979</v>
      </c>
      <c r="C698" s="113" t="s">
        <v>2888</v>
      </c>
      <c r="D698" s="147" t="s">
        <v>2889</v>
      </c>
      <c r="E698" s="114" t="s">
        <v>2890</v>
      </c>
      <c r="F698" s="115" t="s">
        <v>951</v>
      </c>
      <c r="G698" s="115" t="s">
        <v>984</v>
      </c>
      <c r="H698" s="116">
        <v>13.724833</v>
      </c>
      <c r="I698" s="116">
        <v>100.56054399999999</v>
      </c>
      <c r="J698" s="116" t="s">
        <v>969</v>
      </c>
      <c r="K698" s="116" t="s">
        <v>970</v>
      </c>
      <c r="L698" s="117" t="s">
        <v>2891</v>
      </c>
      <c r="M698" s="117">
        <v>95376537</v>
      </c>
      <c r="N698" s="121" t="s">
        <v>892</v>
      </c>
      <c r="O698" s="121" t="s">
        <v>984</v>
      </c>
      <c r="P698" s="117" t="s">
        <v>894</v>
      </c>
      <c r="Q698" s="125" t="s">
        <v>972</v>
      </c>
      <c r="R698" s="125" t="s">
        <v>972</v>
      </c>
      <c r="S698" s="125" t="s">
        <v>972</v>
      </c>
      <c r="T698" s="222"/>
      <c r="U698" s="222"/>
      <c r="V698" s="222"/>
      <c r="W698" s="230"/>
      <c r="X698" s="331">
        <f t="shared" si="32"/>
        <v>0</v>
      </c>
      <c r="Y698" s="222"/>
      <c r="Z698" s="272">
        <f t="shared" si="30"/>
        <v>0</v>
      </c>
      <c r="AA698" s="331"/>
      <c r="AB698" s="331"/>
      <c r="AC698" s="331"/>
      <c r="AD698" s="331"/>
      <c r="AE698" s="331"/>
      <c r="AF698" s="331"/>
      <c r="AG698" s="331"/>
      <c r="AH698" s="241">
        <f t="shared" ca="1" si="31"/>
        <v>46153</v>
      </c>
      <c r="AI698" s="272"/>
      <c r="AJ698" s="222"/>
      <c r="AK698" s="222"/>
    </row>
    <row r="699" spans="1:37" ht="23.25" hidden="1" customHeight="1">
      <c r="A699" s="111">
        <v>327</v>
      </c>
      <c r="B699" s="112">
        <v>3</v>
      </c>
      <c r="C699" s="122" t="s">
        <v>2935</v>
      </c>
      <c r="D699" s="147" t="s">
        <v>2936</v>
      </c>
      <c r="E699" s="114" t="s">
        <v>2937</v>
      </c>
      <c r="F699" s="115" t="s">
        <v>951</v>
      </c>
      <c r="G699" s="115" t="s">
        <v>1094</v>
      </c>
      <c r="H699" s="116">
        <v>13.830377800000001</v>
      </c>
      <c r="I699" s="116">
        <v>100.5417563</v>
      </c>
      <c r="J699" s="115" t="s">
        <v>2108</v>
      </c>
      <c r="K699" s="115" t="s">
        <v>2136</v>
      </c>
      <c r="L699" s="117" t="s">
        <v>2594</v>
      </c>
      <c r="M699" s="121" t="s">
        <v>972</v>
      </c>
      <c r="N699" s="121" t="s">
        <v>972</v>
      </c>
      <c r="O699" s="121" t="s">
        <v>995</v>
      </c>
      <c r="P699" s="117" t="s">
        <v>1876</v>
      </c>
      <c r="Q699" s="125" t="s">
        <v>972</v>
      </c>
      <c r="R699" s="125" t="s">
        <v>972</v>
      </c>
      <c r="S699" s="125" t="s">
        <v>972</v>
      </c>
      <c r="T699" s="222"/>
      <c r="U699" s="222"/>
      <c r="V699" s="222"/>
      <c r="W699" s="230"/>
      <c r="X699" s="331">
        <f t="shared" si="32"/>
        <v>0</v>
      </c>
      <c r="Y699" s="222"/>
      <c r="Z699" s="272">
        <f t="shared" si="30"/>
        <v>0</v>
      </c>
      <c r="AA699" s="331"/>
      <c r="AB699" s="331"/>
      <c r="AC699" s="331"/>
      <c r="AD699" s="331"/>
      <c r="AE699" s="331"/>
      <c r="AF699" s="331"/>
      <c r="AG699" s="331"/>
      <c r="AH699" s="241">
        <f t="shared" ca="1" si="31"/>
        <v>46153</v>
      </c>
      <c r="AI699" s="272"/>
      <c r="AJ699" s="222"/>
      <c r="AK699" s="222"/>
    </row>
    <row r="700" spans="1:37" ht="23" hidden="1">
      <c r="A700" s="111">
        <v>353</v>
      </c>
      <c r="B700" s="112">
        <v>9</v>
      </c>
      <c r="C700" s="113" t="s">
        <v>3002</v>
      </c>
      <c r="D700" s="147" t="s">
        <v>3003</v>
      </c>
      <c r="E700" s="114" t="s">
        <v>3004</v>
      </c>
      <c r="F700" s="115" t="s">
        <v>951</v>
      </c>
      <c r="G700" s="115" t="s">
        <v>968</v>
      </c>
      <c r="H700" s="116">
        <v>13.796627000000001</v>
      </c>
      <c r="I700" s="116">
        <v>100.574389</v>
      </c>
      <c r="J700" s="116" t="s">
        <v>969</v>
      </c>
      <c r="K700" s="115" t="s">
        <v>1048</v>
      </c>
      <c r="L700" s="117" t="s">
        <v>2322</v>
      </c>
      <c r="M700" s="117">
        <v>96941182</v>
      </c>
      <c r="N700" s="121" t="s">
        <v>892</v>
      </c>
      <c r="O700" s="121" t="s">
        <v>901</v>
      </c>
      <c r="P700" s="117" t="s">
        <v>1876</v>
      </c>
      <c r="Q700" s="125" t="s">
        <v>972</v>
      </c>
      <c r="R700" s="125" t="s">
        <v>972</v>
      </c>
      <c r="S700" s="125" t="s">
        <v>972</v>
      </c>
      <c r="T700" s="222"/>
      <c r="U700" s="222"/>
      <c r="V700" s="222"/>
      <c r="W700" s="230"/>
      <c r="X700" s="331">
        <f t="shared" si="32"/>
        <v>0</v>
      </c>
      <c r="Y700" s="222"/>
      <c r="Z700" s="272">
        <f t="shared" si="30"/>
        <v>0</v>
      </c>
      <c r="AA700" s="331"/>
      <c r="AB700" s="331"/>
      <c r="AC700" s="331"/>
      <c r="AD700" s="331"/>
      <c r="AE700" s="331"/>
      <c r="AF700" s="331"/>
      <c r="AG700" s="331"/>
      <c r="AH700" s="241">
        <f t="shared" ca="1" si="31"/>
        <v>46153</v>
      </c>
      <c r="AI700" s="272"/>
      <c r="AJ700" s="222"/>
      <c r="AK700" s="222"/>
    </row>
    <row r="701" spans="1:37" ht="23" hidden="1">
      <c r="A701" s="111">
        <v>355</v>
      </c>
      <c r="B701" s="112" t="s">
        <v>1098</v>
      </c>
      <c r="C701" s="113" t="s">
        <v>3005</v>
      </c>
      <c r="D701" s="147" t="s">
        <v>3006</v>
      </c>
      <c r="E701" s="114" t="s">
        <v>3007</v>
      </c>
      <c r="F701" s="115" t="s">
        <v>951</v>
      </c>
      <c r="G701" s="115" t="s">
        <v>1094</v>
      </c>
      <c r="H701" s="116">
        <v>13.8159633</v>
      </c>
      <c r="I701" s="116">
        <v>100.5753388</v>
      </c>
      <c r="J701" s="116" t="s">
        <v>969</v>
      </c>
      <c r="K701" s="115" t="s">
        <v>1048</v>
      </c>
      <c r="L701" s="118" t="s">
        <v>3008</v>
      </c>
      <c r="M701" s="117">
        <v>77098388</v>
      </c>
      <c r="N701" s="121" t="s">
        <v>892</v>
      </c>
      <c r="O701" s="121" t="s">
        <v>995</v>
      </c>
      <c r="P701" s="118" t="s">
        <v>952</v>
      </c>
      <c r="Q701" s="125" t="s">
        <v>972</v>
      </c>
      <c r="R701" s="125" t="s">
        <v>972</v>
      </c>
      <c r="S701" s="125" t="s">
        <v>972</v>
      </c>
      <c r="T701" s="222"/>
      <c r="U701" s="222"/>
      <c r="V701" s="222"/>
      <c r="W701" s="230"/>
      <c r="X701" s="331">
        <f t="shared" si="32"/>
        <v>0</v>
      </c>
      <c r="Y701" s="222"/>
      <c r="Z701" s="272">
        <f t="shared" si="30"/>
        <v>0</v>
      </c>
      <c r="AA701" s="331"/>
      <c r="AB701" s="331"/>
      <c r="AC701" s="331"/>
      <c r="AD701" s="331"/>
      <c r="AE701" s="331"/>
      <c r="AF701" s="331"/>
      <c r="AG701" s="331"/>
      <c r="AH701" s="241">
        <f t="shared" ca="1" si="31"/>
        <v>46153</v>
      </c>
      <c r="AI701" s="272"/>
      <c r="AJ701" s="222"/>
      <c r="AK701" s="222"/>
    </row>
    <row r="702" spans="1:37" s="356" customFormat="1" ht="23.25" hidden="1" customHeight="1">
      <c r="A702" s="111">
        <v>359</v>
      </c>
      <c r="B702" s="112">
        <v>7</v>
      </c>
      <c r="C702" s="113" t="s">
        <v>3019</v>
      </c>
      <c r="D702" s="147" t="s">
        <v>3020</v>
      </c>
      <c r="E702" s="114" t="s">
        <v>3021</v>
      </c>
      <c r="F702" s="115" t="s">
        <v>951</v>
      </c>
      <c r="G702" s="115" t="s">
        <v>1094</v>
      </c>
      <c r="H702" s="116">
        <v>13.8306033</v>
      </c>
      <c r="I702" s="116">
        <v>100.56034529999999</v>
      </c>
      <c r="J702" s="115" t="s">
        <v>2108</v>
      </c>
      <c r="K702" s="117" t="s">
        <v>2109</v>
      </c>
      <c r="L702" s="117" t="s">
        <v>2110</v>
      </c>
      <c r="M702" s="121" t="s">
        <v>972</v>
      </c>
      <c r="N702" s="121" t="s">
        <v>972</v>
      </c>
      <c r="O702" s="121" t="s">
        <v>995</v>
      </c>
      <c r="P702" s="118" t="s">
        <v>1876</v>
      </c>
      <c r="Q702" s="125" t="s">
        <v>972</v>
      </c>
      <c r="R702" s="125" t="s">
        <v>972</v>
      </c>
      <c r="S702" s="125" t="s">
        <v>972</v>
      </c>
      <c r="T702" s="222"/>
      <c r="U702" s="222"/>
      <c r="V702" s="222"/>
      <c r="W702" s="230"/>
      <c r="X702" s="331">
        <f t="shared" si="32"/>
        <v>0</v>
      </c>
      <c r="Y702" s="222"/>
      <c r="Z702" s="272">
        <f t="shared" si="30"/>
        <v>0</v>
      </c>
      <c r="AA702" s="331"/>
      <c r="AB702" s="331"/>
      <c r="AC702" s="331"/>
      <c r="AD702" s="331"/>
      <c r="AE702" s="331"/>
      <c r="AF702" s="331"/>
      <c r="AG702" s="331"/>
      <c r="AH702" s="241">
        <f t="shared" ca="1" si="31"/>
        <v>46153</v>
      </c>
      <c r="AI702" s="272"/>
      <c r="AJ702" s="222"/>
      <c r="AK702" s="222"/>
    </row>
    <row r="703" spans="1:37" ht="23.25" hidden="1" customHeight="1">
      <c r="A703" s="111">
        <v>620</v>
      </c>
      <c r="B703" s="112">
        <v>10</v>
      </c>
      <c r="C703" s="122" t="s">
        <v>3022</v>
      </c>
      <c r="D703" s="147" t="s">
        <v>3023</v>
      </c>
      <c r="E703" s="162" t="s">
        <v>3024</v>
      </c>
      <c r="F703" s="115" t="s">
        <v>951</v>
      </c>
      <c r="G703" s="163" t="s">
        <v>1435</v>
      </c>
      <c r="H703" s="115" t="s">
        <v>3025</v>
      </c>
      <c r="I703" s="117">
        <v>100.535836</v>
      </c>
      <c r="J703" s="117" t="s">
        <v>890</v>
      </c>
      <c r="K703" s="117" t="s">
        <v>891</v>
      </c>
      <c r="L703" s="117" t="s">
        <v>891</v>
      </c>
      <c r="M703" s="117">
        <v>97022624</v>
      </c>
      <c r="N703" s="117" t="s">
        <v>892</v>
      </c>
      <c r="O703" s="117" t="s">
        <v>1436</v>
      </c>
      <c r="P703" s="117"/>
      <c r="Q703" s="119"/>
      <c r="R703" s="138" t="s">
        <v>895</v>
      </c>
      <c r="S703" s="119" t="s">
        <v>895</v>
      </c>
      <c r="T703" s="222"/>
      <c r="U703" s="222"/>
      <c r="V703" s="222"/>
      <c r="W703" s="230"/>
      <c r="X703" s="331">
        <f t="shared" si="32"/>
        <v>0</v>
      </c>
      <c r="Y703" s="222"/>
      <c r="Z703" s="272">
        <f t="shared" si="30"/>
        <v>0</v>
      </c>
      <c r="AA703" s="331"/>
      <c r="AB703" s="331"/>
      <c r="AC703" s="331"/>
      <c r="AD703" s="331"/>
      <c r="AE703" s="331"/>
      <c r="AF703" s="331"/>
      <c r="AG703" s="331"/>
      <c r="AH703" s="241">
        <f t="shared" ca="1" si="31"/>
        <v>46153</v>
      </c>
      <c r="AI703" s="272"/>
      <c r="AJ703" s="222"/>
      <c r="AK703" s="222"/>
    </row>
    <row r="704" spans="1:37" ht="23.25" hidden="1" customHeight="1">
      <c r="A704" s="111">
        <v>364</v>
      </c>
      <c r="B704" s="112">
        <v>8</v>
      </c>
      <c r="C704" s="122" t="s">
        <v>3029</v>
      </c>
      <c r="D704" s="147" t="s">
        <v>3030</v>
      </c>
      <c r="E704" s="123" t="s">
        <v>3031</v>
      </c>
      <c r="F704" s="115" t="s">
        <v>951</v>
      </c>
      <c r="G704" s="115" t="s">
        <v>1435</v>
      </c>
      <c r="H704" s="116">
        <v>13.8308322</v>
      </c>
      <c r="I704" s="116">
        <v>100.5327327</v>
      </c>
      <c r="J704" s="115" t="s">
        <v>2108</v>
      </c>
      <c r="K704" s="115" t="s">
        <v>2136</v>
      </c>
      <c r="L704" s="117" t="s">
        <v>2586</v>
      </c>
      <c r="M704" s="121" t="s">
        <v>972</v>
      </c>
      <c r="N704" s="121" t="s">
        <v>972</v>
      </c>
      <c r="O704" s="121" t="s">
        <v>995</v>
      </c>
      <c r="P704" s="117" t="s">
        <v>952</v>
      </c>
      <c r="Q704" s="125" t="s">
        <v>972</v>
      </c>
      <c r="R704" s="125" t="s">
        <v>972</v>
      </c>
      <c r="S704" s="125" t="s">
        <v>972</v>
      </c>
      <c r="T704" s="222"/>
      <c r="U704" s="222"/>
      <c r="V704" s="222"/>
      <c r="W704" s="230"/>
      <c r="X704" s="331">
        <f t="shared" si="32"/>
        <v>0</v>
      </c>
      <c r="Y704" s="222"/>
      <c r="Z704" s="272">
        <f t="shared" si="30"/>
        <v>0</v>
      </c>
      <c r="AA704" s="331"/>
      <c r="AB704" s="331"/>
      <c r="AC704" s="331"/>
      <c r="AD704" s="331"/>
      <c r="AE704" s="331"/>
      <c r="AF704" s="331"/>
      <c r="AG704" s="331"/>
      <c r="AH704" s="241">
        <f t="shared" ca="1" si="31"/>
        <v>46153</v>
      </c>
      <c r="AI704" s="272"/>
      <c r="AJ704" s="222"/>
      <c r="AK704" s="222"/>
    </row>
    <row r="705" spans="1:37" ht="23" hidden="1">
      <c r="A705" s="111">
        <v>379</v>
      </c>
      <c r="B705" s="112">
        <v>14</v>
      </c>
      <c r="C705" s="113" t="s">
        <v>3058</v>
      </c>
      <c r="D705" s="147" t="s">
        <v>3059</v>
      </c>
      <c r="E705" s="114" t="s">
        <v>3060</v>
      </c>
      <c r="F705" s="115" t="s">
        <v>951</v>
      </c>
      <c r="G705" s="115" t="s">
        <v>1094</v>
      </c>
      <c r="H705" s="116">
        <v>13.822869600000001</v>
      </c>
      <c r="I705" s="116">
        <v>100.57400920000001</v>
      </c>
      <c r="J705" s="116" t="s">
        <v>2108</v>
      </c>
      <c r="K705" s="116" t="s">
        <v>970</v>
      </c>
      <c r="L705" s="117" t="s">
        <v>3061</v>
      </c>
      <c r="M705" s="121" t="s">
        <v>972</v>
      </c>
      <c r="N705" s="121" t="s">
        <v>972</v>
      </c>
      <c r="O705" s="121" t="s">
        <v>995</v>
      </c>
      <c r="P705" s="117" t="s">
        <v>952</v>
      </c>
      <c r="Q705" s="125" t="s">
        <v>972</v>
      </c>
      <c r="R705" s="125" t="s">
        <v>972</v>
      </c>
      <c r="S705" s="125" t="s">
        <v>972</v>
      </c>
      <c r="T705" s="222"/>
      <c r="U705" s="222"/>
      <c r="V705" s="222"/>
      <c r="W705" s="230"/>
      <c r="X705" s="331">
        <f t="shared" si="32"/>
        <v>0</v>
      </c>
      <c r="Y705" s="222"/>
      <c r="Z705" s="272">
        <f t="shared" si="30"/>
        <v>0</v>
      </c>
      <c r="AA705" s="331"/>
      <c r="AB705" s="331"/>
      <c r="AC705" s="331"/>
      <c r="AD705" s="331"/>
      <c r="AE705" s="331"/>
      <c r="AF705" s="331"/>
      <c r="AG705" s="331"/>
      <c r="AH705" s="241">
        <f t="shared" ca="1" si="31"/>
        <v>46153</v>
      </c>
      <c r="AI705" s="272"/>
      <c r="AJ705" s="222"/>
      <c r="AK705" s="222"/>
    </row>
    <row r="706" spans="1:37" ht="23.25" hidden="1" customHeight="1">
      <c r="A706" s="111">
        <v>393</v>
      </c>
      <c r="B706" s="112">
        <v>8</v>
      </c>
      <c r="C706" s="113" t="s">
        <v>3100</v>
      </c>
      <c r="D706" s="147" t="s">
        <v>3101</v>
      </c>
      <c r="E706" s="114" t="s">
        <v>5347</v>
      </c>
      <c r="F706" s="115" t="s">
        <v>951</v>
      </c>
      <c r="G706" s="115" t="s">
        <v>968</v>
      </c>
      <c r="H706" s="116">
        <v>13.7687861</v>
      </c>
      <c r="I706" s="116">
        <v>100.5721446</v>
      </c>
      <c r="J706" s="115" t="s">
        <v>5299</v>
      </c>
      <c r="K706" s="115" t="s">
        <v>5359</v>
      </c>
      <c r="L706" s="115" t="s">
        <v>5360</v>
      </c>
      <c r="M706" s="121" t="s">
        <v>972</v>
      </c>
      <c r="N706" s="121" t="s">
        <v>972</v>
      </c>
      <c r="O706" s="121" t="s">
        <v>958</v>
      </c>
      <c r="P706" s="121" t="s">
        <v>952</v>
      </c>
      <c r="Q706" s="118">
        <v>80057501</v>
      </c>
      <c r="R706" s="119" t="s">
        <v>895</v>
      </c>
      <c r="S706" s="125" t="s">
        <v>972</v>
      </c>
      <c r="T706" s="316" t="s">
        <v>5178</v>
      </c>
      <c r="U706" s="312" t="s">
        <v>5231</v>
      </c>
      <c r="V706" s="287">
        <v>45102</v>
      </c>
      <c r="W706" s="552">
        <v>4</v>
      </c>
      <c r="X706" s="331">
        <f t="shared" si="32"/>
        <v>45106</v>
      </c>
      <c r="Y706" s="316"/>
      <c r="Z706" s="318" t="e">
        <f t="shared" si="30"/>
        <v>#NUM!</v>
      </c>
      <c r="AA706" s="331"/>
      <c r="AB706" s="331"/>
      <c r="AC706" s="331"/>
      <c r="AD706" s="331"/>
      <c r="AE706" s="331"/>
      <c r="AF706" s="331"/>
      <c r="AG706" s="331"/>
      <c r="AH706" s="317">
        <f t="shared" ca="1" si="31"/>
        <v>46153</v>
      </c>
      <c r="AI706" s="318"/>
      <c r="AJ706" s="316" t="s">
        <v>5224</v>
      </c>
      <c r="AK706" s="316"/>
    </row>
    <row r="707" spans="1:37" ht="23" hidden="1">
      <c r="A707" s="111">
        <v>412</v>
      </c>
      <c r="B707" s="112" t="s">
        <v>1553</v>
      </c>
      <c r="C707" s="113" t="s">
        <v>3133</v>
      </c>
      <c r="D707" s="147" t="s">
        <v>3134</v>
      </c>
      <c r="E707" s="114" t="s">
        <v>3135</v>
      </c>
      <c r="F707" s="115" t="s">
        <v>951</v>
      </c>
      <c r="G707" s="115" t="s">
        <v>1094</v>
      </c>
      <c r="H707" s="116">
        <v>13.8142402</v>
      </c>
      <c r="I707" s="116">
        <v>100.57552339999999</v>
      </c>
      <c r="J707" s="116" t="s">
        <v>969</v>
      </c>
      <c r="K707" s="115" t="s">
        <v>1048</v>
      </c>
      <c r="L707" s="117" t="s">
        <v>3136</v>
      </c>
      <c r="M707" s="117">
        <v>77098386</v>
      </c>
      <c r="N707" s="121" t="s">
        <v>892</v>
      </c>
      <c r="O707" s="121" t="s">
        <v>995</v>
      </c>
      <c r="P707" s="117" t="s">
        <v>952</v>
      </c>
      <c r="Q707" s="125" t="s">
        <v>972</v>
      </c>
      <c r="R707" s="125" t="s">
        <v>972</v>
      </c>
      <c r="S707" s="125" t="s">
        <v>972</v>
      </c>
      <c r="T707" s="222"/>
      <c r="U707" s="222"/>
      <c r="V707" s="222"/>
      <c r="W707" s="230"/>
      <c r="X707" s="331">
        <f t="shared" si="32"/>
        <v>0</v>
      </c>
      <c r="Y707" s="222"/>
      <c r="Z707" s="272">
        <f t="shared" ref="Z707:Z770" si="33">DATEDIF(X707,Y707,"d")</f>
        <v>0</v>
      </c>
      <c r="AA707" s="331"/>
      <c r="AB707" s="331"/>
      <c r="AC707" s="331"/>
      <c r="AD707" s="331"/>
      <c r="AE707" s="331"/>
      <c r="AF707" s="331"/>
      <c r="AG707" s="331"/>
      <c r="AH707" s="241">
        <f t="shared" ref="AH707:AH770" ca="1" si="34">TODAY()</f>
        <v>46153</v>
      </c>
      <c r="AI707" s="272"/>
      <c r="AJ707" s="222"/>
      <c r="AK707" s="222"/>
    </row>
    <row r="708" spans="1:37" ht="33" hidden="1" customHeight="1">
      <c r="A708" s="111">
        <v>416</v>
      </c>
      <c r="B708" s="112" t="s">
        <v>1818</v>
      </c>
      <c r="C708" s="113" t="s">
        <v>3145</v>
      </c>
      <c r="D708" s="147" t="s">
        <v>3146</v>
      </c>
      <c r="E708" s="114" t="s">
        <v>3147</v>
      </c>
      <c r="F708" s="115" t="s">
        <v>951</v>
      </c>
      <c r="G708" s="115" t="s">
        <v>984</v>
      </c>
      <c r="H708" s="116">
        <v>13.733590899999999</v>
      </c>
      <c r="I708" s="116">
        <v>100.5599137</v>
      </c>
      <c r="J708" s="116" t="s">
        <v>2097</v>
      </c>
      <c r="K708" s="116" t="s">
        <v>2097</v>
      </c>
      <c r="L708" s="117" t="s">
        <v>3148</v>
      </c>
      <c r="M708" s="116" t="s">
        <v>1347</v>
      </c>
      <c r="N708" s="121" t="s">
        <v>892</v>
      </c>
      <c r="O708" s="121" t="s">
        <v>984</v>
      </c>
      <c r="P708" s="117" t="s">
        <v>894</v>
      </c>
      <c r="Q708" s="125" t="s">
        <v>972</v>
      </c>
      <c r="R708" s="130" t="s">
        <v>972</v>
      </c>
      <c r="S708" s="125" t="s">
        <v>972</v>
      </c>
      <c r="T708" s="222"/>
      <c r="U708" s="222"/>
      <c r="V708" s="222"/>
      <c r="W708" s="230"/>
      <c r="X708" s="331">
        <f t="shared" ref="X708:X771" si="35">V708+(W708)</f>
        <v>0</v>
      </c>
      <c r="Y708" s="222"/>
      <c r="Z708" s="272">
        <f t="shared" si="33"/>
        <v>0</v>
      </c>
      <c r="AA708" s="331"/>
      <c r="AB708" s="331"/>
      <c r="AC708" s="331"/>
      <c r="AD708" s="331"/>
      <c r="AE708" s="331"/>
      <c r="AF708" s="331"/>
      <c r="AG708" s="331"/>
      <c r="AH708" s="241">
        <f t="shared" ca="1" si="34"/>
        <v>46153</v>
      </c>
      <c r="AI708" s="272"/>
      <c r="AJ708" s="222"/>
      <c r="AK708" s="222"/>
    </row>
    <row r="709" spans="1:37" ht="23" hidden="1">
      <c r="A709" s="111">
        <v>417</v>
      </c>
      <c r="B709" s="112">
        <v>12</v>
      </c>
      <c r="C709" s="122" t="s">
        <v>3149</v>
      </c>
      <c r="D709" s="147" t="s">
        <v>3150</v>
      </c>
      <c r="E709" s="123" t="s">
        <v>3151</v>
      </c>
      <c r="F709" s="116" t="s">
        <v>951</v>
      </c>
      <c r="G709" s="116" t="s">
        <v>1435</v>
      </c>
      <c r="H709" s="116">
        <v>13.829723299999999</v>
      </c>
      <c r="I709" s="116">
        <v>100.5299352</v>
      </c>
      <c r="J709" s="115" t="s">
        <v>2108</v>
      </c>
      <c r="K709" s="115" t="s">
        <v>2136</v>
      </c>
      <c r="L709" s="117" t="s">
        <v>3152</v>
      </c>
      <c r="M709" s="121" t="s">
        <v>972</v>
      </c>
      <c r="N709" s="121" t="s">
        <v>972</v>
      </c>
      <c r="O709" s="121" t="s">
        <v>1436</v>
      </c>
      <c r="P709" s="117" t="s">
        <v>952</v>
      </c>
      <c r="Q709" s="125" t="s">
        <v>972</v>
      </c>
      <c r="R709" s="125" t="s">
        <v>972</v>
      </c>
      <c r="S709" s="125" t="s">
        <v>972</v>
      </c>
      <c r="T709" s="316" t="s">
        <v>5178</v>
      </c>
      <c r="U709" s="305" t="s">
        <v>5231</v>
      </c>
      <c r="V709" s="287">
        <v>45168</v>
      </c>
      <c r="W709" s="552">
        <v>4</v>
      </c>
      <c r="X709" s="331">
        <f t="shared" si="35"/>
        <v>45172</v>
      </c>
      <c r="Y709" s="316"/>
      <c r="Z709" s="318" t="e">
        <f t="shared" si="33"/>
        <v>#NUM!</v>
      </c>
      <c r="AA709" s="331"/>
      <c r="AB709" s="331"/>
      <c r="AC709" s="331"/>
      <c r="AD709" s="331"/>
      <c r="AE709" s="331"/>
      <c r="AF709" s="331"/>
      <c r="AG709" s="331"/>
      <c r="AH709" s="317">
        <f t="shared" ca="1" si="34"/>
        <v>46153</v>
      </c>
      <c r="AI709" s="318"/>
      <c r="AJ709" s="316" t="s">
        <v>5224</v>
      </c>
      <c r="AK709" s="316"/>
    </row>
    <row r="710" spans="1:37" ht="23.25" hidden="1" customHeight="1">
      <c r="A710" s="111">
        <v>671</v>
      </c>
      <c r="B710" s="112">
        <v>13</v>
      </c>
      <c r="C710" s="113" t="s">
        <v>3266</v>
      </c>
      <c r="D710" s="147" t="s">
        <v>3267</v>
      </c>
      <c r="E710" s="114" t="s">
        <v>3268</v>
      </c>
      <c r="F710" s="115" t="s">
        <v>951</v>
      </c>
      <c r="G710" s="115" t="s">
        <v>1435</v>
      </c>
      <c r="H710" s="116">
        <v>13.830704000000001</v>
      </c>
      <c r="I710" s="116">
        <v>100.533845</v>
      </c>
      <c r="J710" s="115" t="s">
        <v>890</v>
      </c>
      <c r="K710" s="117" t="s">
        <v>891</v>
      </c>
      <c r="L710" s="118" t="s">
        <v>891</v>
      </c>
      <c r="M710" s="121">
        <v>97046996</v>
      </c>
      <c r="N710" s="121" t="s">
        <v>892</v>
      </c>
      <c r="O710" s="121" t="s">
        <v>995</v>
      </c>
      <c r="P710" s="117" t="s">
        <v>1876</v>
      </c>
      <c r="Q710" s="125" t="s">
        <v>972</v>
      </c>
      <c r="R710" s="119" t="s">
        <v>895</v>
      </c>
      <c r="S710" s="119" t="s">
        <v>895</v>
      </c>
      <c r="T710" s="222"/>
      <c r="U710" s="222"/>
      <c r="V710" s="222"/>
      <c r="W710" s="230"/>
      <c r="X710" s="331">
        <f t="shared" si="35"/>
        <v>0</v>
      </c>
      <c r="Y710" s="222"/>
      <c r="Z710" s="272">
        <f t="shared" si="33"/>
        <v>0</v>
      </c>
      <c r="AA710" s="331"/>
      <c r="AB710" s="331"/>
      <c r="AC710" s="331"/>
      <c r="AD710" s="331"/>
      <c r="AE710" s="331"/>
      <c r="AF710" s="331"/>
      <c r="AG710" s="331"/>
      <c r="AH710" s="241">
        <f t="shared" ca="1" si="34"/>
        <v>46153</v>
      </c>
      <c r="AI710" s="272"/>
      <c r="AJ710" s="222"/>
      <c r="AK710" s="222"/>
    </row>
    <row r="711" spans="1:37" ht="23" hidden="1">
      <c r="A711" s="111">
        <v>495</v>
      </c>
      <c r="B711" s="112">
        <v>6</v>
      </c>
      <c r="C711" s="122" t="s">
        <v>3351</v>
      </c>
      <c r="D711" s="147" t="s">
        <v>3352</v>
      </c>
      <c r="E711" s="123" t="s">
        <v>3353</v>
      </c>
      <c r="F711" s="116" t="s">
        <v>951</v>
      </c>
      <c r="G711" s="116" t="s">
        <v>1094</v>
      </c>
      <c r="H711" s="116">
        <v>13.820377000000001</v>
      </c>
      <c r="I711" s="116">
        <v>100.57522</v>
      </c>
      <c r="J711" s="115" t="s">
        <v>2108</v>
      </c>
      <c r="K711" s="115" t="s">
        <v>2136</v>
      </c>
      <c r="L711" s="117" t="s">
        <v>3354</v>
      </c>
      <c r="M711" s="121" t="s">
        <v>972</v>
      </c>
      <c r="N711" s="121" t="s">
        <v>972</v>
      </c>
      <c r="O711" s="121" t="s">
        <v>995</v>
      </c>
      <c r="P711" s="117" t="s">
        <v>952</v>
      </c>
      <c r="Q711" s="125" t="s">
        <v>972</v>
      </c>
      <c r="R711" s="130" t="s">
        <v>972</v>
      </c>
      <c r="S711" s="125" t="s">
        <v>972</v>
      </c>
      <c r="T711" s="222"/>
      <c r="U711" s="222"/>
      <c r="V711" s="222"/>
      <c r="W711" s="230"/>
      <c r="X711" s="331">
        <f t="shared" si="35"/>
        <v>0</v>
      </c>
      <c r="Y711" s="222"/>
      <c r="Z711" s="272">
        <f t="shared" si="33"/>
        <v>0</v>
      </c>
      <c r="AA711" s="331"/>
      <c r="AB711" s="331"/>
      <c r="AC711" s="331"/>
      <c r="AD711" s="331"/>
      <c r="AE711" s="331"/>
      <c r="AF711" s="331"/>
      <c r="AG711" s="331"/>
      <c r="AH711" s="241">
        <f t="shared" ca="1" si="34"/>
        <v>46153</v>
      </c>
      <c r="AI711" s="272"/>
      <c r="AJ711" s="222"/>
      <c r="AK711" s="222"/>
    </row>
    <row r="712" spans="1:37" ht="23" hidden="1">
      <c r="A712" s="111">
        <v>523</v>
      </c>
      <c r="B712" s="112">
        <v>9</v>
      </c>
      <c r="C712" s="113" t="s">
        <v>3428</v>
      </c>
      <c r="D712" s="147" t="s">
        <v>3429</v>
      </c>
      <c r="E712" s="114" t="s">
        <v>3430</v>
      </c>
      <c r="F712" s="115" t="s">
        <v>951</v>
      </c>
      <c r="G712" s="115" t="s">
        <v>1435</v>
      </c>
      <c r="H712" s="116">
        <v>13.829230000000001</v>
      </c>
      <c r="I712" s="116">
        <v>100.5293162</v>
      </c>
      <c r="J712" s="115" t="s">
        <v>2108</v>
      </c>
      <c r="K712" s="115" t="s">
        <v>2136</v>
      </c>
      <c r="L712" s="117" t="s">
        <v>3431</v>
      </c>
      <c r="M712" s="121" t="s">
        <v>972</v>
      </c>
      <c r="N712" s="121" t="s">
        <v>972</v>
      </c>
      <c r="O712" s="121" t="s">
        <v>995</v>
      </c>
      <c r="P712" s="118" t="s">
        <v>952</v>
      </c>
      <c r="Q712" s="125" t="s">
        <v>972</v>
      </c>
      <c r="R712" s="125" t="s">
        <v>972</v>
      </c>
      <c r="S712" s="125" t="s">
        <v>972</v>
      </c>
      <c r="T712" s="316" t="s">
        <v>5178</v>
      </c>
      <c r="U712" s="305" t="s">
        <v>5231</v>
      </c>
      <c r="V712" s="287" t="s">
        <v>5293</v>
      </c>
      <c r="W712" s="552">
        <v>4</v>
      </c>
      <c r="X712" s="331" t="e">
        <f t="shared" si="35"/>
        <v>#VALUE!</v>
      </c>
      <c r="Y712" s="316"/>
      <c r="Z712" s="318" t="e">
        <f t="shared" si="33"/>
        <v>#VALUE!</v>
      </c>
      <c r="AA712" s="331"/>
      <c r="AB712" s="331"/>
      <c r="AC712" s="331"/>
      <c r="AD712" s="331"/>
      <c r="AE712" s="331"/>
      <c r="AF712" s="331"/>
      <c r="AG712" s="331"/>
      <c r="AH712" s="317">
        <f t="shared" ca="1" si="34"/>
        <v>46153</v>
      </c>
      <c r="AI712" s="318"/>
      <c r="AJ712" s="316" t="s">
        <v>5224</v>
      </c>
      <c r="AK712" s="316"/>
    </row>
    <row r="713" spans="1:37" ht="23" hidden="1">
      <c r="A713" s="111">
        <v>524</v>
      </c>
      <c r="B713" s="112">
        <v>13</v>
      </c>
      <c r="C713" s="113" t="s">
        <v>3432</v>
      </c>
      <c r="D713" s="147" t="s">
        <v>3433</v>
      </c>
      <c r="E713" s="114" t="s">
        <v>3434</v>
      </c>
      <c r="F713" s="115" t="s">
        <v>951</v>
      </c>
      <c r="G713" s="115" t="s">
        <v>1094</v>
      </c>
      <c r="H713" s="116">
        <v>13.823445</v>
      </c>
      <c r="I713" s="116">
        <v>100.573595</v>
      </c>
      <c r="J713" s="115" t="s">
        <v>2108</v>
      </c>
      <c r="K713" s="115" t="s">
        <v>2136</v>
      </c>
      <c r="L713" s="117" t="s">
        <v>3435</v>
      </c>
      <c r="M713" s="121" t="s">
        <v>972</v>
      </c>
      <c r="N713" s="121" t="s">
        <v>972</v>
      </c>
      <c r="O713" s="121" t="s">
        <v>995</v>
      </c>
      <c r="P713" s="117" t="s">
        <v>952</v>
      </c>
      <c r="Q713" s="125" t="s">
        <v>972</v>
      </c>
      <c r="R713" s="125" t="s">
        <v>972</v>
      </c>
      <c r="S713" s="125" t="s">
        <v>972</v>
      </c>
      <c r="T713" s="222"/>
      <c r="U713" s="222"/>
      <c r="V713" s="222"/>
      <c r="W713" s="230"/>
      <c r="X713" s="331">
        <f t="shared" si="35"/>
        <v>0</v>
      </c>
      <c r="Y713" s="222"/>
      <c r="Z713" s="272">
        <f t="shared" si="33"/>
        <v>0</v>
      </c>
      <c r="AA713" s="331"/>
      <c r="AB713" s="331"/>
      <c r="AC713" s="331"/>
      <c r="AD713" s="331"/>
      <c r="AE713" s="331"/>
      <c r="AF713" s="331"/>
      <c r="AG713" s="331"/>
      <c r="AH713" s="241">
        <f t="shared" ca="1" si="34"/>
        <v>46153</v>
      </c>
      <c r="AI713" s="272"/>
      <c r="AJ713" s="222"/>
      <c r="AK713" s="222"/>
    </row>
    <row r="714" spans="1:37" ht="23" hidden="1">
      <c r="A714" s="111">
        <v>526</v>
      </c>
      <c r="B714" s="112">
        <v>2</v>
      </c>
      <c r="C714" s="113" t="s">
        <v>3436</v>
      </c>
      <c r="D714" s="147" t="s">
        <v>3437</v>
      </c>
      <c r="E714" s="114" t="s">
        <v>3438</v>
      </c>
      <c r="F714" s="115" t="s">
        <v>951</v>
      </c>
      <c r="G714" s="115" t="s">
        <v>1435</v>
      </c>
      <c r="H714" s="116">
        <v>13.830702</v>
      </c>
      <c r="I714" s="116">
        <v>100.53196199999999</v>
      </c>
      <c r="J714" s="115" t="s">
        <v>2108</v>
      </c>
      <c r="K714" s="115" t="s">
        <v>2136</v>
      </c>
      <c r="L714" s="117" t="s">
        <v>2586</v>
      </c>
      <c r="M714" s="121" t="s">
        <v>972</v>
      </c>
      <c r="N714" s="121" t="s">
        <v>972</v>
      </c>
      <c r="O714" s="121" t="s">
        <v>995</v>
      </c>
      <c r="P714" s="118" t="s">
        <v>1876</v>
      </c>
      <c r="Q714" s="125" t="s">
        <v>972</v>
      </c>
      <c r="R714" s="130" t="s">
        <v>972</v>
      </c>
      <c r="S714" s="125" t="s">
        <v>972</v>
      </c>
      <c r="T714" s="222"/>
      <c r="U714" s="222"/>
      <c r="V714" s="222"/>
      <c r="W714" s="230"/>
      <c r="X714" s="331">
        <f t="shared" si="35"/>
        <v>0</v>
      </c>
      <c r="Y714" s="222"/>
      <c r="Z714" s="272">
        <f t="shared" si="33"/>
        <v>0</v>
      </c>
      <c r="AA714" s="331"/>
      <c r="AB714" s="331"/>
      <c r="AC714" s="331"/>
      <c r="AD714" s="331"/>
      <c r="AE714" s="331"/>
      <c r="AF714" s="331"/>
      <c r="AG714" s="331"/>
      <c r="AH714" s="241">
        <f t="shared" ca="1" si="34"/>
        <v>46153</v>
      </c>
      <c r="AI714" s="272"/>
      <c r="AJ714" s="222"/>
      <c r="AK714" s="222"/>
    </row>
    <row r="715" spans="1:37" ht="27" hidden="1">
      <c r="A715" s="111">
        <v>528</v>
      </c>
      <c r="B715" s="112">
        <v>13</v>
      </c>
      <c r="C715" s="113" t="s">
        <v>3442</v>
      </c>
      <c r="D715" s="147" t="s">
        <v>3443</v>
      </c>
      <c r="E715" s="539" t="s">
        <v>3444</v>
      </c>
      <c r="F715" s="115" t="s">
        <v>951</v>
      </c>
      <c r="G715" s="115" t="s">
        <v>1435</v>
      </c>
      <c r="H715" s="116">
        <v>13.830894799999999</v>
      </c>
      <c r="I715" s="116">
        <v>100.53477530000001</v>
      </c>
      <c r="J715" s="115" t="s">
        <v>2108</v>
      </c>
      <c r="K715" s="115" t="s">
        <v>2136</v>
      </c>
      <c r="L715" s="117" t="s">
        <v>3445</v>
      </c>
      <c r="M715" s="199" t="s">
        <v>972</v>
      </c>
      <c r="N715" s="199" t="s">
        <v>972</v>
      </c>
      <c r="O715" s="199" t="s">
        <v>1436</v>
      </c>
      <c r="P715" s="346" t="s">
        <v>1876</v>
      </c>
      <c r="Q715" s="340" t="s">
        <v>972</v>
      </c>
      <c r="R715" s="340" t="s">
        <v>972</v>
      </c>
      <c r="S715" s="340" t="s">
        <v>972</v>
      </c>
      <c r="T715" s="347" t="s">
        <v>5212</v>
      </c>
      <c r="U715" s="347"/>
      <c r="V715" s="328">
        <v>44972</v>
      </c>
      <c r="W715" s="553">
        <v>14</v>
      </c>
      <c r="X715" s="331">
        <f t="shared" si="35"/>
        <v>44986</v>
      </c>
      <c r="Y715" s="328">
        <v>45021</v>
      </c>
      <c r="Z715" s="344">
        <f t="shared" si="33"/>
        <v>35</v>
      </c>
      <c r="AA715" s="331"/>
      <c r="AB715" s="331"/>
      <c r="AC715" s="331"/>
      <c r="AD715" s="331"/>
      <c r="AE715" s="331"/>
      <c r="AF715" s="331"/>
      <c r="AG715" s="331"/>
      <c r="AH715" s="328">
        <f t="shared" ca="1" si="34"/>
        <v>46153</v>
      </c>
      <c r="AI715" s="348"/>
      <c r="AJ715" s="347" t="s">
        <v>5143</v>
      </c>
      <c r="AK715" s="347"/>
    </row>
    <row r="716" spans="1:37" ht="23" hidden="1">
      <c r="A716" s="111">
        <v>588</v>
      </c>
      <c r="B716" s="112" t="s">
        <v>1013</v>
      </c>
      <c r="C716" s="122" t="s">
        <v>3594</v>
      </c>
      <c r="D716" s="147" t="s">
        <v>3595</v>
      </c>
      <c r="E716" s="123" t="s">
        <v>3596</v>
      </c>
      <c r="F716" s="116" t="s">
        <v>951</v>
      </c>
      <c r="G716" s="116" t="s">
        <v>968</v>
      </c>
      <c r="H716" s="116">
        <v>13.764146</v>
      </c>
      <c r="I716" s="116">
        <v>100.568539</v>
      </c>
      <c r="J716" s="116" t="s">
        <v>969</v>
      </c>
      <c r="K716" s="116" t="s">
        <v>970</v>
      </c>
      <c r="L716" s="117" t="s">
        <v>3597</v>
      </c>
      <c r="M716" s="117">
        <v>96941198</v>
      </c>
      <c r="N716" s="121" t="s">
        <v>892</v>
      </c>
      <c r="O716" s="121" t="s">
        <v>901</v>
      </c>
      <c r="P716" s="118" t="s">
        <v>952</v>
      </c>
      <c r="Q716" s="125" t="s">
        <v>972</v>
      </c>
      <c r="R716" s="130" t="s">
        <v>972</v>
      </c>
      <c r="S716" s="125" t="s">
        <v>972</v>
      </c>
      <c r="T716" s="222"/>
      <c r="U716" s="222"/>
      <c r="V716" s="222"/>
      <c r="W716" s="230"/>
      <c r="X716" s="331">
        <f t="shared" si="35"/>
        <v>0</v>
      </c>
      <c r="Y716" s="222"/>
      <c r="Z716" s="272">
        <f t="shared" si="33"/>
        <v>0</v>
      </c>
      <c r="AA716" s="331"/>
      <c r="AB716" s="331"/>
      <c r="AC716" s="331"/>
      <c r="AD716" s="331"/>
      <c r="AE716" s="331"/>
      <c r="AF716" s="331"/>
      <c r="AG716" s="331"/>
      <c r="AH716" s="241">
        <f t="shared" ca="1" si="34"/>
        <v>46153</v>
      </c>
      <c r="AI716" s="272"/>
      <c r="AJ716" s="222"/>
      <c r="AK716" s="222"/>
    </row>
    <row r="717" spans="1:37" ht="23" hidden="1">
      <c r="A717" s="111">
        <v>589</v>
      </c>
      <c r="B717" s="112">
        <v>1</v>
      </c>
      <c r="C717" s="113" t="s">
        <v>3598</v>
      </c>
      <c r="D717" s="147" t="s">
        <v>3599</v>
      </c>
      <c r="E717" s="114" t="s">
        <v>3600</v>
      </c>
      <c r="F717" s="115" t="s">
        <v>951</v>
      </c>
      <c r="G717" s="115" t="s">
        <v>1094</v>
      </c>
      <c r="H717" s="116">
        <v>13.830171399999999</v>
      </c>
      <c r="I717" s="116">
        <v>100.5437007</v>
      </c>
      <c r="J717" s="116" t="s">
        <v>2097</v>
      </c>
      <c r="K717" s="116" t="s">
        <v>2097</v>
      </c>
      <c r="L717" s="117" t="s">
        <v>2098</v>
      </c>
      <c r="M717" s="116" t="s">
        <v>1347</v>
      </c>
      <c r="N717" s="121" t="s">
        <v>892</v>
      </c>
      <c r="O717" s="121" t="s">
        <v>995</v>
      </c>
      <c r="P717" s="117" t="s">
        <v>952</v>
      </c>
      <c r="Q717" s="125" t="s">
        <v>972</v>
      </c>
      <c r="R717" s="125" t="s">
        <v>972</v>
      </c>
      <c r="S717" s="125" t="s">
        <v>972</v>
      </c>
      <c r="T717" s="222"/>
      <c r="U717" s="222"/>
      <c r="V717" s="222"/>
      <c r="W717" s="230"/>
      <c r="X717" s="331">
        <f t="shared" si="35"/>
        <v>0</v>
      </c>
      <c r="Y717" s="222"/>
      <c r="Z717" s="272">
        <f t="shared" si="33"/>
        <v>0</v>
      </c>
      <c r="AA717" s="331"/>
      <c r="AB717" s="331"/>
      <c r="AC717" s="331"/>
      <c r="AD717" s="331"/>
      <c r="AE717" s="331"/>
      <c r="AF717" s="331"/>
      <c r="AG717" s="331"/>
      <c r="AH717" s="241">
        <f t="shared" ca="1" si="34"/>
        <v>46153</v>
      </c>
      <c r="AI717" s="272"/>
      <c r="AJ717" s="222"/>
      <c r="AK717" s="222"/>
    </row>
    <row r="718" spans="1:37" s="345" customFormat="1" ht="23" hidden="1">
      <c r="A718" s="111">
        <v>593</v>
      </c>
      <c r="B718" s="112" t="s">
        <v>1098</v>
      </c>
      <c r="C718" s="113" t="s">
        <v>3604</v>
      </c>
      <c r="D718" s="147" t="s">
        <v>3605</v>
      </c>
      <c r="E718" s="114" t="s">
        <v>3606</v>
      </c>
      <c r="F718" s="115" t="s">
        <v>951</v>
      </c>
      <c r="G718" s="115" t="s">
        <v>1094</v>
      </c>
      <c r="H718" s="115">
        <v>13.8299232</v>
      </c>
      <c r="I718" s="115">
        <v>100.545833</v>
      </c>
      <c r="J718" s="115" t="s">
        <v>2108</v>
      </c>
      <c r="K718" s="115" t="s">
        <v>2136</v>
      </c>
      <c r="L718" s="118" t="s">
        <v>3607</v>
      </c>
      <c r="M718" s="121" t="s">
        <v>972</v>
      </c>
      <c r="N718" s="121" t="s">
        <v>972</v>
      </c>
      <c r="O718" s="121" t="s">
        <v>995</v>
      </c>
      <c r="P718" s="118" t="s">
        <v>952</v>
      </c>
      <c r="Q718" s="125" t="s">
        <v>972</v>
      </c>
      <c r="R718" s="125" t="s">
        <v>972</v>
      </c>
      <c r="S718" s="130" t="s">
        <v>972</v>
      </c>
      <c r="T718" s="222"/>
      <c r="U718" s="222"/>
      <c r="V718" s="222"/>
      <c r="W718" s="230"/>
      <c r="X718" s="331">
        <f t="shared" si="35"/>
        <v>0</v>
      </c>
      <c r="Y718" s="222"/>
      <c r="Z718" s="272">
        <f t="shared" si="33"/>
        <v>0</v>
      </c>
      <c r="AA718" s="331"/>
      <c r="AB718" s="331"/>
      <c r="AC718" s="331"/>
      <c r="AD718" s="331"/>
      <c r="AE718" s="331"/>
      <c r="AF718" s="331"/>
      <c r="AG718" s="331"/>
      <c r="AH718" s="241">
        <f t="shared" ca="1" si="34"/>
        <v>46153</v>
      </c>
      <c r="AI718" s="272"/>
      <c r="AJ718" s="222"/>
      <c r="AK718" s="222"/>
    </row>
    <row r="719" spans="1:37" ht="23" hidden="1">
      <c r="A719" s="111">
        <v>595</v>
      </c>
      <c r="B719" s="112">
        <v>2</v>
      </c>
      <c r="C719" s="122" t="s">
        <v>3608</v>
      </c>
      <c r="D719" s="147" t="s">
        <v>3609</v>
      </c>
      <c r="E719" s="123" t="s">
        <v>3610</v>
      </c>
      <c r="F719" s="116" t="s">
        <v>951</v>
      </c>
      <c r="G719" s="116" t="s">
        <v>1435</v>
      </c>
      <c r="H719" s="116">
        <v>13.8304881</v>
      </c>
      <c r="I719" s="116">
        <v>100.5394392</v>
      </c>
      <c r="J719" s="116" t="s">
        <v>2097</v>
      </c>
      <c r="K719" s="116" t="s">
        <v>2097</v>
      </c>
      <c r="L719" s="117" t="s">
        <v>3611</v>
      </c>
      <c r="M719" s="116" t="s">
        <v>1347</v>
      </c>
      <c r="N719" s="121" t="s">
        <v>892</v>
      </c>
      <c r="O719" s="121" t="s">
        <v>995</v>
      </c>
      <c r="P719" s="117" t="s">
        <v>952</v>
      </c>
      <c r="Q719" s="125" t="s">
        <v>972</v>
      </c>
      <c r="R719" s="125" t="s">
        <v>972</v>
      </c>
      <c r="S719" s="125" t="s">
        <v>972</v>
      </c>
      <c r="T719" s="222"/>
      <c r="U719" s="222"/>
      <c r="V719" s="222"/>
      <c r="W719" s="230"/>
      <c r="X719" s="331">
        <f t="shared" si="35"/>
        <v>0</v>
      </c>
      <c r="Y719" s="222"/>
      <c r="Z719" s="272">
        <f t="shared" si="33"/>
        <v>0</v>
      </c>
      <c r="AA719" s="331"/>
      <c r="AB719" s="331"/>
      <c r="AC719" s="331"/>
      <c r="AD719" s="331"/>
      <c r="AE719" s="331"/>
      <c r="AF719" s="331"/>
      <c r="AG719" s="331"/>
      <c r="AH719" s="241">
        <f t="shared" ca="1" si="34"/>
        <v>46153</v>
      </c>
      <c r="AI719" s="272"/>
      <c r="AJ719" s="222"/>
      <c r="AK719" s="222"/>
    </row>
    <row r="720" spans="1:37" ht="23" hidden="1">
      <c r="A720" s="111">
        <v>596</v>
      </c>
      <c r="B720" s="112">
        <v>12</v>
      </c>
      <c r="C720" s="113" t="s">
        <v>3612</v>
      </c>
      <c r="D720" s="147" t="s">
        <v>3613</v>
      </c>
      <c r="E720" s="114" t="s">
        <v>3614</v>
      </c>
      <c r="F720" s="115" t="s">
        <v>951</v>
      </c>
      <c r="G720" s="115" t="s">
        <v>1094</v>
      </c>
      <c r="H720" s="116">
        <v>13.8303949</v>
      </c>
      <c r="I720" s="116">
        <v>100.5407908</v>
      </c>
      <c r="J720" s="115" t="s">
        <v>2108</v>
      </c>
      <c r="K720" s="117" t="s">
        <v>2109</v>
      </c>
      <c r="L720" s="117" t="s">
        <v>2110</v>
      </c>
      <c r="M720" s="121" t="s">
        <v>972</v>
      </c>
      <c r="N720" s="121" t="s">
        <v>972</v>
      </c>
      <c r="O720" s="121" t="s">
        <v>995</v>
      </c>
      <c r="P720" s="117" t="s">
        <v>952</v>
      </c>
      <c r="Q720" s="125" t="s">
        <v>972</v>
      </c>
      <c r="R720" s="125" t="s">
        <v>972</v>
      </c>
      <c r="S720" s="125" t="s">
        <v>972</v>
      </c>
      <c r="T720" s="222"/>
      <c r="U720" s="222"/>
      <c r="V720" s="222"/>
      <c r="W720" s="230"/>
      <c r="X720" s="331">
        <f t="shared" si="35"/>
        <v>0</v>
      </c>
      <c r="Y720" s="222"/>
      <c r="Z720" s="272">
        <f t="shared" si="33"/>
        <v>0</v>
      </c>
      <c r="AA720" s="331"/>
      <c r="AB720" s="331"/>
      <c r="AC720" s="331"/>
      <c r="AD720" s="331"/>
      <c r="AE720" s="331"/>
      <c r="AF720" s="331"/>
      <c r="AG720" s="331"/>
      <c r="AH720" s="241">
        <f t="shared" ca="1" si="34"/>
        <v>46153</v>
      </c>
      <c r="AI720" s="272"/>
      <c r="AJ720" s="222"/>
      <c r="AK720" s="222"/>
    </row>
    <row r="721" spans="1:37" ht="23.25" hidden="1" customHeight="1">
      <c r="A721" s="111">
        <v>940</v>
      </c>
      <c r="B721" s="112">
        <v>3</v>
      </c>
      <c r="C721" s="122" t="s">
        <v>3743</v>
      </c>
      <c r="D721" s="147" t="s">
        <v>3744</v>
      </c>
      <c r="E721" s="114" t="s">
        <v>3745</v>
      </c>
      <c r="F721" s="115" t="s">
        <v>951</v>
      </c>
      <c r="G721" s="115" t="s">
        <v>1094</v>
      </c>
      <c r="H721" s="116">
        <v>13.8016086</v>
      </c>
      <c r="I721" s="116">
        <v>100.57465019999999</v>
      </c>
      <c r="J721" s="116" t="s">
        <v>890</v>
      </c>
      <c r="K721" s="117" t="s">
        <v>2180</v>
      </c>
      <c r="L721" s="117" t="s">
        <v>2180</v>
      </c>
      <c r="M721" s="117">
        <v>77113807</v>
      </c>
      <c r="N721" s="117" t="s">
        <v>892</v>
      </c>
      <c r="O721" s="121" t="s">
        <v>995</v>
      </c>
      <c r="P721" s="117" t="s">
        <v>1876</v>
      </c>
      <c r="Q721" s="125" t="s">
        <v>972</v>
      </c>
      <c r="R721" s="119" t="s">
        <v>895</v>
      </c>
      <c r="S721" s="119" t="s">
        <v>895</v>
      </c>
      <c r="T721" s="222"/>
      <c r="U721" s="222"/>
      <c r="V721" s="222"/>
      <c r="W721" s="230"/>
      <c r="X721" s="331">
        <f t="shared" si="35"/>
        <v>0</v>
      </c>
      <c r="Y721" s="222"/>
      <c r="Z721" s="272">
        <f t="shared" si="33"/>
        <v>0</v>
      </c>
      <c r="AA721" s="331"/>
      <c r="AB721" s="331"/>
      <c r="AC721" s="331"/>
      <c r="AD721" s="331"/>
      <c r="AE721" s="331"/>
      <c r="AF721" s="331"/>
      <c r="AG721" s="331"/>
      <c r="AH721" s="241">
        <f t="shared" ca="1" si="34"/>
        <v>46153</v>
      </c>
      <c r="AI721" s="272"/>
      <c r="AJ721" s="222"/>
      <c r="AK721" s="222"/>
    </row>
    <row r="722" spans="1:37" ht="23" hidden="1">
      <c r="A722" s="111">
        <v>650</v>
      </c>
      <c r="B722" s="112">
        <v>16</v>
      </c>
      <c r="C722" s="122" t="s">
        <v>3746</v>
      </c>
      <c r="D722" s="147" t="s">
        <v>3747</v>
      </c>
      <c r="E722" s="123" t="s">
        <v>3748</v>
      </c>
      <c r="F722" s="116" t="s">
        <v>951</v>
      </c>
      <c r="G722" s="116" t="s">
        <v>936</v>
      </c>
      <c r="H722" s="116">
        <v>13.762795799999999</v>
      </c>
      <c r="I722" s="116">
        <v>100.5677395</v>
      </c>
      <c r="J722" s="116" t="s">
        <v>2097</v>
      </c>
      <c r="K722" s="116" t="s">
        <v>2097</v>
      </c>
      <c r="L722" s="117" t="s">
        <v>2132</v>
      </c>
      <c r="M722" s="116" t="s">
        <v>1347</v>
      </c>
      <c r="N722" s="121" t="s">
        <v>892</v>
      </c>
      <c r="O722" s="121" t="s">
        <v>901</v>
      </c>
      <c r="P722" s="117" t="s">
        <v>952</v>
      </c>
      <c r="Q722" s="125" t="s">
        <v>972</v>
      </c>
      <c r="R722" s="125" t="s">
        <v>972</v>
      </c>
      <c r="S722" s="125" t="s">
        <v>972</v>
      </c>
      <c r="T722" s="222"/>
      <c r="U722" s="222"/>
      <c r="V722" s="222"/>
      <c r="W722" s="230"/>
      <c r="X722" s="331">
        <f t="shared" si="35"/>
        <v>0</v>
      </c>
      <c r="Y722" s="222"/>
      <c r="Z722" s="272">
        <f t="shared" si="33"/>
        <v>0</v>
      </c>
      <c r="AA722" s="331"/>
      <c r="AB722" s="331"/>
      <c r="AC722" s="331"/>
      <c r="AD722" s="331"/>
      <c r="AE722" s="331"/>
      <c r="AF722" s="331"/>
      <c r="AG722" s="331"/>
      <c r="AH722" s="241">
        <f t="shared" ca="1" si="34"/>
        <v>46153</v>
      </c>
      <c r="AI722" s="272"/>
      <c r="AJ722" s="222"/>
      <c r="AK722" s="222"/>
    </row>
    <row r="723" spans="1:37" ht="23" hidden="1">
      <c r="A723" s="111">
        <v>655</v>
      </c>
      <c r="B723" s="112" t="s">
        <v>1098</v>
      </c>
      <c r="C723" s="113" t="s">
        <v>3763</v>
      </c>
      <c r="D723" s="147" t="s">
        <v>3764</v>
      </c>
      <c r="E723" s="123" t="s">
        <v>3765</v>
      </c>
      <c r="F723" s="115" t="s">
        <v>951</v>
      </c>
      <c r="G723" s="115" t="s">
        <v>1094</v>
      </c>
      <c r="H723" s="115">
        <v>13.830238700000001</v>
      </c>
      <c r="I723" s="115">
        <v>100.5616868</v>
      </c>
      <c r="J723" s="115" t="s">
        <v>2108</v>
      </c>
      <c r="K723" s="117" t="s">
        <v>2109</v>
      </c>
      <c r="L723" s="117" t="s">
        <v>2110</v>
      </c>
      <c r="M723" s="121" t="s">
        <v>972</v>
      </c>
      <c r="N723" s="121" t="s">
        <v>972</v>
      </c>
      <c r="O723" s="121" t="s">
        <v>995</v>
      </c>
      <c r="P723" s="117" t="s">
        <v>952</v>
      </c>
      <c r="Q723" s="125" t="s">
        <v>972</v>
      </c>
      <c r="R723" s="125" t="s">
        <v>972</v>
      </c>
      <c r="S723" s="125" t="s">
        <v>972</v>
      </c>
      <c r="T723" s="222"/>
      <c r="U723" s="222"/>
      <c r="V723" s="222"/>
      <c r="W723" s="230"/>
      <c r="X723" s="331">
        <f t="shared" si="35"/>
        <v>0</v>
      </c>
      <c r="Y723" s="222"/>
      <c r="Z723" s="272">
        <f t="shared" si="33"/>
        <v>0</v>
      </c>
      <c r="AA723" s="331"/>
      <c r="AB723" s="331"/>
      <c r="AC723" s="331"/>
      <c r="AD723" s="331"/>
      <c r="AE723" s="331"/>
      <c r="AF723" s="331"/>
      <c r="AG723" s="331"/>
      <c r="AH723" s="241">
        <f t="shared" ca="1" si="34"/>
        <v>46153</v>
      </c>
      <c r="AI723" s="272"/>
      <c r="AJ723" s="222"/>
      <c r="AK723" s="222"/>
    </row>
    <row r="724" spans="1:37" ht="23.25" hidden="1" customHeight="1">
      <c r="A724" s="111">
        <v>682</v>
      </c>
      <c r="B724" s="112" t="s">
        <v>985</v>
      </c>
      <c r="C724" s="122" t="s">
        <v>3811</v>
      </c>
      <c r="D724" s="147" t="s">
        <v>3812</v>
      </c>
      <c r="E724" s="114" t="s">
        <v>3813</v>
      </c>
      <c r="F724" s="115" t="s">
        <v>951</v>
      </c>
      <c r="G724" s="115" t="s">
        <v>968</v>
      </c>
      <c r="H724" s="116">
        <v>13.782420999999999</v>
      </c>
      <c r="I724" s="116">
        <v>100.57372700000001</v>
      </c>
      <c r="J724" s="115" t="s">
        <v>2108</v>
      </c>
      <c r="K724" s="115" t="s">
        <v>2136</v>
      </c>
      <c r="L724" s="118" t="s">
        <v>3814</v>
      </c>
      <c r="M724" s="121" t="s">
        <v>972</v>
      </c>
      <c r="N724" s="121" t="s">
        <v>972</v>
      </c>
      <c r="O724" s="121" t="s">
        <v>901</v>
      </c>
      <c r="P724" s="117" t="s">
        <v>952</v>
      </c>
      <c r="Q724" s="125" t="s">
        <v>972</v>
      </c>
      <c r="R724" s="125" t="s">
        <v>972</v>
      </c>
      <c r="S724" s="125" t="s">
        <v>972</v>
      </c>
      <c r="T724" s="222"/>
      <c r="U724" s="222"/>
      <c r="V724" s="222"/>
      <c r="W724" s="230"/>
      <c r="X724" s="331">
        <f t="shared" si="35"/>
        <v>0</v>
      </c>
      <c r="Y724" s="222"/>
      <c r="Z724" s="272">
        <f t="shared" si="33"/>
        <v>0</v>
      </c>
      <c r="AA724" s="331"/>
      <c r="AB724" s="331"/>
      <c r="AC724" s="331"/>
      <c r="AD724" s="331"/>
      <c r="AE724" s="331"/>
      <c r="AF724" s="331"/>
      <c r="AG724" s="331"/>
      <c r="AH724" s="241">
        <f t="shared" ca="1" si="34"/>
        <v>46153</v>
      </c>
      <c r="AI724" s="272"/>
      <c r="AJ724" s="222"/>
      <c r="AK724" s="222"/>
    </row>
    <row r="725" spans="1:37" ht="23" hidden="1">
      <c r="A725" s="111">
        <v>704</v>
      </c>
      <c r="B725" s="112" t="s">
        <v>979</v>
      </c>
      <c r="C725" s="113" t="s">
        <v>3857</v>
      </c>
      <c r="D725" s="147" t="s">
        <v>3858</v>
      </c>
      <c r="E725" s="114" t="s">
        <v>3859</v>
      </c>
      <c r="F725" s="115" t="s">
        <v>951</v>
      </c>
      <c r="G725" s="115" t="s">
        <v>936</v>
      </c>
      <c r="H725" s="116">
        <v>13.779672</v>
      </c>
      <c r="I725" s="131">
        <v>100.57383</v>
      </c>
      <c r="J725" s="115" t="s">
        <v>2108</v>
      </c>
      <c r="K725" s="117" t="s">
        <v>2109</v>
      </c>
      <c r="L725" s="117" t="s">
        <v>2110</v>
      </c>
      <c r="M725" s="121" t="s">
        <v>972</v>
      </c>
      <c r="N725" s="121" t="s">
        <v>972</v>
      </c>
      <c r="O725" s="121" t="s">
        <v>901</v>
      </c>
      <c r="P725" s="117" t="s">
        <v>952</v>
      </c>
      <c r="Q725" s="125" t="s">
        <v>972</v>
      </c>
      <c r="R725" s="125" t="s">
        <v>972</v>
      </c>
      <c r="S725" s="125" t="s">
        <v>972</v>
      </c>
      <c r="T725" s="222"/>
      <c r="U725" s="222"/>
      <c r="V725" s="222"/>
      <c r="W725" s="230"/>
      <c r="X725" s="331">
        <f t="shared" si="35"/>
        <v>0</v>
      </c>
      <c r="Y725" s="222"/>
      <c r="Z725" s="272">
        <f t="shared" si="33"/>
        <v>0</v>
      </c>
      <c r="AA725" s="331"/>
      <c r="AB725" s="331"/>
      <c r="AC725" s="331"/>
      <c r="AD725" s="331"/>
      <c r="AE725" s="331"/>
      <c r="AF725" s="331"/>
      <c r="AG725" s="331"/>
      <c r="AH725" s="241">
        <f t="shared" ca="1" si="34"/>
        <v>46153</v>
      </c>
      <c r="AI725" s="272"/>
      <c r="AJ725" s="222"/>
      <c r="AK725" s="222"/>
    </row>
    <row r="726" spans="1:37" ht="23" hidden="1">
      <c r="A726" s="111">
        <v>772</v>
      </c>
      <c r="B726" s="112" t="s">
        <v>1098</v>
      </c>
      <c r="C726" s="113" t="s">
        <v>4016</v>
      </c>
      <c r="D726" s="147" t="s">
        <v>4017</v>
      </c>
      <c r="E726" s="123" t="s">
        <v>4018</v>
      </c>
      <c r="F726" s="115" t="s">
        <v>951</v>
      </c>
      <c r="G726" s="115" t="s">
        <v>1094</v>
      </c>
      <c r="H726" s="116">
        <v>13.8301725</v>
      </c>
      <c r="I726" s="116">
        <v>100.54578960000001</v>
      </c>
      <c r="J726" s="116" t="s">
        <v>969</v>
      </c>
      <c r="K726" s="115" t="s">
        <v>1048</v>
      </c>
      <c r="L726" s="118" t="s">
        <v>4019</v>
      </c>
      <c r="M726" s="121">
        <v>96941162</v>
      </c>
      <c r="N726" s="121" t="s">
        <v>892</v>
      </c>
      <c r="O726" s="121" t="s">
        <v>995</v>
      </c>
      <c r="P726" s="118" t="s">
        <v>952</v>
      </c>
      <c r="Q726" s="125" t="s">
        <v>972</v>
      </c>
      <c r="R726" s="125" t="s">
        <v>972</v>
      </c>
      <c r="S726" s="125" t="s">
        <v>972</v>
      </c>
      <c r="T726" s="222"/>
      <c r="U726" s="222"/>
      <c r="V726" s="222"/>
      <c r="W726" s="230"/>
      <c r="X726" s="331">
        <f t="shared" si="35"/>
        <v>0</v>
      </c>
      <c r="Y726" s="222"/>
      <c r="Z726" s="272">
        <f t="shared" si="33"/>
        <v>0</v>
      </c>
      <c r="AA726" s="331"/>
      <c r="AB726" s="331"/>
      <c r="AC726" s="331"/>
      <c r="AD726" s="331"/>
      <c r="AE726" s="331"/>
      <c r="AF726" s="331"/>
      <c r="AG726" s="331"/>
      <c r="AH726" s="241">
        <f t="shared" ca="1" si="34"/>
        <v>46153</v>
      </c>
      <c r="AI726" s="272"/>
      <c r="AJ726" s="222"/>
      <c r="AK726" s="222"/>
    </row>
    <row r="727" spans="1:37" ht="23.25" hidden="1" customHeight="1">
      <c r="A727" s="111">
        <v>798</v>
      </c>
      <c r="B727" s="112">
        <v>15</v>
      </c>
      <c r="C727" s="113" t="s">
        <v>4093</v>
      </c>
      <c r="D727" s="147" t="s">
        <v>4094</v>
      </c>
      <c r="E727" s="114" t="s">
        <v>4095</v>
      </c>
      <c r="F727" s="115" t="s">
        <v>951</v>
      </c>
      <c r="G727" s="115" t="s">
        <v>968</v>
      </c>
      <c r="H727" s="116">
        <v>13.761433</v>
      </c>
      <c r="I727" s="116">
        <v>100.5664656</v>
      </c>
      <c r="J727" s="116" t="s">
        <v>969</v>
      </c>
      <c r="K727" s="115" t="s">
        <v>1048</v>
      </c>
      <c r="L727" s="118" t="s">
        <v>2695</v>
      </c>
      <c r="M727" s="117">
        <v>96939891</v>
      </c>
      <c r="N727" s="121" t="s">
        <v>892</v>
      </c>
      <c r="O727" s="121" t="s">
        <v>901</v>
      </c>
      <c r="P727" s="118" t="s">
        <v>952</v>
      </c>
      <c r="Q727" s="125" t="s">
        <v>972</v>
      </c>
      <c r="R727" s="125" t="s">
        <v>972</v>
      </c>
      <c r="S727" s="125" t="s">
        <v>972</v>
      </c>
      <c r="T727" s="222"/>
      <c r="U727" s="222"/>
      <c r="V727" s="222"/>
      <c r="W727" s="230"/>
      <c r="X727" s="331">
        <f t="shared" si="35"/>
        <v>0</v>
      </c>
      <c r="Y727" s="222"/>
      <c r="Z727" s="272">
        <f t="shared" si="33"/>
        <v>0</v>
      </c>
      <c r="AA727" s="331"/>
      <c r="AB727" s="331"/>
      <c r="AC727" s="331"/>
      <c r="AD727" s="331"/>
      <c r="AE727" s="331"/>
      <c r="AF727" s="331"/>
      <c r="AG727" s="331"/>
      <c r="AH727" s="241">
        <f t="shared" ca="1" si="34"/>
        <v>46153</v>
      </c>
      <c r="AI727" s="272"/>
      <c r="AJ727" s="222"/>
      <c r="AK727" s="222"/>
    </row>
    <row r="728" spans="1:37" ht="23.25" hidden="1" customHeight="1">
      <c r="A728" s="111">
        <v>881</v>
      </c>
      <c r="B728" s="112">
        <v>6</v>
      </c>
      <c r="C728" s="113" t="s">
        <v>4296</v>
      </c>
      <c r="D728" s="147" t="s">
        <v>4297</v>
      </c>
      <c r="E728" s="114" t="s">
        <v>4298</v>
      </c>
      <c r="F728" s="115" t="s">
        <v>951</v>
      </c>
      <c r="G728" s="115" t="s">
        <v>1094</v>
      </c>
      <c r="H728" s="131">
        <v>13.8248707</v>
      </c>
      <c r="I728" s="116">
        <v>100.5718306</v>
      </c>
      <c r="J728" s="116" t="s">
        <v>2097</v>
      </c>
      <c r="K728" s="116" t="s">
        <v>2097</v>
      </c>
      <c r="L728" s="117" t="s">
        <v>2098</v>
      </c>
      <c r="M728" s="116" t="s">
        <v>1347</v>
      </c>
      <c r="N728" s="121" t="s">
        <v>892</v>
      </c>
      <c r="O728" s="121" t="s">
        <v>995</v>
      </c>
      <c r="P728" s="117" t="s">
        <v>952</v>
      </c>
      <c r="Q728" s="125" t="s">
        <v>972</v>
      </c>
      <c r="R728" s="125" t="s">
        <v>972</v>
      </c>
      <c r="S728" s="125" t="s">
        <v>972</v>
      </c>
      <c r="T728" s="222"/>
      <c r="U728" s="222"/>
      <c r="V728" s="222"/>
      <c r="W728" s="230"/>
      <c r="X728" s="331">
        <f t="shared" si="35"/>
        <v>0</v>
      </c>
      <c r="Y728" s="222"/>
      <c r="Z728" s="272">
        <f t="shared" si="33"/>
        <v>0</v>
      </c>
      <c r="AA728" s="331"/>
      <c r="AB728" s="331"/>
      <c r="AC728" s="331"/>
      <c r="AD728" s="331"/>
      <c r="AE728" s="331"/>
      <c r="AF728" s="331"/>
      <c r="AG728" s="331"/>
      <c r="AH728" s="241">
        <f t="shared" ca="1" si="34"/>
        <v>46153</v>
      </c>
      <c r="AI728" s="272"/>
      <c r="AJ728" s="222"/>
      <c r="AK728" s="222"/>
    </row>
    <row r="729" spans="1:37" ht="23" hidden="1">
      <c r="A729" s="111">
        <v>902</v>
      </c>
      <c r="B729" s="112">
        <v>6</v>
      </c>
      <c r="C729" s="122" t="s">
        <v>4357</v>
      </c>
      <c r="D729" s="147" t="s">
        <v>4358</v>
      </c>
      <c r="E729" s="114" t="s">
        <v>4359</v>
      </c>
      <c r="F729" s="115" t="s">
        <v>951</v>
      </c>
      <c r="G729" s="115" t="s">
        <v>936</v>
      </c>
      <c r="H729" s="116">
        <v>13.7579239</v>
      </c>
      <c r="I729" s="116">
        <v>100.5655118</v>
      </c>
      <c r="J729" s="116" t="s">
        <v>969</v>
      </c>
      <c r="K729" s="115" t="s">
        <v>1048</v>
      </c>
      <c r="L729" s="117" t="s">
        <v>2294</v>
      </c>
      <c r="M729" s="117">
        <v>96941185</v>
      </c>
      <c r="N729" s="121" t="s">
        <v>892</v>
      </c>
      <c r="O729" s="121" t="s">
        <v>901</v>
      </c>
      <c r="P729" s="117" t="s">
        <v>952</v>
      </c>
      <c r="Q729" s="125" t="s">
        <v>972</v>
      </c>
      <c r="R729" s="125" t="s">
        <v>972</v>
      </c>
      <c r="S729" s="125" t="s">
        <v>972</v>
      </c>
      <c r="T729" s="222"/>
      <c r="U729" s="222"/>
      <c r="V729" s="222"/>
      <c r="W729" s="230"/>
      <c r="X729" s="331">
        <f t="shared" si="35"/>
        <v>0</v>
      </c>
      <c r="Y729" s="222"/>
      <c r="Z729" s="272">
        <f t="shared" si="33"/>
        <v>0</v>
      </c>
      <c r="AA729" s="331"/>
      <c r="AB729" s="331"/>
      <c r="AC729" s="331"/>
      <c r="AD729" s="331"/>
      <c r="AE729" s="331"/>
      <c r="AF729" s="331"/>
      <c r="AG729" s="331"/>
      <c r="AH729" s="241">
        <f t="shared" ca="1" si="34"/>
        <v>46153</v>
      </c>
      <c r="AI729" s="272"/>
      <c r="AJ729" s="222"/>
      <c r="AK729" s="222"/>
    </row>
    <row r="730" spans="1:37" ht="23" hidden="1">
      <c r="A730" s="111">
        <v>930</v>
      </c>
      <c r="B730" s="112">
        <v>6</v>
      </c>
      <c r="C730" s="113" t="s">
        <v>4452</v>
      </c>
      <c r="D730" s="147" t="s">
        <v>4453</v>
      </c>
      <c r="E730" s="179" t="s">
        <v>4454</v>
      </c>
      <c r="F730" s="115" t="s">
        <v>951</v>
      </c>
      <c r="G730" s="115" t="s">
        <v>1094</v>
      </c>
      <c r="H730" s="116">
        <v>13.8301021</v>
      </c>
      <c r="I730" s="116">
        <v>100.5405928</v>
      </c>
      <c r="J730" s="115" t="s">
        <v>2108</v>
      </c>
      <c r="K730" s="117" t="s">
        <v>2109</v>
      </c>
      <c r="L730" s="117" t="s">
        <v>2110</v>
      </c>
      <c r="M730" s="121" t="s">
        <v>972</v>
      </c>
      <c r="N730" s="121" t="s">
        <v>972</v>
      </c>
      <c r="O730" s="121" t="s">
        <v>995</v>
      </c>
      <c r="P730" s="118" t="s">
        <v>1876</v>
      </c>
      <c r="Q730" s="125" t="s">
        <v>972</v>
      </c>
      <c r="R730" s="125" t="s">
        <v>972</v>
      </c>
      <c r="S730" s="125" t="s">
        <v>972</v>
      </c>
      <c r="T730" s="222"/>
      <c r="U730" s="222"/>
      <c r="V730" s="222"/>
      <c r="W730" s="230"/>
      <c r="X730" s="331">
        <f t="shared" si="35"/>
        <v>0</v>
      </c>
      <c r="Y730" s="222"/>
      <c r="Z730" s="272">
        <f t="shared" si="33"/>
        <v>0</v>
      </c>
      <c r="AA730" s="331"/>
      <c r="AB730" s="331"/>
      <c r="AC730" s="331"/>
      <c r="AD730" s="331"/>
      <c r="AE730" s="331"/>
      <c r="AF730" s="331"/>
      <c r="AG730" s="331"/>
      <c r="AH730" s="241">
        <f t="shared" ca="1" si="34"/>
        <v>46153</v>
      </c>
      <c r="AI730" s="272"/>
      <c r="AJ730" s="222"/>
      <c r="AK730" s="222"/>
    </row>
    <row r="731" spans="1:37" ht="23.25" hidden="1" customHeight="1">
      <c r="A731" s="111">
        <v>933</v>
      </c>
      <c r="B731" s="112">
        <v>1</v>
      </c>
      <c r="C731" s="113" t="s">
        <v>4455</v>
      </c>
      <c r="D731" s="147" t="s">
        <v>4456</v>
      </c>
      <c r="E731" s="114" t="s">
        <v>4457</v>
      </c>
      <c r="F731" s="115" t="s">
        <v>951</v>
      </c>
      <c r="G731" s="115" t="s">
        <v>1094</v>
      </c>
      <c r="H731" s="116">
        <v>13.830437</v>
      </c>
      <c r="I731" s="116">
        <v>100.560919</v>
      </c>
      <c r="J731" s="115" t="s">
        <v>2108</v>
      </c>
      <c r="K731" s="117" t="s">
        <v>2109</v>
      </c>
      <c r="L731" s="117" t="s">
        <v>2110</v>
      </c>
      <c r="M731" s="121" t="s">
        <v>972</v>
      </c>
      <c r="N731" s="121" t="s">
        <v>972</v>
      </c>
      <c r="O731" s="121" t="s">
        <v>995</v>
      </c>
      <c r="P731" s="117" t="s">
        <v>1876</v>
      </c>
      <c r="Q731" s="125" t="s">
        <v>972</v>
      </c>
      <c r="R731" s="125" t="s">
        <v>972</v>
      </c>
      <c r="S731" s="125" t="s">
        <v>972</v>
      </c>
      <c r="T731" s="222"/>
      <c r="U731" s="222"/>
      <c r="V731" s="222"/>
      <c r="W731" s="230"/>
      <c r="X731" s="331">
        <f t="shared" si="35"/>
        <v>0</v>
      </c>
      <c r="Y731" s="222"/>
      <c r="Z731" s="272">
        <f t="shared" si="33"/>
        <v>0</v>
      </c>
      <c r="AA731" s="331"/>
      <c r="AB731" s="331"/>
      <c r="AC731" s="331"/>
      <c r="AD731" s="331"/>
      <c r="AE731" s="331"/>
      <c r="AF731" s="331"/>
      <c r="AG731" s="331"/>
      <c r="AH731" s="241">
        <f t="shared" ca="1" si="34"/>
        <v>46153</v>
      </c>
      <c r="AI731" s="272"/>
      <c r="AJ731" s="222"/>
      <c r="AK731" s="222"/>
    </row>
    <row r="732" spans="1:37" ht="23.25" hidden="1" customHeight="1">
      <c r="A732" s="111">
        <v>936</v>
      </c>
      <c r="B732" s="112">
        <v>2</v>
      </c>
      <c r="C732" s="113" t="s">
        <v>4462</v>
      </c>
      <c r="D732" s="147" t="s">
        <v>4463</v>
      </c>
      <c r="E732" s="114" t="s">
        <v>4464</v>
      </c>
      <c r="F732" s="115" t="s">
        <v>951</v>
      </c>
      <c r="G732" s="115" t="s">
        <v>1094</v>
      </c>
      <c r="H732" s="116">
        <v>13.803740100000001</v>
      </c>
      <c r="I732" s="116">
        <v>100.5750254</v>
      </c>
      <c r="J732" s="115" t="s">
        <v>2108</v>
      </c>
      <c r="K732" s="117" t="s">
        <v>2109</v>
      </c>
      <c r="L732" s="117" t="s">
        <v>2110</v>
      </c>
      <c r="M732" s="121" t="s">
        <v>972</v>
      </c>
      <c r="N732" s="121" t="s">
        <v>972</v>
      </c>
      <c r="O732" s="121" t="s">
        <v>995</v>
      </c>
      <c r="P732" s="118" t="s">
        <v>952</v>
      </c>
      <c r="Q732" s="125" t="s">
        <v>972</v>
      </c>
      <c r="R732" s="125" t="s">
        <v>972</v>
      </c>
      <c r="S732" s="125" t="s">
        <v>972</v>
      </c>
      <c r="T732" s="274" t="s">
        <v>5212</v>
      </c>
      <c r="U732" s="312" t="s">
        <v>5094</v>
      </c>
      <c r="V732" s="329">
        <v>45005</v>
      </c>
      <c r="W732" s="326">
        <v>30</v>
      </c>
      <c r="X732" s="331">
        <f t="shared" si="35"/>
        <v>45035</v>
      </c>
      <c r="Y732" s="329">
        <v>45043</v>
      </c>
      <c r="Z732" s="332">
        <f t="shared" si="33"/>
        <v>8</v>
      </c>
      <c r="AA732" s="331"/>
      <c r="AB732" s="331"/>
      <c r="AC732" s="331"/>
      <c r="AD732" s="331"/>
      <c r="AE732" s="331"/>
      <c r="AF732" s="331"/>
      <c r="AG732" s="331"/>
      <c r="AH732" s="329">
        <f t="shared" ca="1" si="34"/>
        <v>46153</v>
      </c>
      <c r="AI732" s="330"/>
      <c r="AJ732" s="312" t="s">
        <v>5143</v>
      </c>
      <c r="AK732" s="312"/>
    </row>
    <row r="733" spans="1:37" ht="23" hidden="1">
      <c r="A733" s="111">
        <v>961</v>
      </c>
      <c r="B733" s="112" t="s">
        <v>919</v>
      </c>
      <c r="C733" s="113" t="s">
        <v>4524</v>
      </c>
      <c r="D733" s="147" t="s">
        <v>4525</v>
      </c>
      <c r="E733" s="123" t="s">
        <v>4526</v>
      </c>
      <c r="F733" s="115" t="s">
        <v>951</v>
      </c>
      <c r="G733" s="115" t="s">
        <v>1094</v>
      </c>
      <c r="H733" s="116">
        <v>13.806312</v>
      </c>
      <c r="I733" s="116">
        <v>100.57516099999999</v>
      </c>
      <c r="J733" s="116" t="s">
        <v>2097</v>
      </c>
      <c r="K733" s="116" t="s">
        <v>2097</v>
      </c>
      <c r="L733" s="118" t="s">
        <v>4527</v>
      </c>
      <c r="M733" s="116" t="s">
        <v>1347</v>
      </c>
      <c r="N733" s="121" t="s">
        <v>892</v>
      </c>
      <c r="O733" s="121" t="s">
        <v>995</v>
      </c>
      <c r="P733" s="118" t="s">
        <v>952</v>
      </c>
      <c r="Q733" s="125" t="s">
        <v>972</v>
      </c>
      <c r="R733" s="125" t="s">
        <v>972</v>
      </c>
      <c r="S733" s="125" t="s">
        <v>972</v>
      </c>
      <c r="T733" s="305" t="s">
        <v>5212</v>
      </c>
      <c r="U733" s="305" t="s">
        <v>5226</v>
      </c>
      <c r="V733" s="331">
        <v>45012</v>
      </c>
      <c r="W733" s="326">
        <v>7</v>
      </c>
      <c r="X733" s="331">
        <f t="shared" si="35"/>
        <v>45019</v>
      </c>
      <c r="Y733" s="331">
        <v>45015</v>
      </c>
      <c r="Z733" s="332" t="e">
        <f t="shared" si="33"/>
        <v>#NUM!</v>
      </c>
      <c r="AA733" s="331"/>
      <c r="AB733" s="331"/>
      <c r="AC733" s="331"/>
      <c r="AD733" s="331"/>
      <c r="AE733" s="331"/>
      <c r="AF733" s="331"/>
      <c r="AG733" s="331"/>
      <c r="AH733" s="331">
        <f t="shared" ca="1" si="34"/>
        <v>46153</v>
      </c>
      <c r="AI733" s="332"/>
      <c r="AJ733" s="312" t="s">
        <v>5143</v>
      </c>
      <c r="AK733" s="305" t="s">
        <v>5149</v>
      </c>
    </row>
    <row r="734" spans="1:37" ht="23.25" hidden="1" customHeight="1">
      <c r="A734" s="111">
        <v>305</v>
      </c>
      <c r="B734" s="112" t="s">
        <v>1013</v>
      </c>
      <c r="C734" s="113" t="s">
        <v>4613</v>
      </c>
      <c r="D734" s="147" t="s">
        <v>4614</v>
      </c>
      <c r="E734" s="114" t="s">
        <v>4615</v>
      </c>
      <c r="F734" s="115" t="s">
        <v>951</v>
      </c>
      <c r="G734" s="115" t="s">
        <v>984</v>
      </c>
      <c r="H734" s="116">
        <v>13.723478099999999</v>
      </c>
      <c r="I734" s="116">
        <v>100.5603413</v>
      </c>
      <c r="J734" s="116" t="s">
        <v>890</v>
      </c>
      <c r="K734" s="115" t="s">
        <v>1212</v>
      </c>
      <c r="L734" s="117" t="s">
        <v>1213</v>
      </c>
      <c r="M734" s="117">
        <v>95376537</v>
      </c>
      <c r="N734" s="121" t="s">
        <v>892</v>
      </c>
      <c r="O734" s="121" t="s">
        <v>984</v>
      </c>
      <c r="P734" s="117" t="s">
        <v>894</v>
      </c>
      <c r="Q734" s="125" t="s">
        <v>972</v>
      </c>
      <c r="R734" s="130" t="s">
        <v>972</v>
      </c>
      <c r="S734" s="119" t="s">
        <v>895</v>
      </c>
      <c r="T734" s="222"/>
      <c r="U734" s="222"/>
      <c r="V734" s="222"/>
      <c r="W734" s="230"/>
      <c r="X734" s="331">
        <f t="shared" si="35"/>
        <v>0</v>
      </c>
      <c r="Y734" s="222"/>
      <c r="Z734" s="272">
        <f t="shared" si="33"/>
        <v>0</v>
      </c>
      <c r="AA734" s="331"/>
      <c r="AB734" s="331"/>
      <c r="AC734" s="331"/>
      <c r="AD734" s="331"/>
      <c r="AE734" s="331"/>
      <c r="AF734" s="331"/>
      <c r="AG734" s="331"/>
      <c r="AH734" s="241">
        <f t="shared" ca="1" si="34"/>
        <v>46153</v>
      </c>
      <c r="AI734" s="272"/>
      <c r="AJ734" s="222"/>
      <c r="AK734" s="222"/>
    </row>
    <row r="735" spans="1:37" ht="23.25" hidden="1" customHeight="1">
      <c r="A735" s="111">
        <v>320</v>
      </c>
      <c r="B735" s="112">
        <v>1</v>
      </c>
      <c r="C735" s="113" t="s">
        <v>4626</v>
      </c>
      <c r="D735" s="147" t="s">
        <v>4627</v>
      </c>
      <c r="E735" s="114" t="s">
        <v>4628</v>
      </c>
      <c r="F735" s="115" t="s">
        <v>951</v>
      </c>
      <c r="G735" s="115" t="s">
        <v>984</v>
      </c>
      <c r="H735" s="116">
        <v>13.7314974</v>
      </c>
      <c r="I735" s="116">
        <v>100.5598693</v>
      </c>
      <c r="J735" s="116" t="s">
        <v>890</v>
      </c>
      <c r="K735" s="115" t="s">
        <v>1212</v>
      </c>
      <c r="L735" s="117" t="s">
        <v>1213</v>
      </c>
      <c r="M735" s="117">
        <v>95376529</v>
      </c>
      <c r="N735" s="121" t="s">
        <v>892</v>
      </c>
      <c r="O735" s="121" t="s">
        <v>984</v>
      </c>
      <c r="P735" s="117" t="s">
        <v>894</v>
      </c>
      <c r="Q735" s="125" t="s">
        <v>972</v>
      </c>
      <c r="R735" s="125" t="s">
        <v>972</v>
      </c>
      <c r="S735" s="119" t="s">
        <v>895</v>
      </c>
      <c r="T735" s="222"/>
      <c r="U735" s="222"/>
      <c r="V735" s="222"/>
      <c r="W735" s="230"/>
      <c r="X735" s="331">
        <f t="shared" si="35"/>
        <v>0</v>
      </c>
      <c r="Y735" s="222"/>
      <c r="Z735" s="272">
        <f t="shared" si="33"/>
        <v>0</v>
      </c>
      <c r="AA735" s="331"/>
      <c r="AB735" s="331"/>
      <c r="AC735" s="331"/>
      <c r="AD735" s="331"/>
      <c r="AE735" s="331"/>
      <c r="AF735" s="331"/>
      <c r="AG735" s="331"/>
      <c r="AH735" s="241">
        <f t="shared" ca="1" si="34"/>
        <v>46153</v>
      </c>
      <c r="AI735" s="272"/>
      <c r="AJ735" s="222"/>
      <c r="AK735" s="222"/>
    </row>
    <row r="736" spans="1:37" ht="23.25" hidden="1" customHeight="1">
      <c r="A736" s="111">
        <v>480</v>
      </c>
      <c r="B736" s="112" t="s">
        <v>1459</v>
      </c>
      <c r="C736" s="122" t="s">
        <v>4681</v>
      </c>
      <c r="D736" s="147" t="s">
        <v>4682</v>
      </c>
      <c r="E736" s="123" t="s">
        <v>4683</v>
      </c>
      <c r="F736" s="115" t="s">
        <v>951</v>
      </c>
      <c r="G736" s="115" t="s">
        <v>936</v>
      </c>
      <c r="H736" s="115">
        <v>13.800775700000001</v>
      </c>
      <c r="I736" s="115">
        <v>100.5748433</v>
      </c>
      <c r="J736" s="116" t="s">
        <v>890</v>
      </c>
      <c r="K736" s="117" t="s">
        <v>2180</v>
      </c>
      <c r="L736" s="118" t="s">
        <v>2180</v>
      </c>
      <c r="M736" s="117">
        <v>95785942</v>
      </c>
      <c r="N736" s="117" t="s">
        <v>892</v>
      </c>
      <c r="O736" s="121" t="s">
        <v>901</v>
      </c>
      <c r="P736" s="118" t="s">
        <v>952</v>
      </c>
      <c r="Q736" s="125" t="s">
        <v>972</v>
      </c>
      <c r="R736" s="119"/>
      <c r="S736" s="119" t="s">
        <v>4684</v>
      </c>
      <c r="T736" s="222"/>
      <c r="U736" s="222"/>
      <c r="V736" s="222"/>
      <c r="W736" s="230"/>
      <c r="X736" s="331">
        <f t="shared" si="35"/>
        <v>0</v>
      </c>
      <c r="Y736" s="222"/>
      <c r="Z736" s="272">
        <f t="shared" si="33"/>
        <v>0</v>
      </c>
      <c r="AA736" s="331"/>
      <c r="AB736" s="331"/>
      <c r="AC736" s="331"/>
      <c r="AD736" s="331"/>
      <c r="AE736" s="331"/>
      <c r="AF736" s="331"/>
      <c r="AG736" s="331"/>
      <c r="AH736" s="241">
        <f t="shared" ca="1" si="34"/>
        <v>46153</v>
      </c>
      <c r="AI736" s="272"/>
      <c r="AJ736" s="222"/>
      <c r="AK736" s="222"/>
    </row>
    <row r="737" spans="1:37" ht="23" hidden="1">
      <c r="A737" s="111">
        <v>1065</v>
      </c>
      <c r="B737" s="112" t="s">
        <v>985</v>
      </c>
      <c r="C737" s="113" t="s">
        <v>4768</v>
      </c>
      <c r="D737" s="147" t="s">
        <v>4769</v>
      </c>
      <c r="E737" s="114" t="s">
        <v>4770</v>
      </c>
      <c r="F737" s="115" t="s">
        <v>951</v>
      </c>
      <c r="G737" s="115" t="s">
        <v>936</v>
      </c>
      <c r="H737" s="116">
        <v>13.768728100000001</v>
      </c>
      <c r="I737" s="116">
        <v>100.57239869999999</v>
      </c>
      <c r="J737" s="116" t="s">
        <v>2097</v>
      </c>
      <c r="K737" s="116" t="s">
        <v>2097</v>
      </c>
      <c r="L737" s="118" t="s">
        <v>4771</v>
      </c>
      <c r="M737" s="116" t="s">
        <v>1347</v>
      </c>
      <c r="N737" s="121" t="s">
        <v>892</v>
      </c>
      <c r="O737" s="121" t="s">
        <v>901</v>
      </c>
      <c r="P737" s="118" t="s">
        <v>952</v>
      </c>
      <c r="Q737" s="125" t="s">
        <v>972</v>
      </c>
      <c r="R737" s="125" t="s">
        <v>972</v>
      </c>
      <c r="S737" s="125" t="s">
        <v>972</v>
      </c>
      <c r="T737" s="222"/>
      <c r="U737" s="222"/>
      <c r="V737" s="222"/>
      <c r="W737" s="230"/>
      <c r="X737" s="331">
        <f t="shared" si="35"/>
        <v>0</v>
      </c>
      <c r="Y737" s="222"/>
      <c r="Z737" s="272">
        <f t="shared" si="33"/>
        <v>0</v>
      </c>
      <c r="AA737" s="331"/>
      <c r="AB737" s="331"/>
      <c r="AC737" s="331"/>
      <c r="AD737" s="331"/>
      <c r="AE737" s="331"/>
      <c r="AF737" s="331"/>
      <c r="AG737" s="331"/>
      <c r="AH737" s="241">
        <f t="shared" ca="1" si="34"/>
        <v>46153</v>
      </c>
      <c r="AI737" s="272"/>
      <c r="AJ737" s="222"/>
      <c r="AK737" s="222"/>
    </row>
    <row r="738" spans="1:37" ht="23" hidden="1">
      <c r="A738" s="111">
        <v>1076</v>
      </c>
      <c r="B738" s="112">
        <v>9</v>
      </c>
      <c r="C738" s="122" t="s">
        <v>4787</v>
      </c>
      <c r="D738" s="147" t="s">
        <v>4788</v>
      </c>
      <c r="E738" s="114" t="s">
        <v>4789</v>
      </c>
      <c r="F738" s="115" t="s">
        <v>951</v>
      </c>
      <c r="G738" s="115" t="s">
        <v>936</v>
      </c>
      <c r="H738" s="116">
        <v>13.759641999999999</v>
      </c>
      <c r="I738" s="116">
        <v>100.56594</v>
      </c>
      <c r="J738" s="116" t="s">
        <v>969</v>
      </c>
      <c r="K738" s="116" t="s">
        <v>970</v>
      </c>
      <c r="L738" s="117" t="s">
        <v>4790</v>
      </c>
      <c r="M738" s="116" t="s">
        <v>1347</v>
      </c>
      <c r="N738" s="121" t="s">
        <v>892</v>
      </c>
      <c r="O738" s="121" t="s">
        <v>901</v>
      </c>
      <c r="P738" s="118" t="s">
        <v>952</v>
      </c>
      <c r="Q738" s="125" t="s">
        <v>972</v>
      </c>
      <c r="R738" s="125" t="s">
        <v>972</v>
      </c>
      <c r="S738" s="125" t="s">
        <v>972</v>
      </c>
      <c r="T738" s="222"/>
      <c r="U738" s="222"/>
      <c r="V738" s="222"/>
      <c r="W738" s="230"/>
      <c r="X738" s="331">
        <f t="shared" si="35"/>
        <v>0</v>
      </c>
      <c r="Y738" s="222"/>
      <c r="Z738" s="272">
        <f t="shared" si="33"/>
        <v>0</v>
      </c>
      <c r="AA738" s="331"/>
      <c r="AB738" s="331"/>
      <c r="AC738" s="331"/>
      <c r="AD738" s="331"/>
      <c r="AE738" s="331"/>
      <c r="AF738" s="331"/>
      <c r="AG738" s="331"/>
      <c r="AH738" s="241">
        <f t="shared" ca="1" si="34"/>
        <v>46153</v>
      </c>
      <c r="AI738" s="272"/>
      <c r="AJ738" s="222"/>
      <c r="AK738" s="222"/>
    </row>
    <row r="739" spans="1:37" ht="23" hidden="1">
      <c r="A739" s="111">
        <v>1133</v>
      </c>
      <c r="B739" s="112" t="s">
        <v>1459</v>
      </c>
      <c r="C739" s="113" t="s">
        <v>4938</v>
      </c>
      <c r="D739" s="147" t="s">
        <v>4939</v>
      </c>
      <c r="E739" s="114" t="s">
        <v>4940</v>
      </c>
      <c r="F739" s="115" t="s">
        <v>951</v>
      </c>
      <c r="G739" s="115" t="s">
        <v>968</v>
      </c>
      <c r="H739" s="115">
        <v>13.7642594</v>
      </c>
      <c r="I739" s="491">
        <v>100.568628</v>
      </c>
      <c r="J739" s="116" t="s">
        <v>969</v>
      </c>
      <c r="K739" s="115" t="s">
        <v>1048</v>
      </c>
      <c r="L739" s="117" t="s">
        <v>2286</v>
      </c>
      <c r="M739" s="117">
        <v>96941198</v>
      </c>
      <c r="N739" s="121" t="s">
        <v>892</v>
      </c>
      <c r="O739" s="121" t="s">
        <v>901</v>
      </c>
      <c r="P739" s="118" t="s">
        <v>952</v>
      </c>
      <c r="Q739" s="125" t="s">
        <v>972</v>
      </c>
      <c r="R739" s="125" t="s">
        <v>972</v>
      </c>
      <c r="S739" s="125" t="s">
        <v>972</v>
      </c>
      <c r="T739" s="222"/>
      <c r="U739" s="222"/>
      <c r="V739" s="222"/>
      <c r="W739" s="230"/>
      <c r="X739" s="331">
        <f t="shared" si="35"/>
        <v>0</v>
      </c>
      <c r="Y739" s="222"/>
      <c r="Z739" s="272">
        <f t="shared" si="33"/>
        <v>0</v>
      </c>
      <c r="AA739" s="331"/>
      <c r="AB739" s="331"/>
      <c r="AC739" s="331"/>
      <c r="AD739" s="331"/>
      <c r="AE739" s="331"/>
      <c r="AF739" s="331"/>
      <c r="AG739" s="331"/>
      <c r="AH739" s="241">
        <f t="shared" ca="1" si="34"/>
        <v>46153</v>
      </c>
      <c r="AI739" s="272"/>
      <c r="AJ739" s="222"/>
      <c r="AK739" s="222"/>
    </row>
    <row r="740" spans="1:37" ht="23" hidden="1">
      <c r="A740" s="111">
        <v>1136</v>
      </c>
      <c r="B740" s="112">
        <v>10</v>
      </c>
      <c r="C740" s="113" t="s">
        <v>4941</v>
      </c>
      <c r="D740" s="147" t="s">
        <v>4942</v>
      </c>
      <c r="E740" s="114" t="s">
        <v>4943</v>
      </c>
      <c r="F740" s="115" t="s">
        <v>951</v>
      </c>
      <c r="G740" s="115" t="s">
        <v>936</v>
      </c>
      <c r="H740" s="116">
        <v>13.782462000000001</v>
      </c>
      <c r="I740" s="116">
        <v>100.573903</v>
      </c>
      <c r="J740" s="116" t="s">
        <v>969</v>
      </c>
      <c r="K740" s="115" t="s">
        <v>1048</v>
      </c>
      <c r="L740" s="117" t="s">
        <v>4944</v>
      </c>
      <c r="M740" s="121">
        <v>96939896</v>
      </c>
      <c r="N740" s="121" t="s">
        <v>892</v>
      </c>
      <c r="O740" s="121" t="s">
        <v>901</v>
      </c>
      <c r="P740" s="117" t="s">
        <v>1876</v>
      </c>
      <c r="Q740" s="125" t="s">
        <v>972</v>
      </c>
      <c r="R740" s="125" t="s">
        <v>972</v>
      </c>
      <c r="S740" s="125" t="s">
        <v>972</v>
      </c>
      <c r="T740" s="222"/>
      <c r="U740" s="222"/>
      <c r="V740" s="222"/>
      <c r="W740" s="230"/>
      <c r="X740" s="331">
        <f t="shared" si="35"/>
        <v>0</v>
      </c>
      <c r="Y740" s="222"/>
      <c r="Z740" s="272">
        <f t="shared" si="33"/>
        <v>0</v>
      </c>
      <c r="AA740" s="331"/>
      <c r="AB740" s="331"/>
      <c r="AC740" s="331"/>
      <c r="AD740" s="331"/>
      <c r="AE740" s="331"/>
      <c r="AF740" s="331"/>
      <c r="AG740" s="331"/>
      <c r="AH740" s="241">
        <f t="shared" ca="1" si="34"/>
        <v>46153</v>
      </c>
      <c r="AI740" s="272"/>
      <c r="AJ740" s="222"/>
      <c r="AK740" s="222"/>
    </row>
    <row r="741" spans="1:37" ht="23" hidden="1">
      <c r="A741" s="111">
        <v>1137</v>
      </c>
      <c r="B741" s="112" t="s">
        <v>1086</v>
      </c>
      <c r="C741" s="122" t="s">
        <v>4945</v>
      </c>
      <c r="D741" s="147" t="s">
        <v>4946</v>
      </c>
      <c r="E741" s="114" t="s">
        <v>4947</v>
      </c>
      <c r="F741" s="115" t="s">
        <v>951</v>
      </c>
      <c r="G741" s="115" t="s">
        <v>936</v>
      </c>
      <c r="H741" s="116">
        <v>13.758424</v>
      </c>
      <c r="I741" s="116">
        <v>100.565618</v>
      </c>
      <c r="J741" s="116" t="s">
        <v>969</v>
      </c>
      <c r="K741" s="116" t="s">
        <v>970</v>
      </c>
      <c r="L741" s="117" t="s">
        <v>4948</v>
      </c>
      <c r="M741" s="117">
        <v>96941185</v>
      </c>
      <c r="N741" s="121" t="s">
        <v>892</v>
      </c>
      <c r="O741" s="121" t="s">
        <v>901</v>
      </c>
      <c r="P741" s="117" t="s">
        <v>952</v>
      </c>
      <c r="Q741" s="125" t="s">
        <v>972</v>
      </c>
      <c r="R741" s="125" t="s">
        <v>972</v>
      </c>
      <c r="S741" s="125" t="s">
        <v>972</v>
      </c>
      <c r="T741" s="222"/>
      <c r="U741" s="222"/>
      <c r="V741" s="222"/>
      <c r="W741" s="230"/>
      <c r="X741" s="331">
        <f t="shared" si="35"/>
        <v>0</v>
      </c>
      <c r="Y741" s="222"/>
      <c r="Z741" s="272">
        <f t="shared" si="33"/>
        <v>0</v>
      </c>
      <c r="AA741" s="331"/>
      <c r="AB741" s="331"/>
      <c r="AC741" s="331"/>
      <c r="AD741" s="331"/>
      <c r="AE741" s="331"/>
      <c r="AF741" s="331"/>
      <c r="AG741" s="331"/>
      <c r="AH741" s="241">
        <f t="shared" ca="1" si="34"/>
        <v>46153</v>
      </c>
      <c r="AI741" s="272"/>
      <c r="AJ741" s="222"/>
      <c r="AK741" s="222"/>
    </row>
    <row r="742" spans="1:37" ht="23" hidden="1">
      <c r="A742" s="111">
        <v>1138</v>
      </c>
      <c r="B742" s="112">
        <v>14</v>
      </c>
      <c r="C742" s="113" t="s">
        <v>4949</v>
      </c>
      <c r="D742" s="147" t="s">
        <v>4950</v>
      </c>
      <c r="E742" s="114" t="s">
        <v>4951</v>
      </c>
      <c r="F742" s="115" t="s">
        <v>951</v>
      </c>
      <c r="G742" s="115" t="s">
        <v>936</v>
      </c>
      <c r="H742" s="116">
        <v>13.7971968</v>
      </c>
      <c r="I742" s="116">
        <v>100.5746762</v>
      </c>
      <c r="J742" s="116" t="s">
        <v>969</v>
      </c>
      <c r="K742" s="115" t="s">
        <v>1048</v>
      </c>
      <c r="L742" s="117" t="s">
        <v>4952</v>
      </c>
      <c r="M742" s="117">
        <v>96941160</v>
      </c>
      <c r="N742" s="121" t="s">
        <v>892</v>
      </c>
      <c r="O742" s="121" t="s">
        <v>901</v>
      </c>
      <c r="P742" s="117" t="s">
        <v>952</v>
      </c>
      <c r="Q742" s="125" t="s">
        <v>972</v>
      </c>
      <c r="R742" s="125" t="s">
        <v>972</v>
      </c>
      <c r="S742" s="125" t="s">
        <v>972</v>
      </c>
      <c r="T742" s="222"/>
      <c r="U742" s="222"/>
      <c r="V742" s="222"/>
      <c r="W742" s="230"/>
      <c r="X742" s="331">
        <f t="shared" si="35"/>
        <v>0</v>
      </c>
      <c r="Y742" s="222"/>
      <c r="Z742" s="272">
        <f t="shared" si="33"/>
        <v>0</v>
      </c>
      <c r="AA742" s="331"/>
      <c r="AB742" s="331"/>
      <c r="AC742" s="331"/>
      <c r="AD742" s="331"/>
      <c r="AE742" s="331"/>
      <c r="AF742" s="331"/>
      <c r="AG742" s="331"/>
      <c r="AH742" s="241">
        <f t="shared" ca="1" si="34"/>
        <v>46153</v>
      </c>
      <c r="AI742" s="272"/>
      <c r="AJ742" s="222"/>
      <c r="AK742" s="222"/>
    </row>
    <row r="743" spans="1:37" ht="23" hidden="1">
      <c r="A743" s="111">
        <v>1139</v>
      </c>
      <c r="B743" s="112">
        <v>16</v>
      </c>
      <c r="C743" s="113" t="s">
        <v>4953</v>
      </c>
      <c r="D743" s="147" t="s">
        <v>4954</v>
      </c>
      <c r="E743" s="114" t="s">
        <v>4955</v>
      </c>
      <c r="F743" s="115" t="s">
        <v>951</v>
      </c>
      <c r="G743" s="115" t="s">
        <v>936</v>
      </c>
      <c r="H743" s="116">
        <v>13.796879000000001</v>
      </c>
      <c r="I743" s="116">
        <v>100.574652</v>
      </c>
      <c r="J743" s="116" t="s">
        <v>969</v>
      </c>
      <c r="K743" s="115" t="s">
        <v>1048</v>
      </c>
      <c r="L743" s="117" t="s">
        <v>4952</v>
      </c>
      <c r="M743" s="117">
        <v>96941160</v>
      </c>
      <c r="N743" s="121" t="s">
        <v>892</v>
      </c>
      <c r="O743" s="121" t="s">
        <v>901</v>
      </c>
      <c r="P743" s="117" t="s">
        <v>1876</v>
      </c>
      <c r="Q743" s="125" t="s">
        <v>972</v>
      </c>
      <c r="R743" s="125" t="s">
        <v>972</v>
      </c>
      <c r="S743" s="125" t="s">
        <v>972</v>
      </c>
      <c r="T743" s="222"/>
      <c r="U743" s="222"/>
      <c r="V743" s="222"/>
      <c r="W743" s="230"/>
      <c r="X743" s="331">
        <f t="shared" si="35"/>
        <v>0</v>
      </c>
      <c r="Y743" s="222"/>
      <c r="Z743" s="272">
        <f t="shared" si="33"/>
        <v>0</v>
      </c>
      <c r="AA743" s="331"/>
      <c r="AB743" s="331"/>
      <c r="AC743" s="331"/>
      <c r="AD743" s="331"/>
      <c r="AE743" s="331"/>
      <c r="AF743" s="331"/>
      <c r="AG743" s="331"/>
      <c r="AH743" s="241">
        <f t="shared" ca="1" si="34"/>
        <v>46153</v>
      </c>
      <c r="AI743" s="272"/>
      <c r="AJ743" s="222"/>
      <c r="AK743" s="222"/>
    </row>
    <row r="744" spans="1:37" ht="23" hidden="1">
      <c r="A744" s="111">
        <v>1140</v>
      </c>
      <c r="B744" s="112">
        <v>1</v>
      </c>
      <c r="C744" s="113" t="s">
        <v>4956</v>
      </c>
      <c r="D744" s="147" t="s">
        <v>4957</v>
      </c>
      <c r="E744" s="114" t="s">
        <v>4958</v>
      </c>
      <c r="F744" s="115" t="s">
        <v>951</v>
      </c>
      <c r="G744" s="115" t="s">
        <v>936</v>
      </c>
      <c r="H744" s="116">
        <v>13.7918764</v>
      </c>
      <c r="I744" s="116">
        <v>100.57441660000001</v>
      </c>
      <c r="J744" s="116" t="s">
        <v>969</v>
      </c>
      <c r="K744" s="115" t="s">
        <v>1048</v>
      </c>
      <c r="L744" s="117" t="s">
        <v>4959</v>
      </c>
      <c r="M744" s="121">
        <v>96941161</v>
      </c>
      <c r="N744" s="121" t="s">
        <v>892</v>
      </c>
      <c r="O744" s="121" t="s">
        <v>901</v>
      </c>
      <c r="P744" s="117" t="s">
        <v>952</v>
      </c>
      <c r="Q744" s="125" t="s">
        <v>972</v>
      </c>
      <c r="R744" s="125" t="s">
        <v>972</v>
      </c>
      <c r="S744" s="125" t="s">
        <v>972</v>
      </c>
      <c r="T744" s="222"/>
      <c r="U744" s="222"/>
      <c r="V744" s="222"/>
      <c r="W744" s="230"/>
      <c r="X744" s="331">
        <f t="shared" si="35"/>
        <v>0</v>
      </c>
      <c r="Y744" s="222"/>
      <c r="Z744" s="272">
        <f t="shared" si="33"/>
        <v>0</v>
      </c>
      <c r="AA744" s="331"/>
      <c r="AB744" s="331"/>
      <c r="AC744" s="331"/>
      <c r="AD744" s="331"/>
      <c r="AE744" s="331"/>
      <c r="AF744" s="331"/>
      <c r="AG744" s="331"/>
      <c r="AH744" s="241">
        <f t="shared" ca="1" si="34"/>
        <v>46153</v>
      </c>
      <c r="AI744" s="272"/>
      <c r="AJ744" s="222"/>
      <c r="AK744" s="222"/>
    </row>
    <row r="745" spans="1:37" ht="23" hidden="1">
      <c r="A745" s="111">
        <v>1141</v>
      </c>
      <c r="B745" s="112" t="s">
        <v>1818</v>
      </c>
      <c r="C745" s="113" t="s">
        <v>4960</v>
      </c>
      <c r="D745" s="147" t="s">
        <v>4961</v>
      </c>
      <c r="E745" s="114" t="s">
        <v>4962</v>
      </c>
      <c r="F745" s="115" t="s">
        <v>951</v>
      </c>
      <c r="G745" s="115" t="s">
        <v>936</v>
      </c>
      <c r="H745" s="116">
        <v>13.788802</v>
      </c>
      <c r="I745" s="116">
        <v>100.5742396</v>
      </c>
      <c r="J745" s="116" t="s">
        <v>969</v>
      </c>
      <c r="K745" s="115" t="s">
        <v>1048</v>
      </c>
      <c r="L745" s="117" t="s">
        <v>2128</v>
      </c>
      <c r="M745" s="117">
        <v>96941161</v>
      </c>
      <c r="N745" s="121" t="s">
        <v>892</v>
      </c>
      <c r="O745" s="121" t="s">
        <v>901</v>
      </c>
      <c r="P745" s="117" t="s">
        <v>952</v>
      </c>
      <c r="Q745" s="125" t="s">
        <v>972</v>
      </c>
      <c r="R745" s="125" t="s">
        <v>972</v>
      </c>
      <c r="S745" s="125" t="s">
        <v>972</v>
      </c>
      <c r="T745" s="222"/>
      <c r="U745" s="222"/>
      <c r="V745" s="222"/>
      <c r="W745" s="230"/>
      <c r="X745" s="331">
        <f t="shared" si="35"/>
        <v>0</v>
      </c>
      <c r="Y745" s="222"/>
      <c r="Z745" s="272">
        <f t="shared" si="33"/>
        <v>0</v>
      </c>
      <c r="AA745" s="331"/>
      <c r="AB745" s="331"/>
      <c r="AC745" s="331"/>
      <c r="AD745" s="331"/>
      <c r="AE745" s="331"/>
      <c r="AF745" s="331"/>
      <c r="AG745" s="331"/>
      <c r="AH745" s="241">
        <f t="shared" ca="1" si="34"/>
        <v>46153</v>
      </c>
      <c r="AI745" s="272"/>
      <c r="AJ745" s="222"/>
      <c r="AK745" s="222"/>
    </row>
    <row r="746" spans="1:37" s="356" customFormat="1" ht="23" hidden="1">
      <c r="A746" s="111">
        <v>1142</v>
      </c>
      <c r="B746" s="112" t="s">
        <v>1818</v>
      </c>
      <c r="C746" s="113" t="s">
        <v>4963</v>
      </c>
      <c r="D746" s="147" t="s">
        <v>4964</v>
      </c>
      <c r="E746" s="114" t="s">
        <v>4965</v>
      </c>
      <c r="F746" s="115" t="s">
        <v>951</v>
      </c>
      <c r="G746" s="115" t="s">
        <v>936</v>
      </c>
      <c r="H746" s="116">
        <v>13.786959899999999</v>
      </c>
      <c r="I746" s="116">
        <v>100.5741694</v>
      </c>
      <c r="J746" s="116" t="s">
        <v>969</v>
      </c>
      <c r="K746" s="115" t="s">
        <v>1048</v>
      </c>
      <c r="L746" s="117" t="s">
        <v>2128</v>
      </c>
      <c r="M746" s="121">
        <v>96941168</v>
      </c>
      <c r="N746" s="121" t="s">
        <v>892</v>
      </c>
      <c r="O746" s="121" t="s">
        <v>901</v>
      </c>
      <c r="P746" s="118" t="s">
        <v>952</v>
      </c>
      <c r="Q746" s="125" t="s">
        <v>972</v>
      </c>
      <c r="R746" s="125" t="s">
        <v>972</v>
      </c>
      <c r="S746" s="125" t="s">
        <v>972</v>
      </c>
      <c r="T746" s="222"/>
      <c r="U746" s="222"/>
      <c r="V746" s="222"/>
      <c r="W746" s="230"/>
      <c r="X746" s="331">
        <f t="shared" si="35"/>
        <v>0</v>
      </c>
      <c r="Y746" s="222"/>
      <c r="Z746" s="272">
        <f t="shared" si="33"/>
        <v>0</v>
      </c>
      <c r="AA746" s="331"/>
      <c r="AB746" s="331"/>
      <c r="AC746" s="331"/>
      <c r="AD746" s="331"/>
      <c r="AE746" s="331"/>
      <c r="AF746" s="331"/>
      <c r="AG746" s="331"/>
      <c r="AH746" s="241">
        <f t="shared" ca="1" si="34"/>
        <v>46153</v>
      </c>
      <c r="AI746" s="272"/>
      <c r="AJ746" s="222"/>
      <c r="AK746" s="222"/>
    </row>
    <row r="747" spans="1:37" ht="23.25" hidden="1" customHeight="1">
      <c r="A747" s="111">
        <v>1143</v>
      </c>
      <c r="B747" s="112">
        <v>1</v>
      </c>
      <c r="C747" s="113" t="s">
        <v>4966</v>
      </c>
      <c r="D747" s="147" t="s">
        <v>4967</v>
      </c>
      <c r="E747" s="114" t="s">
        <v>4968</v>
      </c>
      <c r="F747" s="115" t="s">
        <v>951</v>
      </c>
      <c r="G747" s="115" t="s">
        <v>936</v>
      </c>
      <c r="H747" s="116">
        <v>13.761780999999999</v>
      </c>
      <c r="I747" s="116">
        <v>100.567002</v>
      </c>
      <c r="J747" s="116" t="s">
        <v>969</v>
      </c>
      <c r="K747" s="115" t="s">
        <v>1048</v>
      </c>
      <c r="L747" s="117" t="s">
        <v>4969</v>
      </c>
      <c r="M747" s="117">
        <v>96941188</v>
      </c>
      <c r="N747" s="121" t="s">
        <v>892</v>
      </c>
      <c r="O747" s="121" t="s">
        <v>901</v>
      </c>
      <c r="P747" s="117" t="s">
        <v>952</v>
      </c>
      <c r="Q747" s="125" t="s">
        <v>972</v>
      </c>
      <c r="R747" s="125" t="s">
        <v>972</v>
      </c>
      <c r="S747" s="125" t="s">
        <v>972</v>
      </c>
      <c r="T747" s="222"/>
      <c r="U747" s="222"/>
      <c r="V747" s="222"/>
      <c r="W747" s="230"/>
      <c r="X747" s="331">
        <f t="shared" si="35"/>
        <v>0</v>
      </c>
      <c r="Y747" s="222"/>
      <c r="Z747" s="272">
        <f t="shared" si="33"/>
        <v>0</v>
      </c>
      <c r="AA747" s="331"/>
      <c r="AB747" s="331"/>
      <c r="AC747" s="331"/>
      <c r="AD747" s="331"/>
      <c r="AE747" s="331"/>
      <c r="AF747" s="331"/>
      <c r="AG747" s="331"/>
      <c r="AH747" s="241">
        <f t="shared" ca="1" si="34"/>
        <v>46153</v>
      </c>
      <c r="AI747" s="272"/>
      <c r="AJ747" s="222"/>
      <c r="AK747" s="222"/>
    </row>
    <row r="748" spans="1:37" ht="23" hidden="1">
      <c r="A748" s="111">
        <v>1144</v>
      </c>
      <c r="B748" s="112">
        <v>8</v>
      </c>
      <c r="C748" s="113" t="s">
        <v>4970</v>
      </c>
      <c r="D748" s="147" t="s">
        <v>4971</v>
      </c>
      <c r="E748" s="114" t="s">
        <v>4972</v>
      </c>
      <c r="F748" s="115" t="s">
        <v>951</v>
      </c>
      <c r="G748" s="115" t="s">
        <v>936</v>
      </c>
      <c r="H748" s="116">
        <v>13.760707</v>
      </c>
      <c r="I748" s="116">
        <v>100.56637000000001</v>
      </c>
      <c r="J748" s="116" t="s">
        <v>969</v>
      </c>
      <c r="K748" s="115" t="s">
        <v>1048</v>
      </c>
      <c r="L748" s="117" t="s">
        <v>4969</v>
      </c>
      <c r="M748" s="117">
        <v>96941188</v>
      </c>
      <c r="N748" s="121" t="s">
        <v>892</v>
      </c>
      <c r="O748" s="121" t="s">
        <v>901</v>
      </c>
      <c r="P748" s="117" t="s">
        <v>952</v>
      </c>
      <c r="Q748" s="125" t="s">
        <v>972</v>
      </c>
      <c r="R748" s="125" t="s">
        <v>972</v>
      </c>
      <c r="S748" s="125" t="s">
        <v>972</v>
      </c>
      <c r="T748" s="222"/>
      <c r="U748" s="222"/>
      <c r="V748" s="222"/>
      <c r="W748" s="230"/>
      <c r="X748" s="331">
        <f t="shared" si="35"/>
        <v>0</v>
      </c>
      <c r="Y748" s="222"/>
      <c r="Z748" s="272">
        <f t="shared" si="33"/>
        <v>0</v>
      </c>
      <c r="AA748" s="331"/>
      <c r="AB748" s="331"/>
      <c r="AC748" s="331"/>
      <c r="AD748" s="331"/>
      <c r="AE748" s="331"/>
      <c r="AF748" s="331"/>
      <c r="AG748" s="331"/>
      <c r="AH748" s="241">
        <f t="shared" ca="1" si="34"/>
        <v>46153</v>
      </c>
      <c r="AI748" s="272"/>
      <c r="AJ748" s="222"/>
      <c r="AK748" s="222"/>
    </row>
    <row r="749" spans="1:37" ht="23" hidden="1">
      <c r="A749" s="111">
        <v>1145</v>
      </c>
      <c r="B749" s="112">
        <v>15</v>
      </c>
      <c r="C749" s="113" t="s">
        <v>4973</v>
      </c>
      <c r="D749" s="147" t="s">
        <v>4974</v>
      </c>
      <c r="E749" s="114" t="s">
        <v>4975</v>
      </c>
      <c r="F749" s="115" t="s">
        <v>951</v>
      </c>
      <c r="G749" s="115" t="s">
        <v>936</v>
      </c>
      <c r="H749" s="116">
        <v>13.777260999999999</v>
      </c>
      <c r="I749" s="116">
        <v>100.573699</v>
      </c>
      <c r="J749" s="116" t="s">
        <v>969</v>
      </c>
      <c r="K749" s="115" t="s">
        <v>1048</v>
      </c>
      <c r="L749" s="117" t="s">
        <v>4976</v>
      </c>
      <c r="M749" s="117">
        <v>96941187</v>
      </c>
      <c r="N749" s="121" t="s">
        <v>892</v>
      </c>
      <c r="O749" s="121" t="s">
        <v>901</v>
      </c>
      <c r="P749" s="118" t="s">
        <v>952</v>
      </c>
      <c r="Q749" s="125" t="s">
        <v>972</v>
      </c>
      <c r="R749" s="125" t="s">
        <v>972</v>
      </c>
      <c r="S749" s="125" t="s">
        <v>972</v>
      </c>
      <c r="T749" s="222"/>
      <c r="U749" s="222"/>
      <c r="V749" s="222"/>
      <c r="W749" s="230"/>
      <c r="X749" s="331">
        <f t="shared" si="35"/>
        <v>0</v>
      </c>
      <c r="Y749" s="222"/>
      <c r="Z749" s="272">
        <f t="shared" si="33"/>
        <v>0</v>
      </c>
      <c r="AA749" s="331"/>
      <c r="AB749" s="331"/>
      <c r="AC749" s="331"/>
      <c r="AD749" s="331"/>
      <c r="AE749" s="331"/>
      <c r="AF749" s="331"/>
      <c r="AG749" s="331"/>
      <c r="AH749" s="241">
        <f t="shared" ca="1" si="34"/>
        <v>46153</v>
      </c>
      <c r="AI749" s="272"/>
      <c r="AJ749" s="222"/>
      <c r="AK749" s="222"/>
    </row>
    <row r="750" spans="1:37" ht="23" hidden="1">
      <c r="A750" s="111">
        <v>1146</v>
      </c>
      <c r="B750" s="112">
        <v>11</v>
      </c>
      <c r="C750" s="113" t="s">
        <v>4977</v>
      </c>
      <c r="D750" s="147" t="s">
        <v>4978</v>
      </c>
      <c r="E750" s="114" t="s">
        <v>4979</v>
      </c>
      <c r="F750" s="115" t="s">
        <v>951</v>
      </c>
      <c r="G750" s="115" t="s">
        <v>936</v>
      </c>
      <c r="H750" s="115">
        <v>13.7759429</v>
      </c>
      <c r="I750" s="115">
        <v>100.57365609999999</v>
      </c>
      <c r="J750" s="116" t="s">
        <v>969</v>
      </c>
      <c r="K750" s="115" t="s">
        <v>1048</v>
      </c>
      <c r="L750" s="117" t="s">
        <v>4976</v>
      </c>
      <c r="M750" s="117">
        <v>96941187</v>
      </c>
      <c r="N750" s="121" t="s">
        <v>892</v>
      </c>
      <c r="O750" s="121" t="s">
        <v>901</v>
      </c>
      <c r="P750" s="117" t="s">
        <v>952</v>
      </c>
      <c r="Q750" s="125" t="s">
        <v>972</v>
      </c>
      <c r="R750" s="125" t="s">
        <v>972</v>
      </c>
      <c r="S750" s="125" t="s">
        <v>972</v>
      </c>
      <c r="T750" s="222"/>
      <c r="U750" s="222"/>
      <c r="V750" s="222"/>
      <c r="W750" s="230"/>
      <c r="X750" s="331">
        <f t="shared" si="35"/>
        <v>0</v>
      </c>
      <c r="Y750" s="222"/>
      <c r="Z750" s="272">
        <f t="shared" si="33"/>
        <v>0</v>
      </c>
      <c r="AA750" s="331"/>
      <c r="AB750" s="331"/>
      <c r="AC750" s="331"/>
      <c r="AD750" s="331"/>
      <c r="AE750" s="331"/>
      <c r="AF750" s="331"/>
      <c r="AG750" s="331"/>
      <c r="AH750" s="241">
        <f t="shared" ca="1" si="34"/>
        <v>46153</v>
      </c>
      <c r="AI750" s="272"/>
      <c r="AJ750" s="222"/>
      <c r="AK750" s="222"/>
    </row>
    <row r="751" spans="1:37" ht="23" hidden="1">
      <c r="A751" s="111">
        <v>1147</v>
      </c>
      <c r="B751" s="112" t="s">
        <v>1818</v>
      </c>
      <c r="C751" s="113" t="s">
        <v>4980</v>
      </c>
      <c r="D751" s="147" t="s">
        <v>4981</v>
      </c>
      <c r="E751" s="114" t="s">
        <v>4982</v>
      </c>
      <c r="F751" s="115" t="s">
        <v>951</v>
      </c>
      <c r="G751" s="115" t="s">
        <v>936</v>
      </c>
      <c r="H751" s="115">
        <v>13.773039600000001</v>
      </c>
      <c r="I751" s="115">
        <v>100.57349480000001</v>
      </c>
      <c r="J751" s="116" t="s">
        <v>969</v>
      </c>
      <c r="K751" s="115" t="s">
        <v>1048</v>
      </c>
      <c r="L751" s="117" t="s">
        <v>2074</v>
      </c>
      <c r="M751" s="117">
        <v>96941167</v>
      </c>
      <c r="N751" s="121" t="s">
        <v>892</v>
      </c>
      <c r="O751" s="121" t="s">
        <v>901</v>
      </c>
      <c r="P751" s="117" t="s">
        <v>952</v>
      </c>
      <c r="Q751" s="125" t="s">
        <v>972</v>
      </c>
      <c r="R751" s="130" t="s">
        <v>972</v>
      </c>
      <c r="S751" s="125" t="s">
        <v>972</v>
      </c>
      <c r="T751" s="222"/>
      <c r="U751" s="222"/>
      <c r="V751" s="222"/>
      <c r="W751" s="230"/>
      <c r="X751" s="331">
        <f t="shared" si="35"/>
        <v>0</v>
      </c>
      <c r="Y751" s="222"/>
      <c r="Z751" s="272">
        <f t="shared" si="33"/>
        <v>0</v>
      </c>
      <c r="AA751" s="331"/>
      <c r="AB751" s="331"/>
      <c r="AC751" s="331"/>
      <c r="AD751" s="331"/>
      <c r="AE751" s="331"/>
      <c r="AF751" s="331"/>
      <c r="AG751" s="331"/>
      <c r="AH751" s="241">
        <f t="shared" ca="1" si="34"/>
        <v>46153</v>
      </c>
      <c r="AI751" s="272"/>
      <c r="AJ751" s="222"/>
      <c r="AK751" s="222"/>
    </row>
    <row r="752" spans="1:37" ht="23.25" hidden="1" customHeight="1">
      <c r="A752" s="111">
        <v>1149</v>
      </c>
      <c r="B752" s="112" t="s">
        <v>979</v>
      </c>
      <c r="C752" s="122" t="s">
        <v>4983</v>
      </c>
      <c r="D752" s="557" t="s">
        <v>4984</v>
      </c>
      <c r="E752" s="114" t="s">
        <v>4985</v>
      </c>
      <c r="F752" s="115" t="s">
        <v>951</v>
      </c>
      <c r="G752" s="115" t="s">
        <v>936</v>
      </c>
      <c r="H752" s="115">
        <v>13.7678051</v>
      </c>
      <c r="I752" s="115">
        <v>100.5716594</v>
      </c>
      <c r="J752" s="116" t="s">
        <v>969</v>
      </c>
      <c r="K752" s="115" t="s">
        <v>1048</v>
      </c>
      <c r="L752" s="118" t="s">
        <v>4986</v>
      </c>
      <c r="M752" s="117">
        <v>96941183</v>
      </c>
      <c r="N752" s="121" t="s">
        <v>892</v>
      </c>
      <c r="O752" s="121" t="s">
        <v>901</v>
      </c>
      <c r="P752" s="118" t="s">
        <v>2667</v>
      </c>
      <c r="Q752" s="125" t="s">
        <v>972</v>
      </c>
      <c r="R752" s="125" t="s">
        <v>972</v>
      </c>
      <c r="S752" s="125" t="s">
        <v>972</v>
      </c>
      <c r="T752" s="222"/>
      <c r="U752" s="222"/>
      <c r="V752" s="222"/>
      <c r="W752" s="230"/>
      <c r="X752" s="331">
        <f t="shared" si="35"/>
        <v>0</v>
      </c>
      <c r="Y752" s="222"/>
      <c r="Z752" s="272">
        <f t="shared" si="33"/>
        <v>0</v>
      </c>
      <c r="AA752" s="331"/>
      <c r="AB752" s="331"/>
      <c r="AC752" s="331"/>
      <c r="AD752" s="331"/>
      <c r="AE752" s="331"/>
      <c r="AF752" s="331"/>
      <c r="AG752" s="331"/>
      <c r="AH752" s="241">
        <f t="shared" ca="1" si="34"/>
        <v>46153</v>
      </c>
      <c r="AI752" s="272"/>
      <c r="AJ752" s="222"/>
      <c r="AK752" s="222"/>
    </row>
    <row r="753" spans="1:37" ht="23" hidden="1">
      <c r="A753" s="111">
        <v>1150</v>
      </c>
      <c r="B753" s="112" t="s">
        <v>1818</v>
      </c>
      <c r="C753" s="113" t="s">
        <v>4987</v>
      </c>
      <c r="D753" s="147" t="s">
        <v>4988</v>
      </c>
      <c r="E753" s="114" t="s">
        <v>4989</v>
      </c>
      <c r="F753" s="115" t="s">
        <v>951</v>
      </c>
      <c r="G753" s="115" t="s">
        <v>936</v>
      </c>
      <c r="H753" s="116">
        <v>13.766928999999999</v>
      </c>
      <c r="I753" s="116">
        <v>100.57097899999999</v>
      </c>
      <c r="J753" s="116" t="s">
        <v>969</v>
      </c>
      <c r="K753" s="115" t="s">
        <v>1048</v>
      </c>
      <c r="L753" s="129" t="s">
        <v>4986</v>
      </c>
      <c r="M753" s="117">
        <v>96941183</v>
      </c>
      <c r="N753" s="121" t="s">
        <v>892</v>
      </c>
      <c r="O753" s="121" t="s">
        <v>901</v>
      </c>
      <c r="P753" s="129" t="s">
        <v>952</v>
      </c>
      <c r="Q753" s="125" t="s">
        <v>972</v>
      </c>
      <c r="R753" s="125" t="s">
        <v>972</v>
      </c>
      <c r="S753" s="125" t="s">
        <v>972</v>
      </c>
      <c r="T753" s="222"/>
      <c r="U753" s="222"/>
      <c r="V753" s="222"/>
      <c r="W753" s="230"/>
      <c r="X753" s="331">
        <f t="shared" si="35"/>
        <v>0</v>
      </c>
      <c r="Y753" s="222"/>
      <c r="Z753" s="272">
        <f t="shared" si="33"/>
        <v>0</v>
      </c>
      <c r="AA753" s="331"/>
      <c r="AB753" s="331"/>
      <c r="AC753" s="331"/>
      <c r="AD753" s="331"/>
      <c r="AE753" s="331"/>
      <c r="AF753" s="331"/>
      <c r="AG753" s="331"/>
      <c r="AH753" s="241">
        <f t="shared" ca="1" si="34"/>
        <v>46153</v>
      </c>
      <c r="AI753" s="272"/>
      <c r="AJ753" s="222"/>
      <c r="AK753" s="222"/>
    </row>
    <row r="754" spans="1:37" ht="14.5" hidden="1">
      <c r="A754" s="111">
        <v>1185</v>
      </c>
      <c r="B754" s="150" t="s">
        <v>2209</v>
      </c>
      <c r="C754" s="150" t="s">
        <v>2209</v>
      </c>
      <c r="D754" s="150" t="s">
        <v>5083</v>
      </c>
      <c r="E754" s="207" t="s">
        <v>5084</v>
      </c>
      <c r="F754" s="150" t="s">
        <v>951</v>
      </c>
      <c r="G754" s="153" t="s">
        <v>1435</v>
      </c>
      <c r="H754" s="117">
        <v>13.830645000000001</v>
      </c>
      <c r="I754" s="117">
        <v>100.53478200000001</v>
      </c>
      <c r="J754" s="117" t="s">
        <v>890</v>
      </c>
      <c r="K754" s="117" t="s">
        <v>891</v>
      </c>
      <c r="L754" s="117" t="s">
        <v>891</v>
      </c>
      <c r="M754" s="117">
        <v>97156135</v>
      </c>
      <c r="N754" s="117" t="s">
        <v>892</v>
      </c>
      <c r="O754" s="117" t="s">
        <v>1436</v>
      </c>
      <c r="P754" s="117" t="s">
        <v>952</v>
      </c>
      <c r="Q754" s="119"/>
      <c r="R754" s="119"/>
      <c r="S754" s="119"/>
      <c r="T754" s="222"/>
      <c r="U754" s="222"/>
      <c r="V754" s="222"/>
      <c r="W754" s="230"/>
      <c r="X754" s="331">
        <f t="shared" si="35"/>
        <v>0</v>
      </c>
      <c r="Y754" s="222"/>
      <c r="Z754" s="272">
        <f t="shared" si="33"/>
        <v>0</v>
      </c>
      <c r="AA754" s="331"/>
      <c r="AB754" s="331"/>
      <c r="AC754" s="331"/>
      <c r="AD754" s="331"/>
      <c r="AE754" s="331"/>
      <c r="AF754" s="331"/>
      <c r="AG754" s="331"/>
      <c r="AH754" s="241">
        <f t="shared" ca="1" si="34"/>
        <v>46153</v>
      </c>
      <c r="AI754" s="272"/>
      <c r="AJ754" s="222"/>
      <c r="AK754" s="222"/>
    </row>
    <row r="755" spans="1:37" ht="14.5" hidden="1">
      <c r="A755" s="111">
        <v>1186</v>
      </c>
      <c r="B755" s="150" t="s">
        <v>2209</v>
      </c>
      <c r="C755" s="150" t="s">
        <v>2209</v>
      </c>
      <c r="D755" s="150" t="s">
        <v>5085</v>
      </c>
      <c r="E755" s="152" t="s">
        <v>5086</v>
      </c>
      <c r="F755" s="150" t="s">
        <v>951</v>
      </c>
      <c r="G755" s="153" t="s">
        <v>1435</v>
      </c>
      <c r="H755" s="117">
        <v>13.830496999999999</v>
      </c>
      <c r="I755" s="117">
        <v>100.53220399999999</v>
      </c>
      <c r="J755" s="117" t="s">
        <v>2108</v>
      </c>
      <c r="K755" s="117" t="s">
        <v>2110</v>
      </c>
      <c r="L755" s="117" t="s">
        <v>2110</v>
      </c>
      <c r="M755" s="117">
        <v>0</v>
      </c>
      <c r="N755" s="117" t="s">
        <v>892</v>
      </c>
      <c r="O755" s="117" t="s">
        <v>1436</v>
      </c>
      <c r="P755" s="136" t="s">
        <v>5265</v>
      </c>
      <c r="Q755" s="119"/>
      <c r="R755" s="119"/>
      <c r="S755" s="138"/>
      <c r="T755" s="222"/>
      <c r="U755" s="222"/>
      <c r="V755" s="222"/>
      <c r="W755" s="230"/>
      <c r="X755" s="331">
        <f t="shared" si="35"/>
        <v>0</v>
      </c>
      <c r="Y755" s="222"/>
      <c r="Z755" s="272">
        <f t="shared" si="33"/>
        <v>0</v>
      </c>
      <c r="AA755" s="331"/>
      <c r="AB755" s="331"/>
      <c r="AC755" s="331"/>
      <c r="AD755" s="331"/>
      <c r="AE755" s="331"/>
      <c r="AF755" s="331"/>
      <c r="AG755" s="331"/>
      <c r="AH755" s="241">
        <f t="shared" ca="1" si="34"/>
        <v>46153</v>
      </c>
      <c r="AI755" s="272"/>
      <c r="AJ755" s="222"/>
      <c r="AK755" s="222"/>
    </row>
    <row r="756" spans="1:37" ht="23.25" hidden="1" customHeight="1">
      <c r="A756" s="111">
        <v>1170</v>
      </c>
      <c r="B756" s="112">
        <v>2</v>
      </c>
      <c r="C756" s="113" t="s">
        <v>2086</v>
      </c>
      <c r="D756" s="147" t="s">
        <v>2087</v>
      </c>
      <c r="E756" s="114" t="s">
        <v>2088</v>
      </c>
      <c r="F756" s="115" t="s">
        <v>2089</v>
      </c>
      <c r="G756" s="115" t="s">
        <v>893</v>
      </c>
      <c r="H756" s="116">
        <v>13.7054458</v>
      </c>
      <c r="I756" s="116">
        <v>100.4841539</v>
      </c>
      <c r="J756" s="116" t="s">
        <v>890</v>
      </c>
      <c r="K756" s="117" t="s">
        <v>891</v>
      </c>
      <c r="L756" s="117" t="s">
        <v>891</v>
      </c>
      <c r="M756" s="117">
        <v>96894780</v>
      </c>
      <c r="N756" s="117" t="s">
        <v>892</v>
      </c>
      <c r="O756" s="117" t="s">
        <v>893</v>
      </c>
      <c r="P756" s="117" t="s">
        <v>894</v>
      </c>
      <c r="Q756" s="118">
        <v>80057501</v>
      </c>
      <c r="R756" s="119" t="s">
        <v>895</v>
      </c>
      <c r="S756" s="119" t="s">
        <v>895</v>
      </c>
      <c r="T756" s="222"/>
      <c r="U756" s="222"/>
      <c r="V756" s="222"/>
      <c r="W756" s="230"/>
      <c r="X756" s="331">
        <f t="shared" si="35"/>
        <v>0</v>
      </c>
      <c r="Y756" s="222"/>
      <c r="Z756" s="272">
        <f t="shared" si="33"/>
        <v>0</v>
      </c>
      <c r="AA756" s="331"/>
      <c r="AB756" s="331"/>
      <c r="AC756" s="331"/>
      <c r="AD756" s="331"/>
      <c r="AE756" s="331"/>
      <c r="AF756" s="331"/>
      <c r="AG756" s="331"/>
      <c r="AH756" s="241">
        <f t="shared" ca="1" si="34"/>
        <v>46153</v>
      </c>
      <c r="AI756" s="272"/>
      <c r="AJ756" s="222"/>
      <c r="AK756" s="222"/>
    </row>
    <row r="757" spans="1:37" ht="23.25" hidden="1" customHeight="1">
      <c r="A757" s="111">
        <v>282</v>
      </c>
      <c r="B757" s="112">
        <v>3</v>
      </c>
      <c r="C757" s="122" t="s">
        <v>2845</v>
      </c>
      <c r="D757" s="147" t="s">
        <v>2846</v>
      </c>
      <c r="E757" s="123" t="s">
        <v>2847</v>
      </c>
      <c r="F757" s="115" t="s">
        <v>2089</v>
      </c>
      <c r="G757" s="115" t="s">
        <v>893</v>
      </c>
      <c r="H757" s="116">
        <v>13.707181800000001</v>
      </c>
      <c r="I757" s="116">
        <v>100.4816087</v>
      </c>
      <c r="J757" s="116" t="s">
        <v>2108</v>
      </c>
      <c r="K757" s="115" t="s">
        <v>2081</v>
      </c>
      <c r="L757" s="117" t="s">
        <v>2848</v>
      </c>
      <c r="M757" s="121" t="s">
        <v>972</v>
      </c>
      <c r="N757" s="121" t="s">
        <v>972</v>
      </c>
      <c r="O757" s="117" t="s">
        <v>893</v>
      </c>
      <c r="P757" s="117" t="s">
        <v>894</v>
      </c>
      <c r="Q757" s="125" t="s">
        <v>972</v>
      </c>
      <c r="R757" s="125" t="s">
        <v>972</v>
      </c>
      <c r="S757" s="125" t="s">
        <v>972</v>
      </c>
      <c r="T757" s="222"/>
      <c r="U757" s="222"/>
      <c r="V757" s="222"/>
      <c r="W757" s="230"/>
      <c r="X757" s="331">
        <f t="shared" si="35"/>
        <v>0</v>
      </c>
      <c r="Y757" s="222"/>
      <c r="Z757" s="272">
        <f t="shared" si="33"/>
        <v>0</v>
      </c>
      <c r="AA757" s="331"/>
      <c r="AB757" s="331"/>
      <c r="AC757" s="331"/>
      <c r="AD757" s="331"/>
      <c r="AE757" s="331"/>
      <c r="AF757" s="331"/>
      <c r="AG757" s="331"/>
      <c r="AH757" s="241">
        <f t="shared" ca="1" si="34"/>
        <v>46153</v>
      </c>
      <c r="AI757" s="272"/>
      <c r="AJ757" s="222"/>
      <c r="AK757" s="222"/>
    </row>
    <row r="758" spans="1:37" ht="23" hidden="1">
      <c r="A758" s="111">
        <v>284</v>
      </c>
      <c r="B758" s="112">
        <v>3</v>
      </c>
      <c r="C758" s="122" t="s">
        <v>2852</v>
      </c>
      <c r="D758" s="147" t="s">
        <v>2853</v>
      </c>
      <c r="E758" s="123" t="s">
        <v>2854</v>
      </c>
      <c r="F758" s="115" t="s">
        <v>2089</v>
      </c>
      <c r="G758" s="115" t="s">
        <v>893</v>
      </c>
      <c r="H758" s="116">
        <v>13.717586000000001</v>
      </c>
      <c r="I758" s="116">
        <v>100.47771</v>
      </c>
      <c r="J758" s="116" t="s">
        <v>2108</v>
      </c>
      <c r="K758" s="115" t="s">
        <v>2081</v>
      </c>
      <c r="L758" s="117" t="s">
        <v>2855</v>
      </c>
      <c r="M758" s="121" t="s">
        <v>972</v>
      </c>
      <c r="N758" s="121" t="s">
        <v>972</v>
      </c>
      <c r="O758" s="117" t="s">
        <v>893</v>
      </c>
      <c r="P758" s="117" t="s">
        <v>894</v>
      </c>
      <c r="Q758" s="125" t="s">
        <v>972</v>
      </c>
      <c r="R758" s="125" t="s">
        <v>972</v>
      </c>
      <c r="S758" s="125" t="s">
        <v>972</v>
      </c>
      <c r="T758" s="222"/>
      <c r="U758" s="222"/>
      <c r="V758" s="222"/>
      <c r="W758" s="230"/>
      <c r="X758" s="331">
        <f t="shared" si="35"/>
        <v>0</v>
      </c>
      <c r="Y758" s="222"/>
      <c r="Z758" s="272">
        <f t="shared" si="33"/>
        <v>0</v>
      </c>
      <c r="AA758" s="331"/>
      <c r="AB758" s="331"/>
      <c r="AC758" s="331"/>
      <c r="AD758" s="331"/>
      <c r="AE758" s="331"/>
      <c r="AF758" s="331"/>
      <c r="AG758" s="331"/>
      <c r="AH758" s="241">
        <f t="shared" ca="1" si="34"/>
        <v>46153</v>
      </c>
      <c r="AI758" s="272"/>
      <c r="AJ758" s="222"/>
      <c r="AK758" s="222"/>
    </row>
    <row r="759" spans="1:37" ht="23" hidden="1">
      <c r="A759" s="111">
        <v>289</v>
      </c>
      <c r="B759" s="112">
        <v>7</v>
      </c>
      <c r="C759" s="113" t="s">
        <v>2863</v>
      </c>
      <c r="D759" s="147" t="s">
        <v>2864</v>
      </c>
      <c r="E759" s="114" t="s">
        <v>2865</v>
      </c>
      <c r="F759" s="115" t="s">
        <v>2089</v>
      </c>
      <c r="G759" s="115" t="s">
        <v>893</v>
      </c>
      <c r="H759" s="116">
        <v>13.706808000000001</v>
      </c>
      <c r="I759" s="116">
        <v>100.48247000000001</v>
      </c>
      <c r="J759" s="116" t="s">
        <v>2108</v>
      </c>
      <c r="K759" s="115" t="s">
        <v>2081</v>
      </c>
      <c r="L759" s="117" t="s">
        <v>2866</v>
      </c>
      <c r="M759" s="121" t="s">
        <v>972</v>
      </c>
      <c r="N759" s="121" t="s">
        <v>972</v>
      </c>
      <c r="O759" s="117" t="s">
        <v>893</v>
      </c>
      <c r="P759" s="117" t="s">
        <v>894</v>
      </c>
      <c r="Q759" s="125" t="s">
        <v>972</v>
      </c>
      <c r="R759" s="125" t="s">
        <v>972</v>
      </c>
      <c r="S759" s="125" t="s">
        <v>972</v>
      </c>
      <c r="T759" s="222"/>
      <c r="U759" s="222"/>
      <c r="V759" s="222"/>
      <c r="W759" s="230"/>
      <c r="X759" s="331">
        <f t="shared" si="35"/>
        <v>0</v>
      </c>
      <c r="Y759" s="222"/>
      <c r="Z759" s="272">
        <f t="shared" si="33"/>
        <v>0</v>
      </c>
      <c r="AA759" s="331"/>
      <c r="AB759" s="331"/>
      <c r="AC759" s="331"/>
      <c r="AD759" s="331"/>
      <c r="AE759" s="331"/>
      <c r="AF759" s="331"/>
      <c r="AG759" s="331"/>
      <c r="AH759" s="241">
        <f t="shared" ca="1" si="34"/>
        <v>46153</v>
      </c>
      <c r="AI759" s="272"/>
      <c r="AJ759" s="222"/>
      <c r="AK759" s="222"/>
    </row>
    <row r="760" spans="1:37" ht="23.25" hidden="1" customHeight="1">
      <c r="A760" s="111">
        <v>519</v>
      </c>
      <c r="B760" s="112">
        <v>10</v>
      </c>
      <c r="C760" s="122" t="s">
        <v>1470</v>
      </c>
      <c r="D760" s="555" t="s">
        <v>1471</v>
      </c>
      <c r="E760" s="123" t="s">
        <v>1472</v>
      </c>
      <c r="F760" s="116" t="s">
        <v>1473</v>
      </c>
      <c r="G760" s="116" t="s">
        <v>918</v>
      </c>
      <c r="H760" s="116">
        <v>13.7007966</v>
      </c>
      <c r="I760" s="116">
        <v>100.5419528</v>
      </c>
      <c r="J760" s="116" t="s">
        <v>890</v>
      </c>
      <c r="K760" s="117" t="s">
        <v>891</v>
      </c>
      <c r="L760" s="117" t="s">
        <v>891</v>
      </c>
      <c r="M760" s="117">
        <v>96895676</v>
      </c>
      <c r="N760" s="117" t="s">
        <v>892</v>
      </c>
      <c r="O760" s="121" t="s">
        <v>918</v>
      </c>
      <c r="P760" s="117" t="s">
        <v>894</v>
      </c>
      <c r="Q760" s="118">
        <v>80057501</v>
      </c>
      <c r="R760" s="119" t="s">
        <v>895</v>
      </c>
      <c r="S760" s="119" t="s">
        <v>895</v>
      </c>
      <c r="T760" s="222"/>
      <c r="U760" s="222"/>
      <c r="V760" s="222"/>
      <c r="W760" s="230"/>
      <c r="X760" s="331">
        <f t="shared" si="35"/>
        <v>0</v>
      </c>
      <c r="Y760" s="222"/>
      <c r="Z760" s="272">
        <f t="shared" si="33"/>
        <v>0</v>
      </c>
      <c r="AA760" s="331"/>
      <c r="AB760" s="331"/>
      <c r="AC760" s="331"/>
      <c r="AD760" s="331"/>
      <c r="AE760" s="331"/>
      <c r="AF760" s="331"/>
      <c r="AG760" s="331"/>
      <c r="AH760" s="241">
        <f t="shared" ca="1" si="34"/>
        <v>46153</v>
      </c>
      <c r="AI760" s="272"/>
      <c r="AJ760" s="222"/>
      <c r="AK760" s="222"/>
    </row>
    <row r="761" spans="1:37" ht="23.25" hidden="1" customHeight="1">
      <c r="A761" s="111">
        <v>669</v>
      </c>
      <c r="B761" s="112">
        <v>12</v>
      </c>
      <c r="C761" s="113" t="s">
        <v>1624</v>
      </c>
      <c r="D761" s="147" t="s">
        <v>1625</v>
      </c>
      <c r="E761" s="114" t="s">
        <v>1626</v>
      </c>
      <c r="F761" s="115" t="s">
        <v>1473</v>
      </c>
      <c r="G761" s="115" t="s">
        <v>918</v>
      </c>
      <c r="H761" s="116">
        <v>13.691436100000001</v>
      </c>
      <c r="I761" s="116">
        <v>100.5236553</v>
      </c>
      <c r="J761" s="116" t="s">
        <v>890</v>
      </c>
      <c r="K761" s="117" t="s">
        <v>891</v>
      </c>
      <c r="L761" s="118" t="s">
        <v>891</v>
      </c>
      <c r="M761" s="117">
        <v>96895680</v>
      </c>
      <c r="N761" s="117" t="s">
        <v>892</v>
      </c>
      <c r="O761" s="121" t="s">
        <v>918</v>
      </c>
      <c r="P761" s="118" t="s">
        <v>894</v>
      </c>
      <c r="Q761" s="118">
        <v>80057501</v>
      </c>
      <c r="R761" s="138" t="s">
        <v>895</v>
      </c>
      <c r="S761" s="119" t="s">
        <v>895</v>
      </c>
      <c r="T761" s="222"/>
      <c r="U761" s="222"/>
      <c r="V761" s="222"/>
      <c r="W761" s="230"/>
      <c r="X761" s="331">
        <f t="shared" si="35"/>
        <v>0</v>
      </c>
      <c r="Y761" s="222"/>
      <c r="Z761" s="272">
        <f t="shared" si="33"/>
        <v>0</v>
      </c>
      <c r="AA761" s="331"/>
      <c r="AB761" s="331"/>
      <c r="AC761" s="331"/>
      <c r="AD761" s="331"/>
      <c r="AE761" s="331"/>
      <c r="AF761" s="331"/>
      <c r="AG761" s="331"/>
      <c r="AH761" s="241">
        <f t="shared" ca="1" si="34"/>
        <v>46153</v>
      </c>
      <c r="AI761" s="272"/>
      <c r="AJ761" s="222"/>
      <c r="AK761" s="222"/>
    </row>
    <row r="762" spans="1:37" ht="23" hidden="1">
      <c r="A762" s="111">
        <v>789</v>
      </c>
      <c r="B762" s="112">
        <v>13</v>
      </c>
      <c r="C762" s="113" t="s">
        <v>1752</v>
      </c>
      <c r="D762" s="147" t="s">
        <v>1753</v>
      </c>
      <c r="E762" s="114" t="s">
        <v>1754</v>
      </c>
      <c r="F762" s="115" t="s">
        <v>1473</v>
      </c>
      <c r="G762" s="115" t="s">
        <v>918</v>
      </c>
      <c r="H762" s="116">
        <v>13.695135000000001</v>
      </c>
      <c r="I762" s="116">
        <v>100.532313</v>
      </c>
      <c r="J762" s="116" t="s">
        <v>890</v>
      </c>
      <c r="K762" s="117" t="s">
        <v>891</v>
      </c>
      <c r="L762" s="118" t="s">
        <v>891</v>
      </c>
      <c r="M762" s="117">
        <v>96895682</v>
      </c>
      <c r="N762" s="117" t="s">
        <v>892</v>
      </c>
      <c r="O762" s="121" t="s">
        <v>918</v>
      </c>
      <c r="P762" s="118" t="s">
        <v>894</v>
      </c>
      <c r="Q762" s="118">
        <v>80057501</v>
      </c>
      <c r="R762" s="138" t="s">
        <v>895</v>
      </c>
      <c r="S762" s="119" t="s">
        <v>895</v>
      </c>
      <c r="T762" s="222"/>
      <c r="U762" s="222"/>
      <c r="V762" s="222"/>
      <c r="W762" s="230"/>
      <c r="X762" s="331">
        <f t="shared" si="35"/>
        <v>0</v>
      </c>
      <c r="Y762" s="222"/>
      <c r="Z762" s="272">
        <f t="shared" si="33"/>
        <v>0</v>
      </c>
      <c r="AA762" s="331"/>
      <c r="AB762" s="331"/>
      <c r="AC762" s="331"/>
      <c r="AD762" s="331"/>
      <c r="AE762" s="331"/>
      <c r="AF762" s="331"/>
      <c r="AG762" s="331"/>
      <c r="AH762" s="241">
        <f t="shared" ca="1" si="34"/>
        <v>46153</v>
      </c>
      <c r="AI762" s="272"/>
      <c r="AJ762" s="222"/>
      <c r="AK762" s="222"/>
    </row>
    <row r="763" spans="1:37" ht="23.25" hidden="1" customHeight="1">
      <c r="A763" s="111">
        <v>1071</v>
      </c>
      <c r="B763" s="112">
        <v>9</v>
      </c>
      <c r="C763" s="122" t="s">
        <v>2016</v>
      </c>
      <c r="D763" s="147" t="s">
        <v>2017</v>
      </c>
      <c r="E763" s="114" t="s">
        <v>2018</v>
      </c>
      <c r="F763" s="115" t="s">
        <v>1473</v>
      </c>
      <c r="G763" s="115" t="s">
        <v>918</v>
      </c>
      <c r="H763" s="116">
        <v>13.698956000000001</v>
      </c>
      <c r="I763" s="116">
        <v>100.540342</v>
      </c>
      <c r="J763" s="116" t="s">
        <v>890</v>
      </c>
      <c r="K763" s="117" t="s">
        <v>891</v>
      </c>
      <c r="L763" s="117" t="s">
        <v>891</v>
      </c>
      <c r="M763" s="117">
        <v>96895704</v>
      </c>
      <c r="N763" s="117" t="s">
        <v>892</v>
      </c>
      <c r="O763" s="121" t="s">
        <v>918</v>
      </c>
      <c r="P763" s="117" t="s">
        <v>894</v>
      </c>
      <c r="Q763" s="118">
        <v>80057501</v>
      </c>
      <c r="R763" s="138" t="s">
        <v>895</v>
      </c>
      <c r="S763" s="119" t="s">
        <v>895</v>
      </c>
      <c r="T763" s="305" t="s">
        <v>5212</v>
      </c>
      <c r="U763" s="305" t="s">
        <v>5282</v>
      </c>
      <c r="V763" s="287">
        <v>45118</v>
      </c>
      <c r="W763" s="552">
        <v>4</v>
      </c>
      <c r="X763" s="331">
        <f t="shared" si="35"/>
        <v>45122</v>
      </c>
      <c r="Y763" s="317">
        <v>45161</v>
      </c>
      <c r="Z763" s="318">
        <f t="shared" si="33"/>
        <v>39</v>
      </c>
      <c r="AA763" s="331"/>
      <c r="AB763" s="331"/>
      <c r="AC763" s="331"/>
      <c r="AD763" s="331"/>
      <c r="AE763" s="331"/>
      <c r="AF763" s="331"/>
      <c r="AG763" s="331"/>
      <c r="AH763" s="317">
        <f t="shared" ca="1" si="34"/>
        <v>46153</v>
      </c>
      <c r="AI763" s="318"/>
      <c r="AJ763" s="316" t="s">
        <v>5224</v>
      </c>
      <c r="AK763" s="320" t="s">
        <v>5149</v>
      </c>
    </row>
    <row r="764" spans="1:37" ht="23" hidden="1">
      <c r="A764" s="111">
        <v>108</v>
      </c>
      <c r="B764" s="112">
        <v>6</v>
      </c>
      <c r="C764" s="113" t="s">
        <v>2369</v>
      </c>
      <c r="D764" s="147" t="s">
        <v>2370</v>
      </c>
      <c r="E764" s="114" t="s">
        <v>2371</v>
      </c>
      <c r="F764" s="115" t="s">
        <v>1473</v>
      </c>
      <c r="G764" s="115" t="s">
        <v>918</v>
      </c>
      <c r="H764" s="116">
        <v>13.6971761</v>
      </c>
      <c r="I764" s="116">
        <v>100.5392854</v>
      </c>
      <c r="J764" s="116" t="s">
        <v>969</v>
      </c>
      <c r="K764" s="115" t="s">
        <v>1048</v>
      </c>
      <c r="L764" s="117" t="s">
        <v>2372</v>
      </c>
      <c r="M764" s="117">
        <v>96937770</v>
      </c>
      <c r="N764" s="121" t="s">
        <v>892</v>
      </c>
      <c r="O764" s="121" t="s">
        <v>918</v>
      </c>
      <c r="P764" s="117" t="s">
        <v>894</v>
      </c>
      <c r="Q764" s="125" t="s">
        <v>972</v>
      </c>
      <c r="R764" s="125" t="s">
        <v>972</v>
      </c>
      <c r="S764" s="125" t="s">
        <v>972</v>
      </c>
      <c r="T764" s="305" t="s">
        <v>5212</v>
      </c>
      <c r="U764" s="305" t="s">
        <v>5184</v>
      </c>
      <c r="V764" s="331">
        <v>45118</v>
      </c>
      <c r="W764" s="326">
        <v>4</v>
      </c>
      <c r="X764" s="331">
        <f t="shared" si="35"/>
        <v>45122</v>
      </c>
      <c r="Y764" s="331">
        <v>45119</v>
      </c>
      <c r="Z764" s="332" t="e">
        <f t="shared" si="33"/>
        <v>#NUM!</v>
      </c>
      <c r="AA764" s="331"/>
      <c r="AB764" s="331"/>
      <c r="AC764" s="331"/>
      <c r="AD764" s="331"/>
      <c r="AE764" s="331"/>
      <c r="AF764" s="331"/>
      <c r="AG764" s="331"/>
      <c r="AH764" s="331">
        <f t="shared" ca="1" si="34"/>
        <v>46153</v>
      </c>
      <c r="AI764" s="332"/>
      <c r="AJ764" s="312" t="s">
        <v>5143</v>
      </c>
      <c r="AK764" s="305"/>
    </row>
    <row r="765" spans="1:37" ht="23" hidden="1">
      <c r="A765" s="111">
        <v>110</v>
      </c>
      <c r="B765" s="112">
        <v>7</v>
      </c>
      <c r="C765" s="113" t="s">
        <v>2373</v>
      </c>
      <c r="D765" s="147" t="s">
        <v>2374</v>
      </c>
      <c r="E765" s="114" t="s">
        <v>2375</v>
      </c>
      <c r="F765" s="115" t="s">
        <v>1473</v>
      </c>
      <c r="G765" s="115" t="s">
        <v>918</v>
      </c>
      <c r="H765" s="116">
        <v>13.697279999999999</v>
      </c>
      <c r="I765" s="116">
        <v>100.537778</v>
      </c>
      <c r="J765" s="116" t="s">
        <v>969</v>
      </c>
      <c r="K765" s="115" t="s">
        <v>1048</v>
      </c>
      <c r="L765" s="117" t="s">
        <v>2376</v>
      </c>
      <c r="M765" s="117">
        <v>96937761</v>
      </c>
      <c r="N765" s="121" t="s">
        <v>892</v>
      </c>
      <c r="O765" s="135" t="s">
        <v>918</v>
      </c>
      <c r="P765" s="140" t="s">
        <v>894</v>
      </c>
      <c r="Q765" s="125" t="s">
        <v>972</v>
      </c>
      <c r="R765" s="125" t="s">
        <v>972</v>
      </c>
      <c r="S765" s="125" t="s">
        <v>972</v>
      </c>
      <c r="T765" s="222"/>
      <c r="U765" s="222"/>
      <c r="V765" s="222"/>
      <c r="W765" s="230"/>
      <c r="X765" s="331">
        <f t="shared" si="35"/>
        <v>0</v>
      </c>
      <c r="Y765" s="222"/>
      <c r="Z765" s="272">
        <f t="shared" si="33"/>
        <v>0</v>
      </c>
      <c r="AA765" s="331"/>
      <c r="AB765" s="331"/>
      <c r="AC765" s="331"/>
      <c r="AD765" s="331"/>
      <c r="AE765" s="331"/>
      <c r="AF765" s="331"/>
      <c r="AG765" s="331"/>
      <c r="AH765" s="241">
        <f t="shared" ca="1" si="34"/>
        <v>46153</v>
      </c>
      <c r="AI765" s="272"/>
      <c r="AJ765" s="222"/>
      <c r="AK765" s="222"/>
    </row>
    <row r="766" spans="1:37" ht="23" hidden="1">
      <c r="A766" s="111">
        <v>207</v>
      </c>
      <c r="B766" s="112">
        <v>5</v>
      </c>
      <c r="C766" s="113" t="s">
        <v>2648</v>
      </c>
      <c r="D766" s="147" t="s">
        <v>2649</v>
      </c>
      <c r="E766" s="114" t="s">
        <v>2650</v>
      </c>
      <c r="F766" s="115" t="s">
        <v>1473</v>
      </c>
      <c r="G766" s="115" t="s">
        <v>918</v>
      </c>
      <c r="H766" s="116">
        <v>13.697295</v>
      </c>
      <c r="I766" s="116">
        <v>100.538303</v>
      </c>
      <c r="J766" s="116" t="s">
        <v>969</v>
      </c>
      <c r="K766" s="115" t="s">
        <v>1048</v>
      </c>
      <c r="L766" s="117" t="s">
        <v>2376</v>
      </c>
      <c r="M766" s="117">
        <v>96937761</v>
      </c>
      <c r="N766" s="121" t="s">
        <v>892</v>
      </c>
      <c r="O766" s="135" t="s">
        <v>918</v>
      </c>
      <c r="P766" s="117" t="s">
        <v>894</v>
      </c>
      <c r="Q766" s="125" t="s">
        <v>972</v>
      </c>
      <c r="R766" s="125" t="s">
        <v>972</v>
      </c>
      <c r="S766" s="125" t="s">
        <v>972</v>
      </c>
      <c r="T766" s="222"/>
      <c r="U766" s="222"/>
      <c r="V766" s="222"/>
      <c r="W766" s="230"/>
      <c r="X766" s="331">
        <f t="shared" si="35"/>
        <v>0</v>
      </c>
      <c r="Y766" s="222"/>
      <c r="Z766" s="272">
        <f t="shared" si="33"/>
        <v>0</v>
      </c>
      <c r="AA766" s="331"/>
      <c r="AB766" s="331"/>
      <c r="AC766" s="331"/>
      <c r="AD766" s="331"/>
      <c r="AE766" s="331"/>
      <c r="AF766" s="331"/>
      <c r="AG766" s="331"/>
      <c r="AH766" s="241">
        <f t="shared" ca="1" si="34"/>
        <v>46153</v>
      </c>
      <c r="AI766" s="272"/>
      <c r="AJ766" s="222"/>
      <c r="AK766" s="222"/>
    </row>
    <row r="767" spans="1:37" ht="23.25" hidden="1" customHeight="1">
      <c r="A767" s="111">
        <v>836</v>
      </c>
      <c r="B767" s="112">
        <v>2</v>
      </c>
      <c r="C767" s="113" t="s">
        <v>3475</v>
      </c>
      <c r="D767" s="147" t="s">
        <v>3476</v>
      </c>
      <c r="E767" s="114" t="s">
        <v>3477</v>
      </c>
      <c r="F767" s="115" t="s">
        <v>1473</v>
      </c>
      <c r="G767" s="115" t="s">
        <v>918</v>
      </c>
      <c r="H767" s="115">
        <v>13.69267</v>
      </c>
      <c r="I767" s="115">
        <v>100.5275566</v>
      </c>
      <c r="J767" s="116" t="s">
        <v>890</v>
      </c>
      <c r="K767" s="117" t="s">
        <v>891</v>
      </c>
      <c r="L767" s="118" t="s">
        <v>891</v>
      </c>
      <c r="M767" s="121">
        <v>97050666</v>
      </c>
      <c r="N767" s="117" t="s">
        <v>892</v>
      </c>
      <c r="O767" s="121" t="s">
        <v>918</v>
      </c>
      <c r="P767" s="117" t="s">
        <v>894</v>
      </c>
      <c r="Q767" s="125" t="s">
        <v>972</v>
      </c>
      <c r="R767" s="138" t="s">
        <v>895</v>
      </c>
      <c r="S767" s="119" t="s">
        <v>895</v>
      </c>
      <c r="T767" s="222"/>
      <c r="U767" s="222"/>
      <c r="V767" s="222"/>
      <c r="W767" s="230"/>
      <c r="X767" s="331">
        <f t="shared" si="35"/>
        <v>0</v>
      </c>
      <c r="Y767" s="222"/>
      <c r="Z767" s="272">
        <f t="shared" si="33"/>
        <v>0</v>
      </c>
      <c r="AA767" s="331"/>
      <c r="AB767" s="331"/>
      <c r="AC767" s="331"/>
      <c r="AD767" s="331"/>
      <c r="AE767" s="331"/>
      <c r="AF767" s="331"/>
      <c r="AG767" s="331"/>
      <c r="AH767" s="241">
        <f t="shared" ca="1" si="34"/>
        <v>46153</v>
      </c>
      <c r="AI767" s="272"/>
      <c r="AJ767" s="222"/>
      <c r="AK767" s="222"/>
    </row>
    <row r="768" spans="1:37" ht="23" hidden="1">
      <c r="A768" s="111">
        <v>343</v>
      </c>
      <c r="B768" s="112">
        <v>4</v>
      </c>
      <c r="C768" s="113" t="s">
        <v>1283</v>
      </c>
      <c r="D768" s="147" t="s">
        <v>1284</v>
      </c>
      <c r="E768" s="114" t="s">
        <v>1285</v>
      </c>
      <c r="F768" s="115" t="s">
        <v>5348</v>
      </c>
      <c r="G768" s="115" t="s">
        <v>984</v>
      </c>
      <c r="H768" s="116">
        <v>13.721722</v>
      </c>
      <c r="I768" s="116">
        <v>100.55974500000001</v>
      </c>
      <c r="J768" s="116" t="s">
        <v>969</v>
      </c>
      <c r="K768" s="116" t="s">
        <v>970</v>
      </c>
      <c r="L768" s="117" t="s">
        <v>5349</v>
      </c>
      <c r="M768" s="124" t="s">
        <v>5074</v>
      </c>
      <c r="N768" s="121" t="s">
        <v>892</v>
      </c>
      <c r="O768" s="121" t="s">
        <v>984</v>
      </c>
      <c r="P768" s="117" t="s">
        <v>894</v>
      </c>
      <c r="Q768" s="125" t="s">
        <v>972</v>
      </c>
      <c r="R768" s="125" t="s">
        <v>972</v>
      </c>
      <c r="S768" s="125" t="s">
        <v>972</v>
      </c>
      <c r="T768" s="222"/>
      <c r="U768" s="222"/>
      <c r="V768" s="222"/>
      <c r="W768" s="230"/>
      <c r="X768" s="331">
        <f t="shared" si="35"/>
        <v>0</v>
      </c>
      <c r="Y768" s="222"/>
      <c r="Z768" s="272">
        <f t="shared" si="33"/>
        <v>0</v>
      </c>
      <c r="AA768" s="331"/>
      <c r="AB768" s="331"/>
      <c r="AC768" s="331"/>
      <c r="AD768" s="331"/>
      <c r="AE768" s="331"/>
      <c r="AF768" s="331"/>
      <c r="AG768" s="331"/>
      <c r="AH768" s="241">
        <f t="shared" ca="1" si="34"/>
        <v>46153</v>
      </c>
      <c r="AI768" s="272"/>
      <c r="AJ768" s="222"/>
      <c r="AK768" s="222"/>
    </row>
    <row r="769" spans="1:37" ht="23" hidden="1">
      <c r="A769" s="111">
        <v>192</v>
      </c>
      <c r="B769" s="128" t="s">
        <v>1155</v>
      </c>
      <c r="C769" s="113" t="s">
        <v>2605</v>
      </c>
      <c r="D769" s="147" t="s">
        <v>2606</v>
      </c>
      <c r="E769" s="114" t="s">
        <v>5323</v>
      </c>
      <c r="F769" s="115" t="s">
        <v>5348</v>
      </c>
      <c r="G769" s="115" t="s">
        <v>984</v>
      </c>
      <c r="H769" s="115">
        <v>13.721377</v>
      </c>
      <c r="I769" s="115">
        <v>100.5596089</v>
      </c>
      <c r="J769" s="116" t="s">
        <v>890</v>
      </c>
      <c r="K769" s="115" t="s">
        <v>891</v>
      </c>
      <c r="L769" s="117" t="s">
        <v>891</v>
      </c>
      <c r="M769" s="117">
        <v>97303396</v>
      </c>
      <c r="N769" s="121" t="s">
        <v>892</v>
      </c>
      <c r="O769" s="121" t="s">
        <v>984</v>
      </c>
      <c r="P769" s="117" t="s">
        <v>952</v>
      </c>
      <c r="Q769" s="125" t="s">
        <v>972</v>
      </c>
      <c r="R769" s="130" t="s">
        <v>972</v>
      </c>
      <c r="S769" s="125" t="s">
        <v>972</v>
      </c>
      <c r="T769" s="222"/>
      <c r="U769" s="222"/>
      <c r="V769" s="222"/>
      <c r="W769" s="230"/>
      <c r="X769" s="331">
        <f t="shared" si="35"/>
        <v>0</v>
      </c>
      <c r="Y769" s="222"/>
      <c r="Z769" s="272">
        <f t="shared" si="33"/>
        <v>0</v>
      </c>
      <c r="AA769" s="331"/>
      <c r="AB769" s="331"/>
      <c r="AC769" s="331"/>
      <c r="AD769" s="331"/>
      <c r="AE769" s="331"/>
      <c r="AF769" s="331"/>
      <c r="AG769" s="331"/>
      <c r="AH769" s="241">
        <f t="shared" ca="1" si="34"/>
        <v>46153</v>
      </c>
      <c r="AI769" s="272"/>
      <c r="AJ769" s="222"/>
      <c r="AK769" s="222"/>
    </row>
    <row r="770" spans="1:37" ht="23" hidden="1">
      <c r="A770" s="111">
        <v>128</v>
      </c>
      <c r="B770" s="112" t="s">
        <v>979</v>
      </c>
      <c r="C770" s="113" t="s">
        <v>1044</v>
      </c>
      <c r="D770" s="147" t="s">
        <v>1045</v>
      </c>
      <c r="E770" s="114" t="s">
        <v>1046</v>
      </c>
      <c r="F770" s="115" t="s">
        <v>1047</v>
      </c>
      <c r="G770" s="115" t="s">
        <v>990</v>
      </c>
      <c r="H770" s="116">
        <v>13.7471043</v>
      </c>
      <c r="I770" s="116">
        <v>100.5405734</v>
      </c>
      <c r="J770" s="116" t="s">
        <v>969</v>
      </c>
      <c r="K770" s="115" t="s">
        <v>1048</v>
      </c>
      <c r="L770" s="117" t="s">
        <v>1049</v>
      </c>
      <c r="M770" s="117">
        <v>96924134</v>
      </c>
      <c r="N770" s="121" t="s">
        <v>1050</v>
      </c>
      <c r="O770" s="121" t="s">
        <v>984</v>
      </c>
      <c r="P770" s="117" t="s">
        <v>902</v>
      </c>
      <c r="Q770" s="125" t="s">
        <v>972</v>
      </c>
      <c r="R770" s="125" t="s">
        <v>972</v>
      </c>
      <c r="S770" s="125" t="s">
        <v>972</v>
      </c>
      <c r="T770" s="222"/>
      <c r="U770" s="222"/>
      <c r="V770" s="222"/>
      <c r="W770" s="230"/>
      <c r="X770" s="331">
        <f t="shared" si="35"/>
        <v>0</v>
      </c>
      <c r="Y770" s="222"/>
      <c r="Z770" s="272">
        <f t="shared" si="33"/>
        <v>0</v>
      </c>
      <c r="AA770" s="331"/>
      <c r="AB770" s="331"/>
      <c r="AC770" s="331"/>
      <c r="AD770" s="331"/>
      <c r="AE770" s="331"/>
      <c r="AF770" s="331"/>
      <c r="AG770" s="331"/>
      <c r="AH770" s="241">
        <f t="shared" ca="1" si="34"/>
        <v>46153</v>
      </c>
      <c r="AI770" s="272"/>
      <c r="AJ770" s="222"/>
      <c r="AK770" s="222"/>
    </row>
    <row r="771" spans="1:37" ht="23" hidden="1">
      <c r="A771" s="111">
        <v>277</v>
      </c>
      <c r="B771" s="112" t="s">
        <v>1082</v>
      </c>
      <c r="C771" s="113" t="s">
        <v>1195</v>
      </c>
      <c r="D771" s="147" t="s">
        <v>1196</v>
      </c>
      <c r="E771" s="114" t="s">
        <v>1197</v>
      </c>
      <c r="F771" s="115" t="s">
        <v>1047</v>
      </c>
      <c r="G771" s="115" t="s">
        <v>990</v>
      </c>
      <c r="H771" s="116">
        <v>13.7334105</v>
      </c>
      <c r="I771" s="116">
        <v>100.53825929999999</v>
      </c>
      <c r="J771" s="116" t="s">
        <v>969</v>
      </c>
      <c r="K771" s="115" t="s">
        <v>1048</v>
      </c>
      <c r="L771" s="117" t="s">
        <v>1198</v>
      </c>
      <c r="M771" s="117">
        <v>96924133</v>
      </c>
      <c r="N771" s="121" t="s">
        <v>1050</v>
      </c>
      <c r="O771" s="121" t="s">
        <v>984</v>
      </c>
      <c r="P771" s="117" t="s">
        <v>902</v>
      </c>
      <c r="Q771" s="125" t="s">
        <v>972</v>
      </c>
      <c r="R771" s="125" t="s">
        <v>972</v>
      </c>
      <c r="S771" s="125" t="s">
        <v>972</v>
      </c>
      <c r="T771" s="222"/>
      <c r="U771" s="222"/>
      <c r="V771" s="222"/>
      <c r="W771" s="230"/>
      <c r="X771" s="331">
        <f t="shared" si="35"/>
        <v>0</v>
      </c>
      <c r="Y771" s="222"/>
      <c r="Z771" s="272">
        <f t="shared" ref="Z771:Z834" si="36">DATEDIF(X771,Y771,"d")</f>
        <v>0</v>
      </c>
      <c r="AA771" s="331"/>
      <c r="AB771" s="331"/>
      <c r="AC771" s="331"/>
      <c r="AD771" s="331"/>
      <c r="AE771" s="331"/>
      <c r="AF771" s="331"/>
      <c r="AG771" s="331"/>
      <c r="AH771" s="241">
        <f t="shared" ref="AH771:AH834" ca="1" si="37">TODAY()</f>
        <v>46153</v>
      </c>
      <c r="AI771" s="272"/>
      <c r="AJ771" s="222"/>
      <c r="AK771" s="222"/>
    </row>
    <row r="772" spans="1:37" ht="16.5" hidden="1" customHeight="1">
      <c r="A772" s="111">
        <v>642</v>
      </c>
      <c r="B772" s="112" t="s">
        <v>1459</v>
      </c>
      <c r="C772" s="113" t="s">
        <v>1598</v>
      </c>
      <c r="D772" s="147" t="s">
        <v>1599</v>
      </c>
      <c r="E772" s="123" t="s">
        <v>1600</v>
      </c>
      <c r="F772" s="116" t="s">
        <v>1047</v>
      </c>
      <c r="G772" s="116" t="s">
        <v>990</v>
      </c>
      <c r="H772" s="117">
        <v>13.7473767</v>
      </c>
      <c r="I772" s="117">
        <v>100.5406144</v>
      </c>
      <c r="J772" s="116" t="s">
        <v>969</v>
      </c>
      <c r="K772" s="115" t="s">
        <v>1048</v>
      </c>
      <c r="L772" s="118" t="s">
        <v>1601</v>
      </c>
      <c r="M772" s="117">
        <v>96924134</v>
      </c>
      <c r="N772" s="121" t="s">
        <v>1050</v>
      </c>
      <c r="O772" s="121" t="s">
        <v>984</v>
      </c>
      <c r="P772" s="117" t="s">
        <v>902</v>
      </c>
      <c r="Q772" s="125" t="s">
        <v>972</v>
      </c>
      <c r="R772" s="125" t="s">
        <v>972</v>
      </c>
      <c r="S772" s="125" t="s">
        <v>972</v>
      </c>
      <c r="T772" s="222"/>
      <c r="U772" s="222"/>
      <c r="V772" s="222"/>
      <c r="W772" s="230"/>
      <c r="X772" s="331">
        <f t="shared" ref="X772:X835" si="38">V772+(W772)</f>
        <v>0</v>
      </c>
      <c r="Y772" s="222"/>
      <c r="Z772" s="272">
        <f t="shared" si="36"/>
        <v>0</v>
      </c>
      <c r="AA772" s="331"/>
      <c r="AB772" s="331"/>
      <c r="AC772" s="331"/>
      <c r="AD772" s="331"/>
      <c r="AE772" s="331"/>
      <c r="AF772" s="331"/>
      <c r="AG772" s="331"/>
      <c r="AH772" s="241">
        <f t="shared" ca="1" si="37"/>
        <v>46153</v>
      </c>
      <c r="AI772" s="272"/>
      <c r="AJ772" s="222"/>
      <c r="AK772" s="222"/>
    </row>
    <row r="773" spans="1:37" ht="23" hidden="1">
      <c r="A773" s="111">
        <v>1125</v>
      </c>
      <c r="B773" s="112" t="s">
        <v>1086</v>
      </c>
      <c r="C773" s="122" t="s">
        <v>2061</v>
      </c>
      <c r="D773" s="557" t="s">
        <v>2062</v>
      </c>
      <c r="E773" s="114" t="s">
        <v>2063</v>
      </c>
      <c r="F773" s="115" t="s">
        <v>1047</v>
      </c>
      <c r="G773" s="115" t="s">
        <v>990</v>
      </c>
      <c r="H773" s="115">
        <v>13.7328726</v>
      </c>
      <c r="I773" s="115">
        <v>100.53805029999999</v>
      </c>
      <c r="J773" s="116" t="s">
        <v>969</v>
      </c>
      <c r="K773" s="115" t="s">
        <v>1048</v>
      </c>
      <c r="L773" s="117" t="s">
        <v>2064</v>
      </c>
      <c r="M773" s="117">
        <v>96924133</v>
      </c>
      <c r="N773" s="121" t="s">
        <v>1050</v>
      </c>
      <c r="O773" s="121" t="s">
        <v>984</v>
      </c>
      <c r="P773" s="117" t="s">
        <v>902</v>
      </c>
      <c r="Q773" s="125" t="s">
        <v>972</v>
      </c>
      <c r="R773" s="130" t="s">
        <v>972</v>
      </c>
      <c r="S773" s="130" t="s">
        <v>972</v>
      </c>
      <c r="T773" s="274" t="s">
        <v>5212</v>
      </c>
      <c r="U773" s="312" t="s">
        <v>5184</v>
      </c>
      <c r="V773" s="329">
        <v>44922</v>
      </c>
      <c r="W773" s="326">
        <v>4</v>
      </c>
      <c r="X773" s="331">
        <f t="shared" si="38"/>
        <v>44926</v>
      </c>
      <c r="Y773" s="329">
        <v>45004</v>
      </c>
      <c r="Z773" s="332">
        <f t="shared" si="36"/>
        <v>78</v>
      </c>
      <c r="AA773" s="331"/>
      <c r="AB773" s="331"/>
      <c r="AC773" s="331"/>
      <c r="AD773" s="331"/>
      <c r="AE773" s="331"/>
      <c r="AF773" s="331"/>
      <c r="AG773" s="331"/>
      <c r="AH773" s="329">
        <f t="shared" ca="1" si="37"/>
        <v>46153</v>
      </c>
      <c r="AI773" s="330"/>
      <c r="AJ773" s="312" t="s">
        <v>5143</v>
      </c>
      <c r="AK773" s="312" t="s">
        <v>5149</v>
      </c>
    </row>
    <row r="774" spans="1:37" ht="24" hidden="1" customHeight="1">
      <c r="A774" s="111">
        <v>104</v>
      </c>
      <c r="B774" s="112">
        <v>7</v>
      </c>
      <c r="C774" s="113" t="s">
        <v>2360</v>
      </c>
      <c r="D774" s="147" t="s">
        <v>2361</v>
      </c>
      <c r="E774" s="114" t="s">
        <v>2362</v>
      </c>
      <c r="F774" s="115" t="s">
        <v>1047</v>
      </c>
      <c r="G774" s="115" t="s">
        <v>990</v>
      </c>
      <c r="H774" s="116">
        <v>13.732224</v>
      </c>
      <c r="I774" s="116">
        <v>100.537798</v>
      </c>
      <c r="J774" s="116" t="s">
        <v>2097</v>
      </c>
      <c r="K774" s="116" t="s">
        <v>2097</v>
      </c>
      <c r="L774" s="117" t="s">
        <v>2132</v>
      </c>
      <c r="M774" s="121" t="s">
        <v>972</v>
      </c>
      <c r="N774" s="121" t="s">
        <v>1050</v>
      </c>
      <c r="O774" s="121" t="s">
        <v>984</v>
      </c>
      <c r="P774" s="117" t="s">
        <v>902</v>
      </c>
      <c r="Q774" s="125" t="s">
        <v>972</v>
      </c>
      <c r="R774" s="125" t="s">
        <v>972</v>
      </c>
      <c r="S774" s="125" t="s">
        <v>972</v>
      </c>
      <c r="T774" s="222"/>
      <c r="U774" s="222"/>
      <c r="V774" s="222"/>
      <c r="W774" s="230"/>
      <c r="X774" s="331">
        <f t="shared" si="38"/>
        <v>0</v>
      </c>
      <c r="Y774" s="222"/>
      <c r="Z774" s="272">
        <f t="shared" si="36"/>
        <v>0</v>
      </c>
      <c r="AA774" s="331"/>
      <c r="AB774" s="331"/>
      <c r="AC774" s="331"/>
      <c r="AD774" s="331"/>
      <c r="AE774" s="331"/>
      <c r="AF774" s="331"/>
      <c r="AG774" s="331"/>
      <c r="AH774" s="241">
        <f t="shared" ca="1" si="37"/>
        <v>46153</v>
      </c>
      <c r="AI774" s="272"/>
      <c r="AJ774" s="222"/>
      <c r="AK774" s="222"/>
    </row>
    <row r="775" spans="1:37" ht="23.25" hidden="1" customHeight="1">
      <c r="A775" s="111">
        <v>201</v>
      </c>
      <c r="B775" s="112" t="s">
        <v>1553</v>
      </c>
      <c r="C775" s="113" t="s">
        <v>2635</v>
      </c>
      <c r="D775" s="147" t="s">
        <v>2636</v>
      </c>
      <c r="E775" s="114" t="s">
        <v>2637</v>
      </c>
      <c r="F775" s="115" t="s">
        <v>1047</v>
      </c>
      <c r="G775" s="115" t="s">
        <v>990</v>
      </c>
      <c r="H775" s="115">
        <v>13.730938</v>
      </c>
      <c r="I775" s="115">
        <v>100.537187</v>
      </c>
      <c r="J775" s="116" t="s">
        <v>969</v>
      </c>
      <c r="K775" s="115" t="s">
        <v>1048</v>
      </c>
      <c r="L775" s="117" t="s">
        <v>2638</v>
      </c>
      <c r="M775" s="117">
        <v>96929612</v>
      </c>
      <c r="N775" s="121" t="s">
        <v>1050</v>
      </c>
      <c r="O775" s="121" t="s">
        <v>984</v>
      </c>
      <c r="P775" s="117" t="s">
        <v>902</v>
      </c>
      <c r="Q775" s="125" t="s">
        <v>972</v>
      </c>
      <c r="R775" s="125" t="s">
        <v>972</v>
      </c>
      <c r="S775" s="125" t="s">
        <v>972</v>
      </c>
      <c r="T775" s="222"/>
      <c r="U775" s="222"/>
      <c r="V775" s="222"/>
      <c r="W775" s="230"/>
      <c r="X775" s="331">
        <f t="shared" si="38"/>
        <v>0</v>
      </c>
      <c r="Y775" s="222"/>
      <c r="Z775" s="272">
        <f t="shared" si="36"/>
        <v>0</v>
      </c>
      <c r="AA775" s="331"/>
      <c r="AB775" s="331"/>
      <c r="AC775" s="331"/>
      <c r="AD775" s="331"/>
      <c r="AE775" s="331"/>
      <c r="AF775" s="331"/>
      <c r="AG775" s="331"/>
      <c r="AH775" s="241">
        <f t="shared" ca="1" si="37"/>
        <v>46153</v>
      </c>
      <c r="AI775" s="272"/>
      <c r="AJ775" s="222"/>
      <c r="AK775" s="222"/>
    </row>
    <row r="776" spans="1:37" ht="23" hidden="1">
      <c r="A776" s="111">
        <v>352</v>
      </c>
      <c r="B776" s="112">
        <v>9</v>
      </c>
      <c r="C776" s="122" t="s">
        <v>2998</v>
      </c>
      <c r="D776" s="147" t="s">
        <v>2999</v>
      </c>
      <c r="E776" s="123" t="s">
        <v>3000</v>
      </c>
      <c r="F776" s="116" t="s">
        <v>1047</v>
      </c>
      <c r="G776" s="116" t="s">
        <v>990</v>
      </c>
      <c r="H776" s="116">
        <v>13.7368956</v>
      </c>
      <c r="I776" s="116">
        <v>100.5390122</v>
      </c>
      <c r="J776" s="116" t="s">
        <v>969</v>
      </c>
      <c r="K776" s="115" t="s">
        <v>1048</v>
      </c>
      <c r="L776" s="117" t="s">
        <v>3001</v>
      </c>
      <c r="M776" s="117">
        <v>96930577</v>
      </c>
      <c r="N776" s="121" t="s">
        <v>1050</v>
      </c>
      <c r="O776" s="121" t="s">
        <v>984</v>
      </c>
      <c r="P776" s="117" t="s">
        <v>902</v>
      </c>
      <c r="Q776" s="125" t="s">
        <v>972</v>
      </c>
      <c r="R776" s="125" t="s">
        <v>972</v>
      </c>
      <c r="S776" s="125" t="s">
        <v>972</v>
      </c>
      <c r="T776" s="222"/>
      <c r="U776" s="222"/>
      <c r="V776" s="222"/>
      <c r="W776" s="230"/>
      <c r="X776" s="331">
        <f t="shared" si="38"/>
        <v>0</v>
      </c>
      <c r="Y776" s="222"/>
      <c r="Z776" s="272">
        <f t="shared" si="36"/>
        <v>0</v>
      </c>
      <c r="AA776" s="331"/>
      <c r="AB776" s="331"/>
      <c r="AC776" s="331"/>
      <c r="AD776" s="331"/>
      <c r="AE776" s="331"/>
      <c r="AF776" s="331"/>
      <c r="AG776" s="331"/>
      <c r="AH776" s="241">
        <f t="shared" ca="1" si="37"/>
        <v>46153</v>
      </c>
      <c r="AI776" s="272"/>
      <c r="AJ776" s="222"/>
      <c r="AK776" s="222"/>
    </row>
    <row r="777" spans="1:37" ht="23" hidden="1">
      <c r="A777" s="111">
        <v>403</v>
      </c>
      <c r="B777" s="112">
        <v>12</v>
      </c>
      <c r="C777" s="122" t="s">
        <v>3115</v>
      </c>
      <c r="D777" s="147" t="s">
        <v>3116</v>
      </c>
      <c r="E777" s="123" t="s">
        <v>3117</v>
      </c>
      <c r="F777" s="116" t="s">
        <v>1047</v>
      </c>
      <c r="G777" s="116" t="s">
        <v>990</v>
      </c>
      <c r="H777" s="116">
        <v>13.729949899999999</v>
      </c>
      <c r="I777" s="116">
        <v>100.5367103</v>
      </c>
      <c r="J777" s="116" t="s">
        <v>2097</v>
      </c>
      <c r="K777" s="116" t="s">
        <v>2097</v>
      </c>
      <c r="L777" s="117" t="s">
        <v>3118</v>
      </c>
      <c r="M777" s="116" t="s">
        <v>1347</v>
      </c>
      <c r="N777" s="121" t="s">
        <v>1050</v>
      </c>
      <c r="O777" s="121" t="s">
        <v>984</v>
      </c>
      <c r="P777" s="117" t="s">
        <v>902</v>
      </c>
      <c r="Q777" s="125" t="s">
        <v>972</v>
      </c>
      <c r="R777" s="125" t="s">
        <v>972</v>
      </c>
      <c r="S777" s="125" t="s">
        <v>972</v>
      </c>
      <c r="T777" s="222"/>
      <c r="U777" s="222"/>
      <c r="V777" s="222"/>
      <c r="W777" s="230"/>
      <c r="X777" s="331">
        <f t="shared" si="38"/>
        <v>0</v>
      </c>
      <c r="Y777" s="222"/>
      <c r="Z777" s="272">
        <f t="shared" si="36"/>
        <v>0</v>
      </c>
      <c r="AA777" s="331"/>
      <c r="AB777" s="331"/>
      <c r="AC777" s="331"/>
      <c r="AD777" s="331"/>
      <c r="AE777" s="331"/>
      <c r="AF777" s="331"/>
      <c r="AG777" s="331"/>
      <c r="AH777" s="241">
        <f t="shared" ca="1" si="37"/>
        <v>46153</v>
      </c>
      <c r="AI777" s="272"/>
      <c r="AJ777" s="222"/>
      <c r="AK777" s="222"/>
    </row>
    <row r="778" spans="1:37" ht="23" hidden="1">
      <c r="A778" s="111">
        <v>447</v>
      </c>
      <c r="B778" s="112">
        <v>13</v>
      </c>
      <c r="C778" s="113" t="s">
        <v>3221</v>
      </c>
      <c r="D778" s="147" t="s">
        <v>3222</v>
      </c>
      <c r="E778" s="114" t="s">
        <v>3223</v>
      </c>
      <c r="F778" s="115" t="s">
        <v>1047</v>
      </c>
      <c r="G778" s="115" t="s">
        <v>990</v>
      </c>
      <c r="H778" s="116">
        <v>13.732796</v>
      </c>
      <c r="I778" s="116">
        <v>100.537671</v>
      </c>
      <c r="J778" s="116" t="s">
        <v>969</v>
      </c>
      <c r="K778" s="115" t="s">
        <v>1048</v>
      </c>
      <c r="L778" s="117" t="s">
        <v>3224</v>
      </c>
      <c r="M778" s="117">
        <v>96930581</v>
      </c>
      <c r="N778" s="121" t="s">
        <v>1050</v>
      </c>
      <c r="O778" s="121" t="s">
        <v>984</v>
      </c>
      <c r="P778" s="117" t="s">
        <v>902</v>
      </c>
      <c r="Q778" s="125" t="s">
        <v>972</v>
      </c>
      <c r="R778" s="125" t="s">
        <v>972</v>
      </c>
      <c r="S778" s="125" t="s">
        <v>972</v>
      </c>
      <c r="T778" s="222"/>
      <c r="U778" s="222"/>
      <c r="V778" s="222"/>
      <c r="W778" s="230"/>
      <c r="X778" s="331">
        <f t="shared" si="38"/>
        <v>0</v>
      </c>
      <c r="Y778" s="222"/>
      <c r="Z778" s="272">
        <f t="shared" si="36"/>
        <v>0</v>
      </c>
      <c r="AA778" s="331"/>
      <c r="AB778" s="331"/>
      <c r="AC778" s="331"/>
      <c r="AD778" s="331"/>
      <c r="AE778" s="331"/>
      <c r="AF778" s="331"/>
      <c r="AG778" s="331"/>
      <c r="AH778" s="241">
        <f t="shared" ca="1" si="37"/>
        <v>46153</v>
      </c>
      <c r="AI778" s="272"/>
      <c r="AJ778" s="222"/>
      <c r="AK778" s="222"/>
    </row>
    <row r="779" spans="1:37" ht="23.25" hidden="1" customHeight="1">
      <c r="A779" s="111">
        <v>448</v>
      </c>
      <c r="B779" s="112" t="s">
        <v>985</v>
      </c>
      <c r="C779" s="113" t="s">
        <v>3225</v>
      </c>
      <c r="D779" s="147" t="s">
        <v>3226</v>
      </c>
      <c r="E779" s="114" t="s">
        <v>3227</v>
      </c>
      <c r="F779" s="115" t="s">
        <v>1047</v>
      </c>
      <c r="G779" s="115" t="s">
        <v>990</v>
      </c>
      <c r="H779" s="116">
        <v>13.7353086</v>
      </c>
      <c r="I779" s="116">
        <v>100.5387319</v>
      </c>
      <c r="J779" s="116" t="s">
        <v>969</v>
      </c>
      <c r="K779" s="115" t="s">
        <v>1048</v>
      </c>
      <c r="L779" s="117" t="s">
        <v>3228</v>
      </c>
      <c r="M779" s="117">
        <v>96930577</v>
      </c>
      <c r="N779" s="121" t="s">
        <v>1050</v>
      </c>
      <c r="O779" s="121" t="s">
        <v>984</v>
      </c>
      <c r="P779" s="117" t="s">
        <v>902</v>
      </c>
      <c r="Q779" s="125" t="s">
        <v>972</v>
      </c>
      <c r="R779" s="125" t="s">
        <v>972</v>
      </c>
      <c r="S779" s="125" t="s">
        <v>972</v>
      </c>
      <c r="T779" s="222"/>
      <c r="U779" s="222"/>
      <c r="V779" s="222"/>
      <c r="W779" s="230"/>
      <c r="X779" s="331">
        <f t="shared" si="38"/>
        <v>0</v>
      </c>
      <c r="Y779" s="222"/>
      <c r="Z779" s="272">
        <f t="shared" si="36"/>
        <v>0</v>
      </c>
      <c r="AA779" s="331"/>
      <c r="AB779" s="331"/>
      <c r="AC779" s="331"/>
      <c r="AD779" s="331"/>
      <c r="AE779" s="331"/>
      <c r="AF779" s="331"/>
      <c r="AG779" s="331"/>
      <c r="AH779" s="241">
        <f t="shared" ca="1" si="37"/>
        <v>46153</v>
      </c>
      <c r="AI779" s="272"/>
      <c r="AJ779" s="222"/>
      <c r="AK779" s="222"/>
    </row>
    <row r="780" spans="1:37" ht="23.25" hidden="1" customHeight="1">
      <c r="A780" s="111">
        <v>550</v>
      </c>
      <c r="B780" s="112">
        <v>4</v>
      </c>
      <c r="C780" s="122" t="s">
        <v>3481</v>
      </c>
      <c r="D780" s="147" t="s">
        <v>3482</v>
      </c>
      <c r="E780" s="123" t="s">
        <v>3483</v>
      </c>
      <c r="F780" s="116" t="s">
        <v>1047</v>
      </c>
      <c r="G780" s="116" t="s">
        <v>990</v>
      </c>
      <c r="H780" s="116">
        <v>13.7403496</v>
      </c>
      <c r="I780" s="116">
        <v>100.5395513</v>
      </c>
      <c r="J780" s="116" t="s">
        <v>2097</v>
      </c>
      <c r="K780" s="116" t="s">
        <v>2097</v>
      </c>
      <c r="L780" s="117" t="s">
        <v>2098</v>
      </c>
      <c r="M780" s="116" t="s">
        <v>1347</v>
      </c>
      <c r="N780" s="121" t="s">
        <v>1050</v>
      </c>
      <c r="O780" s="121" t="s">
        <v>984</v>
      </c>
      <c r="P780" s="117" t="s">
        <v>902</v>
      </c>
      <c r="Q780" s="125" t="s">
        <v>972</v>
      </c>
      <c r="R780" s="125" t="s">
        <v>972</v>
      </c>
      <c r="S780" s="125" t="s">
        <v>972</v>
      </c>
      <c r="T780" s="305" t="s">
        <v>5212</v>
      </c>
      <c r="U780" s="305" t="s">
        <v>5263</v>
      </c>
      <c r="V780" s="306">
        <v>45103</v>
      </c>
      <c r="W780" s="326">
        <v>4</v>
      </c>
      <c r="X780" s="331">
        <f t="shared" si="38"/>
        <v>45107</v>
      </c>
      <c r="Y780" s="331">
        <v>45132</v>
      </c>
      <c r="Z780" s="332">
        <f t="shared" si="36"/>
        <v>25</v>
      </c>
      <c r="AA780" s="331"/>
      <c r="AB780" s="331"/>
      <c r="AC780" s="331"/>
      <c r="AD780" s="331"/>
      <c r="AE780" s="331"/>
      <c r="AF780" s="331"/>
      <c r="AG780" s="331"/>
      <c r="AH780" s="331">
        <f t="shared" ca="1" si="37"/>
        <v>46153</v>
      </c>
      <c r="AI780" s="332"/>
      <c r="AJ780" s="312" t="s">
        <v>5143</v>
      </c>
      <c r="AK780" s="305" t="s">
        <v>5149</v>
      </c>
    </row>
    <row r="781" spans="1:37" ht="16.5" hidden="1" customHeight="1">
      <c r="A781" s="111">
        <v>730</v>
      </c>
      <c r="B781" s="112" t="s">
        <v>1569</v>
      </c>
      <c r="C781" s="113" t="s">
        <v>3935</v>
      </c>
      <c r="D781" s="147" t="s">
        <v>3936</v>
      </c>
      <c r="E781" s="114" t="s">
        <v>3937</v>
      </c>
      <c r="F781" s="115" t="s">
        <v>1047</v>
      </c>
      <c r="G781" s="115" t="s">
        <v>990</v>
      </c>
      <c r="H781" s="115">
        <v>13.7305323</v>
      </c>
      <c r="I781" s="115">
        <v>100.5371767</v>
      </c>
      <c r="J781" s="116" t="s">
        <v>2097</v>
      </c>
      <c r="K781" s="116" t="s">
        <v>2097</v>
      </c>
      <c r="L781" s="117" t="s">
        <v>3938</v>
      </c>
      <c r="M781" s="116" t="s">
        <v>1347</v>
      </c>
      <c r="N781" s="121" t="s">
        <v>1050</v>
      </c>
      <c r="O781" s="121" t="s">
        <v>984</v>
      </c>
      <c r="P781" s="117" t="s">
        <v>902</v>
      </c>
      <c r="Q781" s="125" t="s">
        <v>972</v>
      </c>
      <c r="R781" s="130" t="s">
        <v>972</v>
      </c>
      <c r="S781" s="125" t="s">
        <v>972</v>
      </c>
      <c r="T781" s="222"/>
      <c r="U781" s="222"/>
      <c r="V781" s="222"/>
      <c r="W781" s="230"/>
      <c r="X781" s="331">
        <f t="shared" si="38"/>
        <v>0</v>
      </c>
      <c r="Y781" s="222"/>
      <c r="Z781" s="272">
        <f t="shared" si="36"/>
        <v>0</v>
      </c>
      <c r="AA781" s="331"/>
      <c r="AB781" s="331"/>
      <c r="AC781" s="331"/>
      <c r="AD781" s="331"/>
      <c r="AE781" s="331"/>
      <c r="AF781" s="331"/>
      <c r="AG781" s="331"/>
      <c r="AH781" s="241">
        <f t="shared" ca="1" si="37"/>
        <v>46153</v>
      </c>
      <c r="AI781" s="272"/>
      <c r="AJ781" s="222"/>
      <c r="AK781" s="222"/>
    </row>
    <row r="782" spans="1:37" ht="23" hidden="1">
      <c r="A782" s="111">
        <v>1120</v>
      </c>
      <c r="B782" s="112" t="s">
        <v>1071</v>
      </c>
      <c r="C782" s="122" t="s">
        <v>4899</v>
      </c>
      <c r="D782" s="147" t="s">
        <v>4900</v>
      </c>
      <c r="E782" s="123" t="s">
        <v>4901</v>
      </c>
      <c r="F782" s="116" t="s">
        <v>1047</v>
      </c>
      <c r="G782" s="116" t="s">
        <v>990</v>
      </c>
      <c r="H782" s="146">
        <v>13.7469</v>
      </c>
      <c r="I782" s="146">
        <v>100.54045499999999</v>
      </c>
      <c r="J782" s="116" t="s">
        <v>2097</v>
      </c>
      <c r="K782" s="121" t="s">
        <v>2097</v>
      </c>
      <c r="L782" s="121" t="s">
        <v>4902</v>
      </c>
      <c r="M782" s="121">
        <v>13039044</v>
      </c>
      <c r="N782" s="121" t="s">
        <v>972</v>
      </c>
      <c r="O782" s="121"/>
      <c r="P782" s="127" t="s">
        <v>1076</v>
      </c>
      <c r="Q782" s="129" t="s">
        <v>972</v>
      </c>
      <c r="R782" s="119" t="s">
        <v>972</v>
      </c>
      <c r="S782" s="119" t="s">
        <v>972</v>
      </c>
      <c r="T782" s="222"/>
      <c r="U782" s="222"/>
      <c r="V782" s="222"/>
      <c r="W782" s="230"/>
      <c r="X782" s="331">
        <f t="shared" si="38"/>
        <v>0</v>
      </c>
      <c r="Y782" s="222"/>
      <c r="Z782" s="272">
        <f t="shared" si="36"/>
        <v>0</v>
      </c>
      <c r="AA782" s="331"/>
      <c r="AB782" s="331"/>
      <c r="AC782" s="331"/>
      <c r="AD782" s="331"/>
      <c r="AE782" s="331"/>
      <c r="AF782" s="331"/>
      <c r="AG782" s="331"/>
      <c r="AH782" s="241">
        <f t="shared" ca="1" si="37"/>
        <v>46153</v>
      </c>
      <c r="AI782" s="272"/>
      <c r="AJ782" s="222"/>
      <c r="AK782" s="222"/>
    </row>
    <row r="783" spans="1:37" ht="23.25" hidden="1" customHeight="1">
      <c r="A783" s="111">
        <v>1124</v>
      </c>
      <c r="B783" s="112">
        <v>4</v>
      </c>
      <c r="C783" s="122" t="s">
        <v>4910</v>
      </c>
      <c r="D783" s="147" t="s">
        <v>4911</v>
      </c>
      <c r="E783" s="123" t="s">
        <v>4912</v>
      </c>
      <c r="F783" s="116" t="s">
        <v>1047</v>
      </c>
      <c r="G783" s="116" t="s">
        <v>990</v>
      </c>
      <c r="H783" s="116">
        <v>13.7317201</v>
      </c>
      <c r="I783" s="116">
        <v>100.53742889999999</v>
      </c>
      <c r="J783" s="116" t="s">
        <v>969</v>
      </c>
      <c r="K783" s="115" t="s">
        <v>1048</v>
      </c>
      <c r="L783" s="118" t="s">
        <v>3224</v>
      </c>
      <c r="M783" s="121">
        <v>96930581</v>
      </c>
      <c r="N783" s="121" t="s">
        <v>1050</v>
      </c>
      <c r="O783" s="121" t="s">
        <v>984</v>
      </c>
      <c r="P783" s="117" t="s">
        <v>902</v>
      </c>
      <c r="Q783" s="125" t="s">
        <v>972</v>
      </c>
      <c r="R783" s="125" t="s">
        <v>972</v>
      </c>
      <c r="S783" s="125" t="s">
        <v>972</v>
      </c>
      <c r="T783" s="222"/>
      <c r="U783" s="222"/>
      <c r="V783" s="222"/>
      <c r="W783" s="230"/>
      <c r="X783" s="331">
        <f t="shared" si="38"/>
        <v>0</v>
      </c>
      <c r="Y783" s="222"/>
      <c r="Z783" s="272">
        <f t="shared" si="36"/>
        <v>0</v>
      </c>
      <c r="AA783" s="331"/>
      <c r="AB783" s="331"/>
      <c r="AC783" s="331"/>
      <c r="AD783" s="331"/>
      <c r="AE783" s="331"/>
      <c r="AF783" s="331"/>
      <c r="AG783" s="331"/>
      <c r="AH783" s="241">
        <f t="shared" ca="1" si="37"/>
        <v>46153</v>
      </c>
      <c r="AI783" s="272"/>
      <c r="AJ783" s="222"/>
      <c r="AK783" s="222"/>
    </row>
    <row r="784" spans="1:37" ht="23.25" hidden="1" customHeight="1">
      <c r="A784" s="111">
        <v>1126</v>
      </c>
      <c r="B784" s="128" t="s">
        <v>1022</v>
      </c>
      <c r="C784" s="113" t="s">
        <v>4913</v>
      </c>
      <c r="D784" s="147" t="s">
        <v>4914</v>
      </c>
      <c r="E784" s="114" t="s">
        <v>4915</v>
      </c>
      <c r="F784" s="115" t="s">
        <v>1047</v>
      </c>
      <c r="G784" s="115" t="s">
        <v>990</v>
      </c>
      <c r="H784" s="116">
        <v>13.737178999999999</v>
      </c>
      <c r="I784" s="116">
        <v>100.539053</v>
      </c>
      <c r="J784" s="116" t="s">
        <v>969</v>
      </c>
      <c r="K784" s="115" t="s">
        <v>1048</v>
      </c>
      <c r="L784" s="117" t="s">
        <v>4916</v>
      </c>
      <c r="M784" s="117">
        <v>96930578</v>
      </c>
      <c r="N784" s="121" t="s">
        <v>1050</v>
      </c>
      <c r="O784" s="121" t="s">
        <v>984</v>
      </c>
      <c r="P784" s="117" t="s">
        <v>902</v>
      </c>
      <c r="Q784" s="125" t="s">
        <v>972</v>
      </c>
      <c r="R784" s="125" t="s">
        <v>972</v>
      </c>
      <c r="S784" s="125" t="s">
        <v>972</v>
      </c>
      <c r="T784" s="222"/>
      <c r="U784" s="222"/>
      <c r="V784" s="222"/>
      <c r="W784" s="230"/>
      <c r="X784" s="331">
        <f t="shared" si="38"/>
        <v>0</v>
      </c>
      <c r="Y784" s="222"/>
      <c r="Z784" s="272">
        <f t="shared" si="36"/>
        <v>0</v>
      </c>
      <c r="AA784" s="331"/>
      <c r="AB784" s="331"/>
      <c r="AC784" s="331"/>
      <c r="AD784" s="331"/>
      <c r="AE784" s="331"/>
      <c r="AF784" s="331"/>
      <c r="AG784" s="331"/>
      <c r="AH784" s="241">
        <f t="shared" ca="1" si="37"/>
        <v>46153</v>
      </c>
      <c r="AI784" s="272"/>
      <c r="AJ784" s="222"/>
      <c r="AK784" s="222"/>
    </row>
    <row r="785" spans="1:37" ht="23" hidden="1">
      <c r="A785" s="111">
        <v>1127</v>
      </c>
      <c r="B785" s="112">
        <v>8</v>
      </c>
      <c r="C785" s="113" t="s">
        <v>4917</v>
      </c>
      <c r="D785" s="147" t="s">
        <v>4918</v>
      </c>
      <c r="E785" s="114" t="s">
        <v>4919</v>
      </c>
      <c r="F785" s="115" t="s">
        <v>1047</v>
      </c>
      <c r="G785" s="115" t="s">
        <v>990</v>
      </c>
      <c r="H785" s="116">
        <v>13.741966</v>
      </c>
      <c r="I785" s="116">
        <v>100.539923</v>
      </c>
      <c r="J785" s="116" t="s">
        <v>969</v>
      </c>
      <c r="K785" s="115" t="s">
        <v>1048</v>
      </c>
      <c r="L785" s="117" t="s">
        <v>4920</v>
      </c>
      <c r="M785" s="117">
        <v>96929613</v>
      </c>
      <c r="N785" s="121" t="s">
        <v>1050</v>
      </c>
      <c r="O785" s="121" t="s">
        <v>984</v>
      </c>
      <c r="P785" s="117" t="s">
        <v>902</v>
      </c>
      <c r="Q785" s="125" t="s">
        <v>972</v>
      </c>
      <c r="R785" s="130" t="s">
        <v>972</v>
      </c>
      <c r="S785" s="125" t="s">
        <v>972</v>
      </c>
      <c r="T785" s="222"/>
      <c r="U785" s="222"/>
      <c r="V785" s="222"/>
      <c r="W785" s="230"/>
      <c r="X785" s="331">
        <f t="shared" si="38"/>
        <v>0</v>
      </c>
      <c r="Y785" s="222"/>
      <c r="Z785" s="272">
        <f t="shared" si="36"/>
        <v>0</v>
      </c>
      <c r="AA785" s="331"/>
      <c r="AB785" s="331"/>
      <c r="AC785" s="331"/>
      <c r="AD785" s="331"/>
      <c r="AE785" s="331"/>
      <c r="AF785" s="331"/>
      <c r="AG785" s="331"/>
      <c r="AH785" s="241">
        <f t="shared" ca="1" si="37"/>
        <v>46153</v>
      </c>
      <c r="AI785" s="272"/>
      <c r="AJ785" s="222"/>
      <c r="AK785" s="222"/>
    </row>
    <row r="786" spans="1:37" s="345" customFormat="1" ht="23.25" hidden="1" customHeight="1">
      <c r="A786" s="111">
        <v>1129</v>
      </c>
      <c r="B786" s="112" t="s">
        <v>1071</v>
      </c>
      <c r="C786" s="122" t="s">
        <v>4924</v>
      </c>
      <c r="D786" s="147" t="s">
        <v>4925</v>
      </c>
      <c r="E786" s="123" t="s">
        <v>4926</v>
      </c>
      <c r="F786" s="116" t="s">
        <v>1047</v>
      </c>
      <c r="G786" s="116" t="s">
        <v>990</v>
      </c>
      <c r="H786" s="146">
        <v>13.746409</v>
      </c>
      <c r="I786" s="146">
        <v>100.54432199999999</v>
      </c>
      <c r="J786" s="116" t="s">
        <v>2097</v>
      </c>
      <c r="K786" s="121" t="s">
        <v>2097</v>
      </c>
      <c r="L786" s="121" t="s">
        <v>4927</v>
      </c>
      <c r="M786" s="116" t="s">
        <v>1347</v>
      </c>
      <c r="N786" s="121" t="s">
        <v>972</v>
      </c>
      <c r="O786" s="121"/>
      <c r="P786" s="127" t="s">
        <v>1076</v>
      </c>
      <c r="Q786" s="129" t="s">
        <v>972</v>
      </c>
      <c r="R786" s="119" t="s">
        <v>972</v>
      </c>
      <c r="S786" s="119" t="s">
        <v>972</v>
      </c>
      <c r="T786" s="222"/>
      <c r="U786" s="222"/>
      <c r="V786" s="222"/>
      <c r="W786" s="230"/>
      <c r="X786" s="331">
        <f t="shared" si="38"/>
        <v>0</v>
      </c>
      <c r="Y786" s="222"/>
      <c r="Z786" s="272">
        <f t="shared" si="36"/>
        <v>0</v>
      </c>
      <c r="AA786" s="331"/>
      <c r="AB786" s="331"/>
      <c r="AC786" s="331"/>
      <c r="AD786" s="331"/>
      <c r="AE786" s="331"/>
      <c r="AF786" s="331"/>
      <c r="AG786" s="331"/>
      <c r="AH786" s="241">
        <f t="shared" ca="1" si="37"/>
        <v>46153</v>
      </c>
      <c r="AI786" s="272"/>
      <c r="AJ786" s="222"/>
      <c r="AK786" s="222"/>
    </row>
    <row r="787" spans="1:37" ht="23" hidden="1">
      <c r="A787" s="111">
        <v>1131</v>
      </c>
      <c r="B787" s="112">
        <v>8</v>
      </c>
      <c r="C787" s="113" t="s">
        <v>4931</v>
      </c>
      <c r="D787" s="147" t="s">
        <v>4932</v>
      </c>
      <c r="E787" s="114" t="s">
        <v>4933</v>
      </c>
      <c r="F787" s="115" t="s">
        <v>1047</v>
      </c>
      <c r="G787" s="115" t="s">
        <v>990</v>
      </c>
      <c r="H787" s="116">
        <v>13.734099499999999</v>
      </c>
      <c r="I787" s="116">
        <v>100.5383532</v>
      </c>
      <c r="J787" s="115" t="s">
        <v>2108</v>
      </c>
      <c r="K787" s="115" t="s">
        <v>2136</v>
      </c>
      <c r="L787" s="117" t="s">
        <v>4934</v>
      </c>
      <c r="M787" s="121" t="s">
        <v>972</v>
      </c>
      <c r="N787" s="121" t="s">
        <v>972</v>
      </c>
      <c r="O787" s="121" t="s">
        <v>984</v>
      </c>
      <c r="P787" s="117" t="s">
        <v>902</v>
      </c>
      <c r="Q787" s="125" t="s">
        <v>972</v>
      </c>
      <c r="R787" s="125" t="s">
        <v>972</v>
      </c>
      <c r="S787" s="125" t="s">
        <v>972</v>
      </c>
      <c r="T787" s="222"/>
      <c r="U787" s="222"/>
      <c r="V787" s="222"/>
      <c r="W787" s="230"/>
      <c r="X787" s="331">
        <f t="shared" si="38"/>
        <v>0</v>
      </c>
      <c r="Y787" s="222"/>
      <c r="Z787" s="272">
        <f t="shared" si="36"/>
        <v>0</v>
      </c>
      <c r="AA787" s="331"/>
      <c r="AB787" s="331"/>
      <c r="AC787" s="331"/>
      <c r="AD787" s="331"/>
      <c r="AE787" s="331"/>
      <c r="AF787" s="331"/>
      <c r="AG787" s="331"/>
      <c r="AH787" s="241">
        <f t="shared" ca="1" si="37"/>
        <v>46153</v>
      </c>
      <c r="AI787" s="272"/>
      <c r="AJ787" s="222"/>
      <c r="AK787" s="222"/>
    </row>
    <row r="788" spans="1:37" ht="23.25" hidden="1" customHeight="1">
      <c r="A788" s="111">
        <v>273</v>
      </c>
      <c r="B788" s="112">
        <v>10</v>
      </c>
      <c r="C788" s="113" t="s">
        <v>1187</v>
      </c>
      <c r="D788" s="147" t="s">
        <v>1188</v>
      </c>
      <c r="E788" s="114" t="s">
        <v>1189</v>
      </c>
      <c r="F788" s="115" t="s">
        <v>1190</v>
      </c>
      <c r="G788" s="115" t="s">
        <v>957</v>
      </c>
      <c r="H788" s="116">
        <v>13.758393</v>
      </c>
      <c r="I788" s="116">
        <v>100.542496</v>
      </c>
      <c r="J788" s="116" t="s">
        <v>890</v>
      </c>
      <c r="K788" s="117" t="s">
        <v>891</v>
      </c>
      <c r="L788" s="118" t="s">
        <v>891</v>
      </c>
      <c r="M788" s="117">
        <v>96894801</v>
      </c>
      <c r="N788" s="117" t="s">
        <v>892</v>
      </c>
      <c r="O788" s="121" t="s">
        <v>984</v>
      </c>
      <c r="P788" s="118" t="s">
        <v>902</v>
      </c>
      <c r="Q788" s="118">
        <v>80057501</v>
      </c>
      <c r="R788" s="119" t="s">
        <v>895</v>
      </c>
      <c r="S788" s="119" t="s">
        <v>895</v>
      </c>
      <c r="T788" s="222"/>
      <c r="U788" s="222"/>
      <c r="V788" s="222"/>
      <c r="W788" s="230"/>
      <c r="X788" s="331">
        <f t="shared" si="38"/>
        <v>0</v>
      </c>
      <c r="Y788" s="222"/>
      <c r="Z788" s="272">
        <f t="shared" si="36"/>
        <v>0</v>
      </c>
      <c r="AA788" s="331"/>
      <c r="AB788" s="331"/>
      <c r="AC788" s="331"/>
      <c r="AD788" s="331"/>
      <c r="AE788" s="331"/>
      <c r="AF788" s="331"/>
      <c r="AG788" s="331"/>
      <c r="AH788" s="241">
        <f t="shared" ca="1" si="37"/>
        <v>46153</v>
      </c>
      <c r="AI788" s="272"/>
      <c r="AJ788" s="222"/>
      <c r="AK788" s="222"/>
    </row>
    <row r="789" spans="1:37" ht="23.25" hidden="1" customHeight="1">
      <c r="A789" s="111">
        <v>278</v>
      </c>
      <c r="B789" s="112" t="s">
        <v>919</v>
      </c>
      <c r="C789" s="122" t="s">
        <v>2834</v>
      </c>
      <c r="D789" s="147" t="s">
        <v>2835</v>
      </c>
      <c r="E789" s="123" t="s">
        <v>2836</v>
      </c>
      <c r="F789" s="116" t="s">
        <v>1190</v>
      </c>
      <c r="G789" s="116" t="s">
        <v>957</v>
      </c>
      <c r="H789" s="116">
        <v>13.756192199999999</v>
      </c>
      <c r="I789" s="116">
        <v>100.5424945</v>
      </c>
      <c r="J789" s="115" t="s">
        <v>2108</v>
      </c>
      <c r="K789" s="117" t="s">
        <v>2109</v>
      </c>
      <c r="L789" s="117" t="s">
        <v>2110</v>
      </c>
      <c r="M789" s="121" t="s">
        <v>972</v>
      </c>
      <c r="N789" s="121" t="s">
        <v>972</v>
      </c>
      <c r="O789" s="121" t="s">
        <v>984</v>
      </c>
      <c r="P789" s="118" t="s">
        <v>1876</v>
      </c>
      <c r="Q789" s="125" t="s">
        <v>972</v>
      </c>
      <c r="R789" s="125" t="s">
        <v>972</v>
      </c>
      <c r="S789" s="125" t="s">
        <v>972</v>
      </c>
      <c r="T789" s="305" t="s">
        <v>5212</v>
      </c>
      <c r="U789" s="312" t="s">
        <v>5184</v>
      </c>
      <c r="V789" s="329">
        <v>45005</v>
      </c>
      <c r="W789" s="326">
        <v>4</v>
      </c>
      <c r="X789" s="331">
        <f t="shared" si="38"/>
        <v>45009</v>
      </c>
      <c r="Y789" s="329">
        <v>45021</v>
      </c>
      <c r="Z789" s="332">
        <f t="shared" si="36"/>
        <v>12</v>
      </c>
      <c r="AA789" s="331"/>
      <c r="AB789" s="331"/>
      <c r="AC789" s="331"/>
      <c r="AD789" s="331"/>
      <c r="AE789" s="331"/>
      <c r="AF789" s="331"/>
      <c r="AG789" s="331"/>
      <c r="AH789" s="329">
        <f t="shared" ca="1" si="37"/>
        <v>46153</v>
      </c>
      <c r="AI789" s="330"/>
      <c r="AJ789" s="312" t="s">
        <v>5143</v>
      </c>
      <c r="AK789" s="312"/>
    </row>
    <row r="790" spans="1:37" ht="23.25" hidden="1" customHeight="1">
      <c r="A790" s="111">
        <v>557</v>
      </c>
      <c r="B790" s="112">
        <v>5</v>
      </c>
      <c r="C790" s="113" t="s">
        <v>3500</v>
      </c>
      <c r="D790" s="147" t="s">
        <v>3501</v>
      </c>
      <c r="E790" s="114" t="s">
        <v>3502</v>
      </c>
      <c r="F790" s="115" t="s">
        <v>1190</v>
      </c>
      <c r="G790" s="115" t="s">
        <v>957</v>
      </c>
      <c r="H790" s="116">
        <v>13.759793999999999</v>
      </c>
      <c r="I790" s="116">
        <v>100.54253</v>
      </c>
      <c r="J790" s="116" t="s">
        <v>969</v>
      </c>
      <c r="K790" s="116" t="s">
        <v>970</v>
      </c>
      <c r="L790" s="117" t="s">
        <v>3503</v>
      </c>
      <c r="M790" s="121">
        <v>96924154</v>
      </c>
      <c r="N790" s="121" t="s">
        <v>892</v>
      </c>
      <c r="O790" s="121" t="s">
        <v>984</v>
      </c>
      <c r="P790" s="117" t="s">
        <v>902</v>
      </c>
      <c r="Q790" s="125" t="s">
        <v>972</v>
      </c>
      <c r="R790" s="125" t="s">
        <v>972</v>
      </c>
      <c r="S790" s="125" t="s">
        <v>972</v>
      </c>
      <c r="T790" s="222"/>
      <c r="U790" s="222"/>
      <c r="V790" s="222"/>
      <c r="W790" s="230"/>
      <c r="X790" s="331">
        <f t="shared" si="38"/>
        <v>0</v>
      </c>
      <c r="Y790" s="222"/>
      <c r="Z790" s="272">
        <f t="shared" si="36"/>
        <v>0</v>
      </c>
      <c r="AA790" s="331"/>
      <c r="AB790" s="331"/>
      <c r="AC790" s="331"/>
      <c r="AD790" s="331"/>
      <c r="AE790" s="331"/>
      <c r="AF790" s="331"/>
      <c r="AG790" s="331"/>
      <c r="AH790" s="241">
        <f t="shared" ca="1" si="37"/>
        <v>46153</v>
      </c>
      <c r="AI790" s="272"/>
      <c r="AJ790" s="222"/>
      <c r="AK790" s="222"/>
    </row>
    <row r="791" spans="1:37" ht="23.25" hidden="1" customHeight="1">
      <c r="A791" s="111">
        <v>558</v>
      </c>
      <c r="B791" s="112">
        <v>6</v>
      </c>
      <c r="C791" s="113" t="s">
        <v>3504</v>
      </c>
      <c r="D791" s="147" t="s">
        <v>3505</v>
      </c>
      <c r="E791" s="114" t="s">
        <v>3506</v>
      </c>
      <c r="F791" s="115" t="s">
        <v>1190</v>
      </c>
      <c r="G791" s="115" t="s">
        <v>957</v>
      </c>
      <c r="H791" s="116">
        <v>13.760576199999999</v>
      </c>
      <c r="I791" s="116">
        <v>100.5425412</v>
      </c>
      <c r="J791" s="116" t="s">
        <v>969</v>
      </c>
      <c r="K791" s="115" t="s">
        <v>1048</v>
      </c>
      <c r="L791" s="117" t="s">
        <v>3507</v>
      </c>
      <c r="M791" s="117">
        <v>96924154</v>
      </c>
      <c r="N791" s="121" t="s">
        <v>892</v>
      </c>
      <c r="O791" s="121" t="s">
        <v>984</v>
      </c>
      <c r="P791" s="117" t="s">
        <v>902</v>
      </c>
      <c r="Q791" s="125" t="s">
        <v>972</v>
      </c>
      <c r="R791" s="125" t="s">
        <v>972</v>
      </c>
      <c r="S791" s="125" t="s">
        <v>972</v>
      </c>
      <c r="T791" s="222"/>
      <c r="U791" s="222"/>
      <c r="V791" s="222"/>
      <c r="W791" s="230"/>
      <c r="X791" s="331">
        <f t="shared" si="38"/>
        <v>0</v>
      </c>
      <c r="Y791" s="222"/>
      <c r="Z791" s="272">
        <f t="shared" si="36"/>
        <v>0</v>
      </c>
      <c r="AA791" s="331"/>
      <c r="AB791" s="331"/>
      <c r="AC791" s="331"/>
      <c r="AD791" s="331"/>
      <c r="AE791" s="331"/>
      <c r="AF791" s="331"/>
      <c r="AG791" s="331"/>
      <c r="AH791" s="241">
        <f t="shared" ca="1" si="37"/>
        <v>46153</v>
      </c>
      <c r="AI791" s="272"/>
      <c r="AJ791" s="222"/>
      <c r="AK791" s="222"/>
    </row>
    <row r="792" spans="1:37" ht="23" hidden="1">
      <c r="A792" s="111">
        <v>779</v>
      </c>
      <c r="B792" s="112">
        <v>7</v>
      </c>
      <c r="C792" s="113" t="s">
        <v>4042</v>
      </c>
      <c r="D792" s="147" t="s">
        <v>4043</v>
      </c>
      <c r="E792" s="114" t="s">
        <v>4044</v>
      </c>
      <c r="F792" s="115" t="s">
        <v>1190</v>
      </c>
      <c r="G792" s="115" t="s">
        <v>957</v>
      </c>
      <c r="H792" s="116">
        <v>13.760778</v>
      </c>
      <c r="I792" s="116">
        <v>100.54254299999999</v>
      </c>
      <c r="J792" s="116" t="s">
        <v>969</v>
      </c>
      <c r="K792" s="115" t="s">
        <v>1048</v>
      </c>
      <c r="L792" s="117" t="s">
        <v>4045</v>
      </c>
      <c r="M792" s="117">
        <v>96924155</v>
      </c>
      <c r="N792" s="121" t="s">
        <v>892</v>
      </c>
      <c r="O792" s="121" t="s">
        <v>984</v>
      </c>
      <c r="P792" s="117" t="s">
        <v>902</v>
      </c>
      <c r="Q792" s="125" t="s">
        <v>972</v>
      </c>
      <c r="R792" s="125" t="s">
        <v>972</v>
      </c>
      <c r="S792" s="125" t="s">
        <v>972</v>
      </c>
      <c r="T792" s="222"/>
      <c r="U792" s="222"/>
      <c r="V792" s="222"/>
      <c r="W792" s="230"/>
      <c r="X792" s="331">
        <f t="shared" si="38"/>
        <v>0</v>
      </c>
      <c r="Y792" s="222"/>
      <c r="Z792" s="272">
        <f t="shared" si="36"/>
        <v>0</v>
      </c>
      <c r="AA792" s="331"/>
      <c r="AB792" s="331"/>
      <c r="AC792" s="331"/>
      <c r="AD792" s="331"/>
      <c r="AE792" s="331"/>
      <c r="AF792" s="331"/>
      <c r="AG792" s="331"/>
      <c r="AH792" s="241">
        <f t="shared" ca="1" si="37"/>
        <v>46153</v>
      </c>
      <c r="AI792" s="272"/>
      <c r="AJ792" s="222"/>
      <c r="AK792" s="222"/>
    </row>
    <row r="793" spans="1:37" ht="23" hidden="1">
      <c r="A793" s="111">
        <v>1038</v>
      </c>
      <c r="B793" s="112">
        <v>9</v>
      </c>
      <c r="C793" s="122" t="s">
        <v>4707</v>
      </c>
      <c r="D793" s="147" t="s">
        <v>4708</v>
      </c>
      <c r="E793" s="114" t="s">
        <v>4709</v>
      </c>
      <c r="F793" s="115" t="s">
        <v>1190</v>
      </c>
      <c r="G793" s="115" t="s">
        <v>957</v>
      </c>
      <c r="H793" s="116">
        <v>13.762907999999999</v>
      </c>
      <c r="I793" s="116">
        <v>100.54295020000001</v>
      </c>
      <c r="J793" s="116" t="s">
        <v>2097</v>
      </c>
      <c r="K793" s="116" t="s">
        <v>2097</v>
      </c>
      <c r="L793" s="118" t="s">
        <v>4710</v>
      </c>
      <c r="M793" s="116" t="s">
        <v>1347</v>
      </c>
      <c r="N793" s="121" t="s">
        <v>892</v>
      </c>
      <c r="O793" s="121" t="s">
        <v>984</v>
      </c>
      <c r="P793" s="117" t="s">
        <v>902</v>
      </c>
      <c r="Q793" s="125" t="s">
        <v>972</v>
      </c>
      <c r="R793" s="130" t="s">
        <v>972</v>
      </c>
      <c r="S793" s="125" t="s">
        <v>972</v>
      </c>
      <c r="T793" s="271"/>
      <c r="U793" s="271"/>
      <c r="V793" s="273"/>
      <c r="W793" s="230"/>
      <c r="X793" s="331">
        <f t="shared" si="38"/>
        <v>0</v>
      </c>
      <c r="Y793" s="271"/>
      <c r="Z793" s="272">
        <f t="shared" si="36"/>
        <v>0</v>
      </c>
      <c r="AA793" s="331"/>
      <c r="AB793" s="331"/>
      <c r="AC793" s="331"/>
      <c r="AD793" s="331"/>
      <c r="AE793" s="331"/>
      <c r="AF793" s="331"/>
      <c r="AG793" s="331"/>
      <c r="AH793" s="273">
        <f t="shared" ca="1" si="37"/>
        <v>46153</v>
      </c>
      <c r="AI793" s="270"/>
      <c r="AJ793" s="271"/>
      <c r="AK793" s="271"/>
    </row>
    <row r="794" spans="1:37" ht="23.25" hidden="1" customHeight="1">
      <c r="A794" s="111">
        <v>158</v>
      </c>
      <c r="B794" s="112">
        <v>5</v>
      </c>
      <c r="C794" s="113" t="s">
        <v>1077</v>
      </c>
      <c r="D794" s="147" t="s">
        <v>1078</v>
      </c>
      <c r="E794" s="114" t="s">
        <v>1079</v>
      </c>
      <c r="F794" s="115" t="s">
        <v>1080</v>
      </c>
      <c r="G794" s="115" t="s">
        <v>1081</v>
      </c>
      <c r="H794" s="116">
        <v>13.783082909999999</v>
      </c>
      <c r="I794" s="116">
        <v>100.49840835000001</v>
      </c>
      <c r="J794" s="116" t="s">
        <v>890</v>
      </c>
      <c r="K794" s="117" t="s">
        <v>891</v>
      </c>
      <c r="L794" s="117" t="s">
        <v>891</v>
      </c>
      <c r="M794" s="117">
        <v>96896168</v>
      </c>
      <c r="N794" s="117" t="s">
        <v>892</v>
      </c>
      <c r="O794" s="117" t="s">
        <v>958</v>
      </c>
      <c r="P794" s="117" t="s">
        <v>902</v>
      </c>
      <c r="Q794" s="118">
        <v>80057501</v>
      </c>
      <c r="R794" s="119" t="s">
        <v>895</v>
      </c>
      <c r="S794" s="119" t="s">
        <v>895</v>
      </c>
      <c r="T794" s="222"/>
      <c r="U794" s="222"/>
      <c r="V794" s="222"/>
      <c r="W794" s="230"/>
      <c r="X794" s="331">
        <f t="shared" si="38"/>
        <v>0</v>
      </c>
      <c r="Y794" s="222"/>
      <c r="Z794" s="272">
        <f t="shared" si="36"/>
        <v>0</v>
      </c>
      <c r="AA794" s="331"/>
      <c r="AB794" s="331"/>
      <c r="AC794" s="331"/>
      <c r="AD794" s="331"/>
      <c r="AE794" s="331"/>
      <c r="AF794" s="331"/>
      <c r="AG794" s="331"/>
      <c r="AH794" s="241">
        <f t="shared" ca="1" si="37"/>
        <v>46153</v>
      </c>
      <c r="AI794" s="272"/>
      <c r="AJ794" s="222"/>
      <c r="AK794" s="222"/>
    </row>
    <row r="795" spans="1:37" ht="23.25" hidden="1" customHeight="1">
      <c r="A795" s="111">
        <v>375</v>
      </c>
      <c r="B795" s="112">
        <v>15</v>
      </c>
      <c r="C795" s="113" t="s">
        <v>1317</v>
      </c>
      <c r="D795" s="147" t="s">
        <v>1318</v>
      </c>
      <c r="E795" s="114" t="s">
        <v>1319</v>
      </c>
      <c r="F795" s="115" t="s">
        <v>1080</v>
      </c>
      <c r="G795" s="115" t="s">
        <v>1081</v>
      </c>
      <c r="H795" s="116">
        <v>13.784465000000001</v>
      </c>
      <c r="I795" s="116">
        <v>100.495108</v>
      </c>
      <c r="J795" s="116" t="s">
        <v>890</v>
      </c>
      <c r="K795" s="117" t="s">
        <v>891</v>
      </c>
      <c r="L795" s="118" t="s">
        <v>891</v>
      </c>
      <c r="M795" s="117">
        <v>96896169</v>
      </c>
      <c r="N795" s="117" t="s">
        <v>892</v>
      </c>
      <c r="O795" s="117" t="s">
        <v>958</v>
      </c>
      <c r="P795" s="118" t="s">
        <v>902</v>
      </c>
      <c r="Q795" s="118">
        <v>80057501</v>
      </c>
      <c r="R795" s="119" t="s">
        <v>895</v>
      </c>
      <c r="S795" s="119" t="s">
        <v>895</v>
      </c>
      <c r="T795" s="222"/>
      <c r="U795" s="222"/>
      <c r="V795" s="222"/>
      <c r="W795" s="230"/>
      <c r="X795" s="331">
        <f t="shared" si="38"/>
        <v>0</v>
      </c>
      <c r="Y795" s="222"/>
      <c r="Z795" s="272">
        <f t="shared" si="36"/>
        <v>0</v>
      </c>
      <c r="AA795" s="331"/>
      <c r="AB795" s="331"/>
      <c r="AC795" s="331"/>
      <c r="AD795" s="331"/>
      <c r="AE795" s="331"/>
      <c r="AF795" s="331"/>
      <c r="AG795" s="331"/>
      <c r="AH795" s="241">
        <f t="shared" ca="1" si="37"/>
        <v>46153</v>
      </c>
      <c r="AI795" s="272"/>
      <c r="AJ795" s="222"/>
      <c r="AK795" s="222"/>
    </row>
    <row r="796" spans="1:37" ht="23" hidden="1">
      <c r="A796" s="111">
        <v>739</v>
      </c>
      <c r="B796" s="112">
        <v>10</v>
      </c>
      <c r="C796" s="122" t="s">
        <v>1693</v>
      </c>
      <c r="D796" s="147" t="s">
        <v>1694</v>
      </c>
      <c r="E796" s="123" t="s">
        <v>1695</v>
      </c>
      <c r="F796" s="116" t="s">
        <v>1080</v>
      </c>
      <c r="G796" s="116" t="s">
        <v>957</v>
      </c>
      <c r="H796" s="116">
        <v>13.766432119999999</v>
      </c>
      <c r="I796" s="116">
        <v>100.53503551999999</v>
      </c>
      <c r="J796" s="116" t="s">
        <v>890</v>
      </c>
      <c r="K796" s="117" t="s">
        <v>891</v>
      </c>
      <c r="L796" s="117" t="s">
        <v>891</v>
      </c>
      <c r="M796" s="117">
        <v>96895437</v>
      </c>
      <c r="N796" s="117" t="s">
        <v>892</v>
      </c>
      <c r="O796" s="117" t="s">
        <v>958</v>
      </c>
      <c r="P796" s="117" t="s">
        <v>902</v>
      </c>
      <c r="Q796" s="118">
        <v>80057501</v>
      </c>
      <c r="R796" s="119" t="s">
        <v>895</v>
      </c>
      <c r="S796" s="119" t="s">
        <v>895</v>
      </c>
      <c r="T796" s="222"/>
      <c r="U796" s="222"/>
      <c r="V796" s="222"/>
      <c r="W796" s="230"/>
      <c r="X796" s="331">
        <f t="shared" si="38"/>
        <v>0</v>
      </c>
      <c r="Y796" s="222"/>
      <c r="Z796" s="272">
        <f t="shared" si="36"/>
        <v>0</v>
      </c>
      <c r="AA796" s="331"/>
      <c r="AB796" s="331"/>
      <c r="AC796" s="331"/>
      <c r="AD796" s="331"/>
      <c r="AE796" s="331"/>
      <c r="AF796" s="331"/>
      <c r="AG796" s="331"/>
      <c r="AH796" s="241">
        <f t="shared" ca="1" si="37"/>
        <v>46153</v>
      </c>
      <c r="AI796" s="272"/>
      <c r="AJ796" s="222"/>
      <c r="AK796" s="222"/>
    </row>
    <row r="797" spans="1:37" ht="23" hidden="1">
      <c r="A797" s="111">
        <v>780</v>
      </c>
      <c r="B797" s="112">
        <v>6</v>
      </c>
      <c r="C797" s="113" t="s">
        <v>1748</v>
      </c>
      <c r="D797" s="472" t="s">
        <v>1749</v>
      </c>
      <c r="E797" s="473" t="s">
        <v>1750</v>
      </c>
      <c r="F797" s="482" t="s">
        <v>1080</v>
      </c>
      <c r="G797" s="482" t="s">
        <v>957</v>
      </c>
      <c r="H797" s="486">
        <v>13.763332</v>
      </c>
      <c r="I797" s="486">
        <v>100.541472</v>
      </c>
      <c r="J797" s="116" t="s">
        <v>969</v>
      </c>
      <c r="K797" s="116" t="s">
        <v>970</v>
      </c>
      <c r="L797" s="125" t="s">
        <v>1751</v>
      </c>
      <c r="M797" s="117">
        <v>96895444</v>
      </c>
      <c r="N797" s="121" t="s">
        <v>1050</v>
      </c>
      <c r="O797" s="117" t="s">
        <v>958</v>
      </c>
      <c r="P797" s="125" t="s">
        <v>902</v>
      </c>
      <c r="Q797" s="125" t="s">
        <v>972</v>
      </c>
      <c r="R797" s="125" t="s">
        <v>972</v>
      </c>
      <c r="S797" s="125" t="s">
        <v>972</v>
      </c>
      <c r="T797" s="222"/>
      <c r="U797" s="222"/>
      <c r="V797" s="222"/>
      <c r="W797" s="230"/>
      <c r="X797" s="331">
        <f t="shared" si="38"/>
        <v>0</v>
      </c>
      <c r="Y797" s="222"/>
      <c r="Z797" s="272">
        <f t="shared" si="36"/>
        <v>0</v>
      </c>
      <c r="AA797" s="331"/>
      <c r="AB797" s="331"/>
      <c r="AC797" s="331"/>
      <c r="AD797" s="331"/>
      <c r="AE797" s="331"/>
      <c r="AF797" s="331"/>
      <c r="AG797" s="331"/>
      <c r="AH797" s="241">
        <f t="shared" ca="1" si="37"/>
        <v>46153</v>
      </c>
      <c r="AI797" s="272"/>
      <c r="AJ797" s="222"/>
      <c r="AK797" s="222"/>
    </row>
    <row r="798" spans="1:37" ht="23.25" hidden="1" customHeight="1">
      <c r="A798" s="111">
        <v>1028</v>
      </c>
      <c r="B798" s="112">
        <v>14</v>
      </c>
      <c r="C798" s="113" t="s">
        <v>1970</v>
      </c>
      <c r="D798" s="147" t="s">
        <v>1971</v>
      </c>
      <c r="E798" s="114" t="s">
        <v>1972</v>
      </c>
      <c r="F798" s="115" t="s">
        <v>1080</v>
      </c>
      <c r="G798" s="115" t="s">
        <v>957</v>
      </c>
      <c r="H798" s="116">
        <v>13.770099</v>
      </c>
      <c r="I798" s="116">
        <v>100.526742</v>
      </c>
      <c r="J798" s="121" t="s">
        <v>890</v>
      </c>
      <c r="K798" s="117" t="s">
        <v>891</v>
      </c>
      <c r="L798" s="117" t="s">
        <v>891</v>
      </c>
      <c r="M798" s="124">
        <v>96895442</v>
      </c>
      <c r="N798" s="121" t="s">
        <v>1050</v>
      </c>
      <c r="O798" s="117" t="s">
        <v>958</v>
      </c>
      <c r="P798" s="121" t="s">
        <v>972</v>
      </c>
      <c r="Q798" s="118">
        <v>80057501</v>
      </c>
      <c r="R798" s="119" t="s">
        <v>895</v>
      </c>
      <c r="S798" s="119" t="s">
        <v>895</v>
      </c>
      <c r="T798" s="316" t="s">
        <v>5178</v>
      </c>
      <c r="U798" s="222" t="s">
        <v>5117</v>
      </c>
      <c r="V798" s="241">
        <v>45154</v>
      </c>
      <c r="W798" s="230"/>
      <c r="X798" s="331">
        <f t="shared" si="38"/>
        <v>45154</v>
      </c>
      <c r="Y798" s="222"/>
      <c r="Z798" s="272" t="e">
        <f t="shared" si="36"/>
        <v>#NUM!</v>
      </c>
      <c r="AA798" s="331"/>
      <c r="AB798" s="331"/>
      <c r="AC798" s="331"/>
      <c r="AD798" s="331"/>
      <c r="AE798" s="331"/>
      <c r="AF798" s="331"/>
      <c r="AG798" s="331"/>
      <c r="AH798" s="241">
        <f t="shared" ca="1" si="37"/>
        <v>46153</v>
      </c>
      <c r="AI798" s="272"/>
      <c r="AJ798" s="222"/>
      <c r="AK798" s="222"/>
    </row>
    <row r="799" spans="1:37" ht="23.25" hidden="1" customHeight="1">
      <c r="A799" s="111">
        <v>1048</v>
      </c>
      <c r="B799" s="112">
        <v>11</v>
      </c>
      <c r="C799" s="113" t="s">
        <v>1991</v>
      </c>
      <c r="D799" s="147" t="s">
        <v>1992</v>
      </c>
      <c r="E799" s="114" t="s">
        <v>1993</v>
      </c>
      <c r="F799" s="115" t="s">
        <v>1080</v>
      </c>
      <c r="G799" s="115" t="s">
        <v>957</v>
      </c>
      <c r="H799" s="116">
        <v>13.769416</v>
      </c>
      <c r="I799" s="116">
        <v>100.528352</v>
      </c>
      <c r="J799" s="116" t="s">
        <v>890</v>
      </c>
      <c r="K799" s="117" t="s">
        <v>891</v>
      </c>
      <c r="L799" s="118" t="s">
        <v>891</v>
      </c>
      <c r="M799" s="117">
        <v>96895443</v>
      </c>
      <c r="N799" s="117" t="s">
        <v>892</v>
      </c>
      <c r="O799" s="117" t="s">
        <v>958</v>
      </c>
      <c r="P799" s="118" t="s">
        <v>902</v>
      </c>
      <c r="Q799" s="118">
        <v>80057501</v>
      </c>
      <c r="R799" s="119" t="s">
        <v>895</v>
      </c>
      <c r="S799" s="119" t="s">
        <v>895</v>
      </c>
      <c r="T799" s="316" t="s">
        <v>5178</v>
      </c>
      <c r="U799" s="241">
        <v>45154</v>
      </c>
      <c r="V799" s="222"/>
      <c r="W799" s="230"/>
      <c r="X799" s="331">
        <f t="shared" si="38"/>
        <v>0</v>
      </c>
      <c r="Y799" s="222"/>
      <c r="Z799" s="272">
        <f t="shared" si="36"/>
        <v>0</v>
      </c>
      <c r="AA799" s="331"/>
      <c r="AB799" s="331"/>
      <c r="AC799" s="331"/>
      <c r="AD799" s="331"/>
      <c r="AE799" s="331"/>
      <c r="AF799" s="331"/>
      <c r="AG799" s="331"/>
      <c r="AH799" s="241">
        <f t="shared" ca="1" si="37"/>
        <v>46153</v>
      </c>
      <c r="AI799" s="272"/>
      <c r="AJ799" s="222"/>
      <c r="AK799" s="222"/>
    </row>
    <row r="800" spans="1:37" ht="23.25" hidden="1" customHeight="1">
      <c r="A800" s="111">
        <v>1050</v>
      </c>
      <c r="B800" s="112">
        <v>4</v>
      </c>
      <c r="C800" s="113" t="s">
        <v>1994</v>
      </c>
      <c r="D800" s="147" t="s">
        <v>1995</v>
      </c>
      <c r="E800" s="114" t="s">
        <v>1996</v>
      </c>
      <c r="F800" s="115" t="s">
        <v>1080</v>
      </c>
      <c r="G800" s="115" t="s">
        <v>957</v>
      </c>
      <c r="H800" s="116">
        <v>13.763368</v>
      </c>
      <c r="I800" s="116">
        <v>100.541646</v>
      </c>
      <c r="J800" s="116" t="s">
        <v>890</v>
      </c>
      <c r="K800" s="117" t="s">
        <v>891</v>
      </c>
      <c r="L800" s="118" t="s">
        <v>891</v>
      </c>
      <c r="M800" s="117">
        <v>96895444</v>
      </c>
      <c r="N800" s="117" t="s">
        <v>892</v>
      </c>
      <c r="O800" s="117" t="s">
        <v>958</v>
      </c>
      <c r="P800" s="118" t="s">
        <v>902</v>
      </c>
      <c r="Q800" s="118">
        <v>80057501</v>
      </c>
      <c r="R800" s="138" t="s">
        <v>895</v>
      </c>
      <c r="S800" s="119" t="s">
        <v>895</v>
      </c>
      <c r="T800" s="222"/>
      <c r="U800" s="222"/>
      <c r="V800" s="222"/>
      <c r="W800" s="230"/>
      <c r="X800" s="331">
        <f t="shared" si="38"/>
        <v>0</v>
      </c>
      <c r="Y800" s="222"/>
      <c r="Z800" s="272">
        <f t="shared" si="36"/>
        <v>0</v>
      </c>
      <c r="AA800" s="331"/>
      <c r="AB800" s="331"/>
      <c r="AC800" s="331"/>
      <c r="AD800" s="331"/>
      <c r="AE800" s="331"/>
      <c r="AF800" s="331"/>
      <c r="AG800" s="331"/>
      <c r="AH800" s="241">
        <f t="shared" ca="1" si="37"/>
        <v>46153</v>
      </c>
      <c r="AI800" s="272"/>
      <c r="AJ800" s="222"/>
      <c r="AK800" s="222"/>
    </row>
    <row r="801" spans="1:37" ht="23.25" hidden="1" customHeight="1">
      <c r="A801" s="111">
        <v>175</v>
      </c>
      <c r="B801" s="112">
        <v>9</v>
      </c>
      <c r="C801" s="113" t="s">
        <v>2559</v>
      </c>
      <c r="D801" s="147" t="s">
        <v>2560</v>
      </c>
      <c r="E801" s="114" t="s">
        <v>2561</v>
      </c>
      <c r="F801" s="115" t="s">
        <v>1080</v>
      </c>
      <c r="G801" s="115" t="s">
        <v>957</v>
      </c>
      <c r="H801" s="116">
        <v>13.7676149</v>
      </c>
      <c r="I801" s="116">
        <v>100.5321105</v>
      </c>
      <c r="J801" s="116" t="s">
        <v>969</v>
      </c>
      <c r="K801" s="115" t="s">
        <v>1048</v>
      </c>
      <c r="L801" s="117" t="s">
        <v>2562</v>
      </c>
      <c r="M801" s="117">
        <v>96930592</v>
      </c>
      <c r="N801" s="121" t="s">
        <v>1050</v>
      </c>
      <c r="O801" s="117" t="s">
        <v>958</v>
      </c>
      <c r="P801" s="117" t="s">
        <v>902</v>
      </c>
      <c r="Q801" s="125" t="s">
        <v>972</v>
      </c>
      <c r="R801" s="125" t="s">
        <v>972</v>
      </c>
      <c r="S801" s="125" t="s">
        <v>972</v>
      </c>
      <c r="T801" s="222"/>
      <c r="U801" s="222"/>
      <c r="V801" s="222"/>
      <c r="W801" s="230"/>
      <c r="X801" s="331">
        <f t="shared" si="38"/>
        <v>0</v>
      </c>
      <c r="Y801" s="222"/>
      <c r="Z801" s="272">
        <f t="shared" si="36"/>
        <v>0</v>
      </c>
      <c r="AA801" s="331"/>
      <c r="AB801" s="331"/>
      <c r="AC801" s="331"/>
      <c r="AD801" s="331"/>
      <c r="AE801" s="331"/>
      <c r="AF801" s="331"/>
      <c r="AG801" s="331"/>
      <c r="AH801" s="241">
        <f t="shared" ca="1" si="37"/>
        <v>46153</v>
      </c>
      <c r="AI801" s="272"/>
      <c r="AJ801" s="222"/>
      <c r="AK801" s="222"/>
    </row>
    <row r="802" spans="1:37" ht="23.25" hidden="1" customHeight="1">
      <c r="A802" s="111">
        <v>839</v>
      </c>
      <c r="B802" s="112">
        <v>12</v>
      </c>
      <c r="C802" s="122" t="s">
        <v>4181</v>
      </c>
      <c r="D802" s="147" t="s">
        <v>4182</v>
      </c>
      <c r="E802" s="114" t="s">
        <v>4183</v>
      </c>
      <c r="F802" s="115" t="s">
        <v>1080</v>
      </c>
      <c r="G802" s="115" t="s">
        <v>957</v>
      </c>
      <c r="H802" s="116">
        <v>13.763118499999999</v>
      </c>
      <c r="I802" s="116">
        <v>100.5424763</v>
      </c>
      <c r="J802" s="115" t="s">
        <v>2108</v>
      </c>
      <c r="K802" s="117" t="s">
        <v>2109</v>
      </c>
      <c r="L802" s="117" t="s">
        <v>2110</v>
      </c>
      <c r="M802" s="121" t="s">
        <v>972</v>
      </c>
      <c r="N802" s="121" t="s">
        <v>972</v>
      </c>
      <c r="O802" s="117" t="s">
        <v>958</v>
      </c>
      <c r="P802" s="118" t="s">
        <v>1876</v>
      </c>
      <c r="Q802" s="125" t="s">
        <v>972</v>
      </c>
      <c r="R802" s="125" t="s">
        <v>972</v>
      </c>
      <c r="S802" s="125" t="s">
        <v>972</v>
      </c>
      <c r="T802" s="222"/>
      <c r="U802" s="222"/>
      <c r="V802" s="222"/>
      <c r="W802" s="230"/>
      <c r="X802" s="331">
        <f t="shared" si="38"/>
        <v>0</v>
      </c>
      <c r="Y802" s="222"/>
      <c r="Z802" s="272">
        <f t="shared" si="36"/>
        <v>0</v>
      </c>
      <c r="AA802" s="331"/>
      <c r="AB802" s="331"/>
      <c r="AC802" s="331"/>
      <c r="AD802" s="331"/>
      <c r="AE802" s="331"/>
      <c r="AF802" s="331"/>
      <c r="AG802" s="331"/>
      <c r="AH802" s="241">
        <f t="shared" ca="1" si="37"/>
        <v>46153</v>
      </c>
      <c r="AI802" s="272"/>
      <c r="AJ802" s="222"/>
      <c r="AK802" s="222"/>
    </row>
    <row r="803" spans="1:37" ht="23.25" hidden="1" customHeight="1">
      <c r="A803" s="111">
        <v>1023</v>
      </c>
      <c r="B803" s="112">
        <v>13</v>
      </c>
      <c r="C803" s="113" t="s">
        <v>4667</v>
      </c>
      <c r="D803" s="147" t="s">
        <v>4668</v>
      </c>
      <c r="E803" s="114" t="s">
        <v>4669</v>
      </c>
      <c r="F803" s="115" t="s">
        <v>1080</v>
      </c>
      <c r="G803" s="115" t="s">
        <v>957</v>
      </c>
      <c r="H803" s="116">
        <v>13.763911999999999</v>
      </c>
      <c r="I803" s="116">
        <v>100.540582</v>
      </c>
      <c r="J803" s="115" t="s">
        <v>2108</v>
      </c>
      <c r="K803" s="117" t="s">
        <v>2109</v>
      </c>
      <c r="L803" s="117" t="s">
        <v>2110</v>
      </c>
      <c r="M803" s="121" t="s">
        <v>972</v>
      </c>
      <c r="N803" s="121" t="s">
        <v>972</v>
      </c>
      <c r="O803" s="117" t="s">
        <v>958</v>
      </c>
      <c r="P803" s="117" t="s">
        <v>1876</v>
      </c>
      <c r="Q803" s="125" t="s">
        <v>972</v>
      </c>
      <c r="R803" s="125" t="s">
        <v>972</v>
      </c>
      <c r="S803" s="125" t="s">
        <v>972</v>
      </c>
      <c r="T803" s="222"/>
      <c r="U803" s="222"/>
      <c r="V803" s="222"/>
      <c r="W803" s="230"/>
      <c r="X803" s="331">
        <f t="shared" si="38"/>
        <v>0</v>
      </c>
      <c r="Y803" s="222"/>
      <c r="Z803" s="272">
        <f t="shared" si="36"/>
        <v>0</v>
      </c>
      <c r="AA803" s="331"/>
      <c r="AB803" s="331"/>
      <c r="AC803" s="331"/>
      <c r="AD803" s="331"/>
      <c r="AE803" s="331"/>
      <c r="AF803" s="331"/>
      <c r="AG803" s="331"/>
      <c r="AH803" s="241">
        <f t="shared" ca="1" si="37"/>
        <v>46153</v>
      </c>
      <c r="AI803" s="272"/>
      <c r="AJ803" s="222"/>
      <c r="AK803" s="222"/>
    </row>
    <row r="804" spans="1:37" ht="23.25" hidden="1" customHeight="1">
      <c r="A804" s="111">
        <v>45</v>
      </c>
      <c r="B804" s="112">
        <v>2</v>
      </c>
      <c r="C804" s="113" t="s">
        <v>944</v>
      </c>
      <c r="D804" s="147" t="s">
        <v>945</v>
      </c>
      <c r="E804" s="114" t="s">
        <v>946</v>
      </c>
      <c r="F804" s="115" t="s">
        <v>947</v>
      </c>
      <c r="G804" s="115" t="s">
        <v>901</v>
      </c>
      <c r="H804" s="116">
        <v>13.764659999999999</v>
      </c>
      <c r="I804" s="116">
        <v>100.65236899999999</v>
      </c>
      <c r="J804" s="116" t="s">
        <v>890</v>
      </c>
      <c r="K804" s="117" t="s">
        <v>891</v>
      </c>
      <c r="L804" s="118" t="s">
        <v>891</v>
      </c>
      <c r="M804" s="117">
        <v>96896061</v>
      </c>
      <c r="N804" s="117" t="s">
        <v>892</v>
      </c>
      <c r="O804" s="117" t="s">
        <v>901</v>
      </c>
      <c r="P804" s="118" t="s">
        <v>902</v>
      </c>
      <c r="Q804" s="118">
        <v>80057501</v>
      </c>
      <c r="R804" s="119" t="s">
        <v>895</v>
      </c>
      <c r="S804" s="119" t="s">
        <v>895</v>
      </c>
      <c r="T804" s="222"/>
      <c r="U804" s="222"/>
      <c r="V804" s="222"/>
      <c r="W804" s="230"/>
      <c r="X804" s="331">
        <f t="shared" si="38"/>
        <v>0</v>
      </c>
      <c r="Y804" s="222"/>
      <c r="Z804" s="272">
        <f t="shared" si="36"/>
        <v>0</v>
      </c>
      <c r="AA804" s="331"/>
      <c r="AB804" s="331"/>
      <c r="AC804" s="331"/>
      <c r="AD804" s="331"/>
      <c r="AE804" s="331"/>
      <c r="AF804" s="331"/>
      <c r="AG804" s="331"/>
      <c r="AH804" s="241">
        <f t="shared" ca="1" si="37"/>
        <v>46153</v>
      </c>
      <c r="AI804" s="272"/>
      <c r="AJ804" s="222"/>
      <c r="AK804" s="222"/>
    </row>
    <row r="805" spans="1:37" ht="23.25" hidden="1" customHeight="1">
      <c r="A805" s="111">
        <v>286</v>
      </c>
      <c r="B805" s="112">
        <v>14</v>
      </c>
      <c r="C805" s="122" t="s">
        <v>1202</v>
      </c>
      <c r="D805" s="147" t="s">
        <v>1203</v>
      </c>
      <c r="E805" s="123" t="s">
        <v>1204</v>
      </c>
      <c r="F805" s="116" t="s">
        <v>947</v>
      </c>
      <c r="G805" s="116" t="s">
        <v>901</v>
      </c>
      <c r="H805" s="116">
        <v>13.7661722</v>
      </c>
      <c r="I805" s="116">
        <v>100.6555563</v>
      </c>
      <c r="J805" s="116" t="s">
        <v>890</v>
      </c>
      <c r="K805" s="117" t="s">
        <v>891</v>
      </c>
      <c r="L805" s="117" t="s">
        <v>891</v>
      </c>
      <c r="M805" s="124">
        <v>96896062</v>
      </c>
      <c r="N805" s="121" t="s">
        <v>892</v>
      </c>
      <c r="O805" s="117" t="s">
        <v>901</v>
      </c>
      <c r="P805" s="117" t="s">
        <v>902</v>
      </c>
      <c r="Q805" s="118">
        <v>80057501</v>
      </c>
      <c r="R805" s="138" t="s">
        <v>895</v>
      </c>
      <c r="S805" s="119" t="s">
        <v>895</v>
      </c>
      <c r="T805" s="222"/>
      <c r="U805" s="222"/>
      <c r="V805" s="222"/>
      <c r="W805" s="230"/>
      <c r="X805" s="331">
        <f t="shared" si="38"/>
        <v>0</v>
      </c>
      <c r="Y805" s="222"/>
      <c r="Z805" s="272">
        <f t="shared" si="36"/>
        <v>0</v>
      </c>
      <c r="AA805" s="331"/>
      <c r="AB805" s="331"/>
      <c r="AC805" s="331"/>
      <c r="AD805" s="331"/>
      <c r="AE805" s="331"/>
      <c r="AF805" s="331"/>
      <c r="AG805" s="331"/>
      <c r="AH805" s="241">
        <f t="shared" ca="1" si="37"/>
        <v>46153</v>
      </c>
      <c r="AI805" s="272"/>
      <c r="AJ805" s="222"/>
      <c r="AK805" s="222"/>
    </row>
    <row r="806" spans="1:37" ht="23.25" hidden="1" customHeight="1">
      <c r="A806" s="111">
        <v>341</v>
      </c>
      <c r="B806" s="112">
        <v>12</v>
      </c>
      <c r="C806" s="122" t="s">
        <v>1280</v>
      </c>
      <c r="D806" s="147" t="s">
        <v>1281</v>
      </c>
      <c r="E806" s="123" t="s">
        <v>1282</v>
      </c>
      <c r="F806" s="116" t="s">
        <v>947</v>
      </c>
      <c r="G806" s="116" t="s">
        <v>901</v>
      </c>
      <c r="H806" s="116">
        <v>13.765812199999999</v>
      </c>
      <c r="I806" s="116">
        <v>100.6545898</v>
      </c>
      <c r="J806" s="116" t="s">
        <v>890</v>
      </c>
      <c r="K806" s="117" t="s">
        <v>891</v>
      </c>
      <c r="L806" s="117" t="s">
        <v>891</v>
      </c>
      <c r="M806" s="117">
        <v>96896063</v>
      </c>
      <c r="N806" s="117" t="s">
        <v>892</v>
      </c>
      <c r="O806" s="117" t="s">
        <v>901</v>
      </c>
      <c r="P806" s="117" t="s">
        <v>902</v>
      </c>
      <c r="Q806" s="118">
        <v>80057501</v>
      </c>
      <c r="R806" s="119" t="s">
        <v>895</v>
      </c>
      <c r="S806" s="119" t="s">
        <v>895</v>
      </c>
      <c r="T806" s="222"/>
      <c r="U806" s="222"/>
      <c r="V806" s="222"/>
      <c r="W806" s="230"/>
      <c r="X806" s="331">
        <f t="shared" si="38"/>
        <v>0</v>
      </c>
      <c r="Y806" s="222"/>
      <c r="Z806" s="272">
        <f t="shared" si="36"/>
        <v>0</v>
      </c>
      <c r="AA806" s="331"/>
      <c r="AB806" s="331"/>
      <c r="AC806" s="331"/>
      <c r="AD806" s="331"/>
      <c r="AE806" s="331"/>
      <c r="AF806" s="331"/>
      <c r="AG806" s="331"/>
      <c r="AH806" s="241">
        <f t="shared" ca="1" si="37"/>
        <v>46153</v>
      </c>
      <c r="AI806" s="272"/>
      <c r="AJ806" s="222"/>
      <c r="AK806" s="222"/>
    </row>
    <row r="807" spans="1:37" ht="23.25" hidden="1" customHeight="1">
      <c r="A807" s="111">
        <v>367</v>
      </c>
      <c r="B807" s="112">
        <v>16</v>
      </c>
      <c r="C807" s="113" t="s">
        <v>1307</v>
      </c>
      <c r="D807" s="147" t="s">
        <v>1308</v>
      </c>
      <c r="E807" s="114" t="s">
        <v>1309</v>
      </c>
      <c r="F807" s="115" t="s">
        <v>947</v>
      </c>
      <c r="G807" s="115" t="s">
        <v>901</v>
      </c>
      <c r="H807" s="116">
        <v>13.770187</v>
      </c>
      <c r="I807" s="116">
        <v>100.6620001</v>
      </c>
      <c r="J807" s="116" t="s">
        <v>890</v>
      </c>
      <c r="K807" s="117" t="s">
        <v>891</v>
      </c>
      <c r="L807" s="117" t="s">
        <v>891</v>
      </c>
      <c r="M807" s="117">
        <v>96896064</v>
      </c>
      <c r="N807" s="117" t="s">
        <v>892</v>
      </c>
      <c r="O807" s="117" t="s">
        <v>901</v>
      </c>
      <c r="P807" s="117" t="s">
        <v>902</v>
      </c>
      <c r="Q807" s="118">
        <v>80057501</v>
      </c>
      <c r="R807" s="119" t="s">
        <v>895</v>
      </c>
      <c r="S807" s="119" t="s">
        <v>895</v>
      </c>
      <c r="T807" s="222"/>
      <c r="U807" s="222"/>
      <c r="V807" s="222"/>
      <c r="W807" s="230"/>
      <c r="X807" s="331">
        <f t="shared" si="38"/>
        <v>0</v>
      </c>
      <c r="Y807" s="222"/>
      <c r="Z807" s="272">
        <f t="shared" si="36"/>
        <v>0</v>
      </c>
      <c r="AA807" s="331"/>
      <c r="AB807" s="331"/>
      <c r="AC807" s="331"/>
      <c r="AD807" s="331"/>
      <c r="AE807" s="331"/>
      <c r="AF807" s="331"/>
      <c r="AG807" s="331"/>
      <c r="AH807" s="241">
        <f t="shared" ca="1" si="37"/>
        <v>46153</v>
      </c>
      <c r="AI807" s="272"/>
      <c r="AJ807" s="222"/>
      <c r="AK807" s="222"/>
    </row>
    <row r="808" spans="1:37" ht="23" hidden="1">
      <c r="A808" s="111">
        <v>648</v>
      </c>
      <c r="B808" s="112" t="s">
        <v>1459</v>
      </c>
      <c r="C808" s="113" t="s">
        <v>1602</v>
      </c>
      <c r="D808" s="147" t="s">
        <v>1603</v>
      </c>
      <c r="E808" s="114" t="s">
        <v>1604</v>
      </c>
      <c r="F808" s="115" t="s">
        <v>947</v>
      </c>
      <c r="G808" s="115" t="s">
        <v>901</v>
      </c>
      <c r="H808" s="115">
        <v>13.7496165</v>
      </c>
      <c r="I808" s="115">
        <v>100.60787759999999</v>
      </c>
      <c r="J808" s="121" t="s">
        <v>890</v>
      </c>
      <c r="K808" s="117" t="s">
        <v>891</v>
      </c>
      <c r="L808" s="117" t="s">
        <v>891</v>
      </c>
      <c r="M808" s="124">
        <v>96894786</v>
      </c>
      <c r="N808" s="121" t="s">
        <v>892</v>
      </c>
      <c r="O808" s="117" t="s">
        <v>901</v>
      </c>
      <c r="P808" s="121" t="s">
        <v>972</v>
      </c>
      <c r="Q808" s="118">
        <v>80057501</v>
      </c>
      <c r="R808" s="119" t="s">
        <v>895</v>
      </c>
      <c r="S808" s="119" t="s">
        <v>895</v>
      </c>
      <c r="T808" s="305" t="s">
        <v>5212</v>
      </c>
      <c r="U808" s="305" t="s">
        <v>5263</v>
      </c>
      <c r="V808" s="306">
        <v>45103</v>
      </c>
      <c r="W808" s="326">
        <v>4</v>
      </c>
      <c r="X808" s="331">
        <f t="shared" si="38"/>
        <v>45107</v>
      </c>
      <c r="Y808" s="331">
        <v>45140</v>
      </c>
      <c r="Z808" s="332">
        <f t="shared" si="36"/>
        <v>33</v>
      </c>
      <c r="AA808" s="331"/>
      <c r="AB808" s="331"/>
      <c r="AC808" s="331"/>
      <c r="AD808" s="331"/>
      <c r="AE808" s="331"/>
      <c r="AF808" s="331"/>
      <c r="AG808" s="331"/>
      <c r="AH808" s="331">
        <f t="shared" ca="1" si="37"/>
        <v>46153</v>
      </c>
      <c r="AI808" s="332"/>
      <c r="AJ808" s="312" t="s">
        <v>5143</v>
      </c>
      <c r="AK808" s="312" t="s">
        <v>5149</v>
      </c>
    </row>
    <row r="809" spans="1:37" ht="23.25" hidden="1" customHeight="1">
      <c r="A809" s="111">
        <v>692</v>
      </c>
      <c r="B809" s="112" t="s">
        <v>979</v>
      </c>
      <c r="C809" s="113" t="s">
        <v>1663</v>
      </c>
      <c r="D809" s="147" t="s">
        <v>1664</v>
      </c>
      <c r="E809" s="114" t="s">
        <v>1665</v>
      </c>
      <c r="F809" s="115" t="s">
        <v>947</v>
      </c>
      <c r="G809" s="115" t="s">
        <v>901</v>
      </c>
      <c r="H809" s="116">
        <v>13.762148</v>
      </c>
      <c r="I809" s="116">
        <v>100.639824</v>
      </c>
      <c r="J809" s="116" t="s">
        <v>890</v>
      </c>
      <c r="K809" s="117" t="s">
        <v>891</v>
      </c>
      <c r="L809" s="117" t="s">
        <v>891</v>
      </c>
      <c r="M809" s="117">
        <v>96894538</v>
      </c>
      <c r="N809" s="117" t="s">
        <v>892</v>
      </c>
      <c r="O809" s="117" t="s">
        <v>901</v>
      </c>
      <c r="P809" s="117" t="s">
        <v>902</v>
      </c>
      <c r="Q809" s="118">
        <v>80057501</v>
      </c>
      <c r="R809" s="119" t="s">
        <v>895</v>
      </c>
      <c r="S809" s="119" t="s">
        <v>895</v>
      </c>
      <c r="T809" s="222"/>
      <c r="U809" s="222"/>
      <c r="V809" s="222"/>
      <c r="W809" s="230"/>
      <c r="X809" s="331">
        <f t="shared" si="38"/>
        <v>0</v>
      </c>
      <c r="Y809" s="222"/>
      <c r="Z809" s="272">
        <f t="shared" si="36"/>
        <v>0</v>
      </c>
      <c r="AA809" s="331"/>
      <c r="AB809" s="331"/>
      <c r="AC809" s="331"/>
      <c r="AD809" s="331"/>
      <c r="AE809" s="331"/>
      <c r="AF809" s="331"/>
      <c r="AG809" s="331"/>
      <c r="AH809" s="241">
        <f t="shared" ca="1" si="37"/>
        <v>46153</v>
      </c>
      <c r="AI809" s="272"/>
      <c r="AJ809" s="222"/>
      <c r="AK809" s="222"/>
    </row>
    <row r="810" spans="1:37" ht="23.25" hidden="1" customHeight="1">
      <c r="A810" s="111">
        <v>803</v>
      </c>
      <c r="B810" s="112" t="s">
        <v>1553</v>
      </c>
      <c r="C810" s="113" t="s">
        <v>1772</v>
      </c>
      <c r="D810" s="147" t="s">
        <v>1773</v>
      </c>
      <c r="E810" s="114" t="s">
        <v>1774</v>
      </c>
      <c r="F810" s="115" t="s">
        <v>947</v>
      </c>
      <c r="G810" s="115" t="s">
        <v>901</v>
      </c>
      <c r="H810" s="116">
        <v>13.761698000000001</v>
      </c>
      <c r="I810" s="116">
        <v>100.635311</v>
      </c>
      <c r="J810" s="116" t="s">
        <v>890</v>
      </c>
      <c r="K810" s="117" t="s">
        <v>891</v>
      </c>
      <c r="L810" s="117" t="s">
        <v>891</v>
      </c>
      <c r="M810" s="117">
        <v>96894782</v>
      </c>
      <c r="N810" s="117" t="s">
        <v>892</v>
      </c>
      <c r="O810" s="117" t="s">
        <v>901</v>
      </c>
      <c r="P810" s="117" t="s">
        <v>902</v>
      </c>
      <c r="Q810" s="118">
        <v>80057501</v>
      </c>
      <c r="R810" s="119" t="s">
        <v>895</v>
      </c>
      <c r="S810" s="119" t="s">
        <v>895</v>
      </c>
      <c r="T810" s="222"/>
      <c r="U810" s="222"/>
      <c r="V810" s="222"/>
      <c r="W810" s="230"/>
      <c r="X810" s="331">
        <f t="shared" si="38"/>
        <v>0</v>
      </c>
      <c r="Y810" s="222"/>
      <c r="Z810" s="272">
        <f t="shared" si="36"/>
        <v>0</v>
      </c>
      <c r="AA810" s="331"/>
      <c r="AB810" s="331"/>
      <c r="AC810" s="331"/>
      <c r="AD810" s="331"/>
      <c r="AE810" s="331"/>
      <c r="AF810" s="331"/>
      <c r="AG810" s="331"/>
      <c r="AH810" s="241">
        <f t="shared" ca="1" si="37"/>
        <v>46153</v>
      </c>
      <c r="AI810" s="272"/>
      <c r="AJ810" s="222"/>
      <c r="AK810" s="222"/>
    </row>
    <row r="811" spans="1:37" ht="23.25" hidden="1" customHeight="1">
      <c r="A811" s="111">
        <v>821</v>
      </c>
      <c r="B811" s="112">
        <v>10</v>
      </c>
      <c r="C811" s="113" t="s">
        <v>1794</v>
      </c>
      <c r="D811" s="147" t="s">
        <v>1795</v>
      </c>
      <c r="E811" s="114" t="s">
        <v>1796</v>
      </c>
      <c r="F811" s="115" t="s">
        <v>947</v>
      </c>
      <c r="G811" s="115" t="s">
        <v>901</v>
      </c>
      <c r="H811" s="116">
        <v>13.7669918</v>
      </c>
      <c r="I811" s="116">
        <v>100.65695789999999</v>
      </c>
      <c r="J811" s="121" t="s">
        <v>890</v>
      </c>
      <c r="K811" s="117" t="s">
        <v>891</v>
      </c>
      <c r="L811" s="117" t="s">
        <v>891</v>
      </c>
      <c r="M811" s="124">
        <v>96896156</v>
      </c>
      <c r="N811" s="121" t="s">
        <v>892</v>
      </c>
      <c r="O811" s="117" t="s">
        <v>901</v>
      </c>
      <c r="P811" s="121" t="s">
        <v>972</v>
      </c>
      <c r="Q811" s="118">
        <v>80057501</v>
      </c>
      <c r="R811" s="119" t="s">
        <v>895</v>
      </c>
      <c r="S811" s="119" t="s">
        <v>895</v>
      </c>
      <c r="T811" s="222"/>
      <c r="U811" s="222"/>
      <c r="V811" s="222"/>
      <c r="W811" s="230"/>
      <c r="X811" s="331">
        <f t="shared" si="38"/>
        <v>0</v>
      </c>
      <c r="Y811" s="222"/>
      <c r="Z811" s="272">
        <f t="shared" si="36"/>
        <v>0</v>
      </c>
      <c r="AA811" s="331"/>
      <c r="AB811" s="331"/>
      <c r="AC811" s="331"/>
      <c r="AD811" s="331"/>
      <c r="AE811" s="331"/>
      <c r="AF811" s="331"/>
      <c r="AG811" s="331"/>
      <c r="AH811" s="241">
        <f t="shared" ca="1" si="37"/>
        <v>46153</v>
      </c>
      <c r="AI811" s="272"/>
      <c r="AJ811" s="222"/>
      <c r="AK811" s="222"/>
    </row>
    <row r="812" spans="1:37" ht="23.25" hidden="1" customHeight="1">
      <c r="A812" s="111">
        <v>978</v>
      </c>
      <c r="B812" s="112" t="s">
        <v>919</v>
      </c>
      <c r="C812" s="113" t="s">
        <v>1904</v>
      </c>
      <c r="D812" s="147" t="s">
        <v>1905</v>
      </c>
      <c r="E812" s="114" t="s">
        <v>1906</v>
      </c>
      <c r="F812" s="115" t="s">
        <v>947</v>
      </c>
      <c r="G812" s="115" t="s">
        <v>901</v>
      </c>
      <c r="H812" s="116">
        <v>13.765625999999999</v>
      </c>
      <c r="I812" s="116">
        <v>100.654625</v>
      </c>
      <c r="J812" s="116" t="s">
        <v>890</v>
      </c>
      <c r="K812" s="117" t="s">
        <v>891</v>
      </c>
      <c r="L812" s="117" t="s">
        <v>891</v>
      </c>
      <c r="M812" s="117">
        <v>96896160</v>
      </c>
      <c r="N812" s="117" t="s">
        <v>892</v>
      </c>
      <c r="O812" s="117" t="s">
        <v>901</v>
      </c>
      <c r="P812" s="117" t="s">
        <v>902</v>
      </c>
      <c r="Q812" s="118">
        <v>80057501</v>
      </c>
      <c r="R812" s="138" t="s">
        <v>895</v>
      </c>
      <c r="S812" s="119" t="s">
        <v>895</v>
      </c>
      <c r="T812" s="222"/>
      <c r="U812" s="222"/>
      <c r="V812" s="222"/>
      <c r="W812" s="230"/>
      <c r="X812" s="331">
        <f t="shared" si="38"/>
        <v>0</v>
      </c>
      <c r="Y812" s="222"/>
      <c r="Z812" s="272">
        <f t="shared" si="36"/>
        <v>0</v>
      </c>
      <c r="AA812" s="331"/>
      <c r="AB812" s="331"/>
      <c r="AC812" s="331"/>
      <c r="AD812" s="331"/>
      <c r="AE812" s="331"/>
      <c r="AF812" s="331"/>
      <c r="AG812" s="331"/>
      <c r="AH812" s="241">
        <f t="shared" ca="1" si="37"/>
        <v>46153</v>
      </c>
      <c r="AI812" s="272"/>
      <c r="AJ812" s="222"/>
      <c r="AK812" s="222"/>
    </row>
    <row r="813" spans="1:37" ht="23.25" hidden="1" customHeight="1">
      <c r="A813" s="111">
        <v>987</v>
      </c>
      <c r="B813" s="112">
        <v>5</v>
      </c>
      <c r="C813" s="113" t="s">
        <v>1920</v>
      </c>
      <c r="D813" s="147" t="s">
        <v>1921</v>
      </c>
      <c r="E813" s="114" t="s">
        <v>1922</v>
      </c>
      <c r="F813" s="115" t="s">
        <v>947</v>
      </c>
      <c r="G813" s="115" t="s">
        <v>901</v>
      </c>
      <c r="H813" s="116">
        <v>13.748075800000001</v>
      </c>
      <c r="I813" s="116">
        <v>100.6059825</v>
      </c>
      <c r="J813" s="116" t="s">
        <v>890</v>
      </c>
      <c r="K813" s="117" t="s">
        <v>891</v>
      </c>
      <c r="L813" s="117" t="s">
        <v>891</v>
      </c>
      <c r="M813" s="117">
        <v>96894526</v>
      </c>
      <c r="N813" s="117" t="s">
        <v>892</v>
      </c>
      <c r="O813" s="117" t="s">
        <v>901</v>
      </c>
      <c r="P813" s="117" t="s">
        <v>902</v>
      </c>
      <c r="Q813" s="118">
        <v>80057501</v>
      </c>
      <c r="R813" s="119" t="s">
        <v>895</v>
      </c>
      <c r="S813" s="119" t="s">
        <v>895</v>
      </c>
      <c r="T813" s="222"/>
      <c r="U813" s="222"/>
      <c r="V813" s="222"/>
      <c r="W813" s="230"/>
      <c r="X813" s="331">
        <f t="shared" si="38"/>
        <v>0</v>
      </c>
      <c r="Y813" s="222"/>
      <c r="Z813" s="272">
        <f t="shared" si="36"/>
        <v>0</v>
      </c>
      <c r="AA813" s="331"/>
      <c r="AB813" s="331"/>
      <c r="AC813" s="331"/>
      <c r="AD813" s="331"/>
      <c r="AE813" s="331"/>
      <c r="AF813" s="331"/>
      <c r="AG813" s="331"/>
      <c r="AH813" s="241">
        <f t="shared" ca="1" si="37"/>
        <v>46153</v>
      </c>
      <c r="AI813" s="272"/>
      <c r="AJ813" s="222"/>
      <c r="AK813" s="222"/>
    </row>
    <row r="814" spans="1:37" ht="23" hidden="1">
      <c r="A814" s="111">
        <v>1035</v>
      </c>
      <c r="B814" s="112">
        <v>13</v>
      </c>
      <c r="C814" s="113" t="s">
        <v>1973</v>
      </c>
      <c r="D814" s="557" t="s">
        <v>1974</v>
      </c>
      <c r="E814" s="114" t="s">
        <v>1975</v>
      </c>
      <c r="F814" s="115" t="s">
        <v>947</v>
      </c>
      <c r="G814" s="115" t="s">
        <v>1030</v>
      </c>
      <c r="H814" s="116">
        <v>13.743434799999999</v>
      </c>
      <c r="I814" s="116">
        <v>100.6014692</v>
      </c>
      <c r="J814" s="116" t="s">
        <v>890</v>
      </c>
      <c r="K814" s="117" t="s">
        <v>891</v>
      </c>
      <c r="L814" s="117" t="s">
        <v>891</v>
      </c>
      <c r="M814" s="117">
        <v>96888730</v>
      </c>
      <c r="N814" s="117" t="s">
        <v>892</v>
      </c>
      <c r="O814" s="121" t="s">
        <v>901</v>
      </c>
      <c r="P814" s="117" t="s">
        <v>902</v>
      </c>
      <c r="Q814" s="118">
        <v>80057501</v>
      </c>
      <c r="R814" s="119" t="s">
        <v>895</v>
      </c>
      <c r="S814" s="119" t="s">
        <v>895</v>
      </c>
      <c r="T814" s="222"/>
      <c r="U814" s="222"/>
      <c r="V814" s="222"/>
      <c r="W814" s="230"/>
      <c r="X814" s="331">
        <f t="shared" si="38"/>
        <v>0</v>
      </c>
      <c r="Y814" s="222"/>
      <c r="Z814" s="272">
        <f t="shared" si="36"/>
        <v>0</v>
      </c>
      <c r="AA814" s="331"/>
      <c r="AB814" s="331"/>
      <c r="AC814" s="331"/>
      <c r="AD814" s="331"/>
      <c r="AE814" s="331"/>
      <c r="AF814" s="331"/>
      <c r="AG814" s="331"/>
      <c r="AH814" s="241">
        <f t="shared" ca="1" si="37"/>
        <v>46153</v>
      </c>
      <c r="AI814" s="272"/>
      <c r="AJ814" s="222"/>
      <c r="AK814" s="222"/>
    </row>
    <row r="815" spans="1:37" ht="23" hidden="1">
      <c r="A815" s="111">
        <v>250</v>
      </c>
      <c r="B815" s="112">
        <v>8</v>
      </c>
      <c r="C815" s="113" t="s">
        <v>2767</v>
      </c>
      <c r="D815" s="147" t="s">
        <v>2768</v>
      </c>
      <c r="E815" s="114" t="s">
        <v>2769</v>
      </c>
      <c r="F815" s="115" t="s">
        <v>947</v>
      </c>
      <c r="G815" s="115" t="s">
        <v>901</v>
      </c>
      <c r="H815" s="116">
        <v>13.7601865</v>
      </c>
      <c r="I815" s="116">
        <v>100.6242238</v>
      </c>
      <c r="J815" s="116" t="s">
        <v>2097</v>
      </c>
      <c r="K815" s="116" t="s">
        <v>2097</v>
      </c>
      <c r="L815" s="117" t="s">
        <v>2770</v>
      </c>
      <c r="M815" s="121" t="s">
        <v>972</v>
      </c>
      <c r="N815" s="117" t="s">
        <v>892</v>
      </c>
      <c r="O815" s="121" t="s">
        <v>901</v>
      </c>
      <c r="P815" s="118" t="s">
        <v>902</v>
      </c>
      <c r="Q815" s="125" t="s">
        <v>972</v>
      </c>
      <c r="R815" s="130" t="s">
        <v>972</v>
      </c>
      <c r="S815" s="125" t="s">
        <v>972</v>
      </c>
      <c r="T815" s="222"/>
      <c r="U815" s="222"/>
      <c r="V815" s="222"/>
      <c r="W815" s="230"/>
      <c r="X815" s="331">
        <f t="shared" si="38"/>
        <v>0</v>
      </c>
      <c r="Y815" s="222"/>
      <c r="Z815" s="272">
        <f t="shared" si="36"/>
        <v>0</v>
      </c>
      <c r="AA815" s="331"/>
      <c r="AB815" s="331"/>
      <c r="AC815" s="331"/>
      <c r="AD815" s="331"/>
      <c r="AE815" s="331"/>
      <c r="AF815" s="331"/>
      <c r="AG815" s="331"/>
      <c r="AH815" s="241">
        <f t="shared" ca="1" si="37"/>
        <v>46153</v>
      </c>
      <c r="AI815" s="272"/>
      <c r="AJ815" s="222"/>
      <c r="AK815" s="222"/>
    </row>
    <row r="816" spans="1:37" ht="23" hidden="1">
      <c r="A816" s="111">
        <v>323</v>
      </c>
      <c r="B816" s="112">
        <v>3</v>
      </c>
      <c r="C816" s="122" t="s">
        <v>2925</v>
      </c>
      <c r="D816" s="147" t="s">
        <v>2926</v>
      </c>
      <c r="E816" s="114" t="s">
        <v>2927</v>
      </c>
      <c r="F816" s="115" t="s">
        <v>947</v>
      </c>
      <c r="G816" s="115" t="s">
        <v>1030</v>
      </c>
      <c r="H816" s="116">
        <v>13.741455999999999</v>
      </c>
      <c r="I816" s="116">
        <v>100.601496</v>
      </c>
      <c r="J816" s="115" t="s">
        <v>2108</v>
      </c>
      <c r="K816" s="117" t="s">
        <v>2109</v>
      </c>
      <c r="L816" s="117" t="s">
        <v>2110</v>
      </c>
      <c r="M816" s="121" t="s">
        <v>972</v>
      </c>
      <c r="N816" s="121" t="s">
        <v>972</v>
      </c>
      <c r="O816" s="135" t="s">
        <v>901</v>
      </c>
      <c r="P816" s="140" t="s">
        <v>1876</v>
      </c>
      <c r="Q816" s="125" t="s">
        <v>972</v>
      </c>
      <c r="R816" s="130" t="s">
        <v>972</v>
      </c>
      <c r="S816" s="125" t="s">
        <v>972</v>
      </c>
      <c r="T816" s="222"/>
      <c r="U816" s="222"/>
      <c r="V816" s="222"/>
      <c r="W816" s="230"/>
      <c r="X816" s="331">
        <f t="shared" si="38"/>
        <v>0</v>
      </c>
      <c r="Y816" s="222"/>
      <c r="Z816" s="272">
        <f t="shared" si="36"/>
        <v>0</v>
      </c>
      <c r="AA816" s="331"/>
      <c r="AB816" s="331"/>
      <c r="AC816" s="331"/>
      <c r="AD816" s="331"/>
      <c r="AE816" s="331"/>
      <c r="AF816" s="331"/>
      <c r="AG816" s="331"/>
      <c r="AH816" s="241">
        <f t="shared" ca="1" si="37"/>
        <v>46153</v>
      </c>
      <c r="AI816" s="272"/>
      <c r="AJ816" s="222"/>
      <c r="AK816" s="222"/>
    </row>
    <row r="817" spans="1:37" ht="23.25" hidden="1" customHeight="1">
      <c r="A817" s="111">
        <v>369</v>
      </c>
      <c r="B817" s="112">
        <v>9</v>
      </c>
      <c r="C817" s="113" t="s">
        <v>3041</v>
      </c>
      <c r="D817" s="147" t="s">
        <v>3042</v>
      </c>
      <c r="E817" s="114" t="s">
        <v>3043</v>
      </c>
      <c r="F817" s="115" t="s">
        <v>947</v>
      </c>
      <c r="G817" s="115" t="s">
        <v>901</v>
      </c>
      <c r="H817" s="131">
        <v>13.76651</v>
      </c>
      <c r="I817" s="116">
        <v>100.656177</v>
      </c>
      <c r="J817" s="115" t="s">
        <v>2108</v>
      </c>
      <c r="K817" s="117" t="s">
        <v>2109</v>
      </c>
      <c r="L817" s="117" t="s">
        <v>2110</v>
      </c>
      <c r="M817" s="121" t="s">
        <v>972</v>
      </c>
      <c r="N817" s="121" t="s">
        <v>972</v>
      </c>
      <c r="O817" s="117" t="s">
        <v>901</v>
      </c>
      <c r="P817" s="136" t="s">
        <v>1876</v>
      </c>
      <c r="Q817" s="125" t="s">
        <v>972</v>
      </c>
      <c r="R817" s="125" t="s">
        <v>972</v>
      </c>
      <c r="S817" s="125" t="s">
        <v>972</v>
      </c>
      <c r="T817" s="222"/>
      <c r="U817" s="222"/>
      <c r="V817" s="222"/>
      <c r="W817" s="230"/>
      <c r="X817" s="331">
        <f t="shared" si="38"/>
        <v>0</v>
      </c>
      <c r="Y817" s="222"/>
      <c r="Z817" s="272">
        <f t="shared" si="36"/>
        <v>0</v>
      </c>
      <c r="AA817" s="331"/>
      <c r="AB817" s="331"/>
      <c r="AC817" s="331"/>
      <c r="AD817" s="331"/>
      <c r="AE817" s="331"/>
      <c r="AF817" s="331"/>
      <c r="AG817" s="331"/>
      <c r="AH817" s="241">
        <f t="shared" ca="1" si="37"/>
        <v>46153</v>
      </c>
      <c r="AI817" s="272"/>
      <c r="AJ817" s="222"/>
      <c r="AK817" s="222"/>
    </row>
    <row r="818" spans="1:37" ht="23" hidden="1">
      <c r="A818" s="111">
        <v>647</v>
      </c>
      <c r="B818" s="112">
        <v>6</v>
      </c>
      <c r="C818" s="122" t="s">
        <v>3130</v>
      </c>
      <c r="D818" s="557" t="s">
        <v>3131</v>
      </c>
      <c r="E818" s="123" t="s">
        <v>3132</v>
      </c>
      <c r="F818" s="116" t="s">
        <v>947</v>
      </c>
      <c r="G818" s="116" t="s">
        <v>901</v>
      </c>
      <c r="H818" s="116">
        <v>13.756964</v>
      </c>
      <c r="I818" s="116">
        <v>100.615252</v>
      </c>
      <c r="J818" s="116" t="s">
        <v>890</v>
      </c>
      <c r="K818" s="117" t="s">
        <v>891</v>
      </c>
      <c r="L818" s="117" t="s">
        <v>891</v>
      </c>
      <c r="M818" s="117">
        <v>96927733</v>
      </c>
      <c r="N818" s="117" t="s">
        <v>892</v>
      </c>
      <c r="O818" s="136" t="s">
        <v>901</v>
      </c>
      <c r="P818" s="136" t="s">
        <v>902</v>
      </c>
      <c r="Q818" s="118">
        <v>80057501</v>
      </c>
      <c r="R818" s="119" t="s">
        <v>895</v>
      </c>
      <c r="S818" s="119" t="s">
        <v>895</v>
      </c>
      <c r="T818" s="222"/>
      <c r="U818" s="222"/>
      <c r="V818" s="222"/>
      <c r="W818" s="230"/>
      <c r="X818" s="331">
        <f t="shared" si="38"/>
        <v>0</v>
      </c>
      <c r="Y818" s="222"/>
      <c r="Z818" s="272">
        <f t="shared" si="36"/>
        <v>0</v>
      </c>
      <c r="AA818" s="331"/>
      <c r="AB818" s="331"/>
      <c r="AC818" s="331"/>
      <c r="AD818" s="331"/>
      <c r="AE818" s="331"/>
      <c r="AF818" s="331"/>
      <c r="AG818" s="331"/>
      <c r="AH818" s="241">
        <f t="shared" ca="1" si="37"/>
        <v>46153</v>
      </c>
      <c r="AI818" s="272"/>
      <c r="AJ818" s="222"/>
      <c r="AK818" s="222"/>
    </row>
    <row r="819" spans="1:37" ht="23" hidden="1">
      <c r="A819" s="111">
        <v>645</v>
      </c>
      <c r="B819" s="112">
        <v>2</v>
      </c>
      <c r="C819" s="113" t="s">
        <v>3734</v>
      </c>
      <c r="D819" s="147" t="s">
        <v>3735</v>
      </c>
      <c r="E819" s="114" t="s">
        <v>3736</v>
      </c>
      <c r="F819" s="115" t="s">
        <v>947</v>
      </c>
      <c r="G819" s="115" t="s">
        <v>901</v>
      </c>
      <c r="H819" s="115">
        <v>13.761989099999999</v>
      </c>
      <c r="I819" s="115">
        <v>100.6400362</v>
      </c>
      <c r="J819" s="115" t="s">
        <v>2108</v>
      </c>
      <c r="K819" s="117" t="s">
        <v>2109</v>
      </c>
      <c r="L819" s="117" t="s">
        <v>2110</v>
      </c>
      <c r="M819" s="121" t="s">
        <v>972</v>
      </c>
      <c r="N819" s="121" t="s">
        <v>972</v>
      </c>
      <c r="O819" s="135" t="s">
        <v>901</v>
      </c>
      <c r="P819" s="118" t="s">
        <v>1876</v>
      </c>
      <c r="Q819" s="125" t="s">
        <v>972</v>
      </c>
      <c r="R819" s="125" t="s">
        <v>972</v>
      </c>
      <c r="S819" s="125" t="s">
        <v>972</v>
      </c>
      <c r="T819" s="222"/>
      <c r="U819" s="222"/>
      <c r="V819" s="222"/>
      <c r="W819" s="230"/>
      <c r="X819" s="331">
        <f t="shared" si="38"/>
        <v>0</v>
      </c>
      <c r="Y819" s="222"/>
      <c r="Z819" s="272">
        <f t="shared" si="36"/>
        <v>0</v>
      </c>
      <c r="AA819" s="331"/>
      <c r="AB819" s="331"/>
      <c r="AC819" s="331"/>
      <c r="AD819" s="331"/>
      <c r="AE819" s="331"/>
      <c r="AF819" s="331"/>
      <c r="AG819" s="331"/>
      <c r="AH819" s="241">
        <f t="shared" ca="1" si="37"/>
        <v>46153</v>
      </c>
      <c r="AI819" s="272"/>
      <c r="AJ819" s="222"/>
      <c r="AK819" s="222"/>
    </row>
    <row r="820" spans="1:37" ht="23" hidden="1">
      <c r="A820" s="111">
        <v>874</v>
      </c>
      <c r="B820" s="112" t="s">
        <v>985</v>
      </c>
      <c r="C820" s="113" t="s">
        <v>4271</v>
      </c>
      <c r="D820" s="147" t="s">
        <v>5350</v>
      </c>
      <c r="E820" s="114" t="s">
        <v>4273</v>
      </c>
      <c r="F820" s="115" t="s">
        <v>947</v>
      </c>
      <c r="G820" s="115" t="s">
        <v>2394</v>
      </c>
      <c r="H820" s="116">
        <v>13.7768508</v>
      </c>
      <c r="I820" s="116">
        <v>100.6734713</v>
      </c>
      <c r="J820" s="116" t="s">
        <v>2108</v>
      </c>
      <c r="K820" s="115" t="s">
        <v>2081</v>
      </c>
      <c r="L820" s="117" t="s">
        <v>4274</v>
      </c>
      <c r="M820" s="301" t="s">
        <v>972</v>
      </c>
      <c r="N820" s="301" t="s">
        <v>972</v>
      </c>
      <c r="O820" s="499" t="s">
        <v>3897</v>
      </c>
      <c r="P820" s="300" t="s">
        <v>1876</v>
      </c>
      <c r="Q820" s="355" t="s">
        <v>972</v>
      </c>
      <c r="R820" s="355" t="s">
        <v>972</v>
      </c>
      <c r="S820" s="355" t="s">
        <v>972</v>
      </c>
      <c r="T820" s="316"/>
      <c r="U820" s="316"/>
      <c r="V820" s="316"/>
      <c r="W820" s="552"/>
      <c r="X820" s="331">
        <f t="shared" si="38"/>
        <v>0</v>
      </c>
      <c r="Y820" s="316"/>
      <c r="Z820" s="318">
        <f t="shared" si="36"/>
        <v>0</v>
      </c>
      <c r="AA820" s="331"/>
      <c r="AB820" s="331"/>
      <c r="AC820" s="331"/>
      <c r="AD820" s="331"/>
      <c r="AE820" s="331"/>
      <c r="AF820" s="331"/>
      <c r="AG820" s="331"/>
      <c r="AH820" s="317">
        <f t="shared" ca="1" si="37"/>
        <v>46153</v>
      </c>
      <c r="AI820" s="318"/>
      <c r="AJ820" s="316" t="s">
        <v>5361</v>
      </c>
      <c r="AK820" s="316"/>
    </row>
    <row r="821" spans="1:37" ht="23" hidden="1">
      <c r="A821" s="111">
        <v>892</v>
      </c>
      <c r="B821" s="112" t="s">
        <v>1818</v>
      </c>
      <c r="C821" s="122" t="s">
        <v>4323</v>
      </c>
      <c r="D821" s="147" t="s">
        <v>4324</v>
      </c>
      <c r="E821" s="123" t="s">
        <v>4325</v>
      </c>
      <c r="F821" s="116" t="s">
        <v>947</v>
      </c>
      <c r="G821" s="116" t="s">
        <v>2394</v>
      </c>
      <c r="H821" s="116">
        <v>13.7742889</v>
      </c>
      <c r="I821" s="116">
        <v>100.6689023</v>
      </c>
      <c r="J821" s="115" t="s">
        <v>2108</v>
      </c>
      <c r="K821" s="117" t="s">
        <v>2109</v>
      </c>
      <c r="L821" s="117" t="s">
        <v>2110</v>
      </c>
      <c r="M821" s="121" t="s">
        <v>972</v>
      </c>
      <c r="N821" s="121" t="s">
        <v>972</v>
      </c>
      <c r="O821" s="117" t="s">
        <v>901</v>
      </c>
      <c r="P821" s="117" t="s">
        <v>1876</v>
      </c>
      <c r="Q821" s="125" t="s">
        <v>972</v>
      </c>
      <c r="R821" s="125" t="s">
        <v>972</v>
      </c>
      <c r="S821" s="125" t="s">
        <v>972</v>
      </c>
      <c r="T821" s="222"/>
      <c r="U821" s="222"/>
      <c r="V821" s="222"/>
      <c r="W821" s="230"/>
      <c r="X821" s="331">
        <f t="shared" si="38"/>
        <v>0</v>
      </c>
      <c r="Y821" s="222"/>
      <c r="Z821" s="272">
        <f t="shared" si="36"/>
        <v>0</v>
      </c>
      <c r="AA821" s="331"/>
      <c r="AB821" s="331"/>
      <c r="AC821" s="331"/>
      <c r="AD821" s="331"/>
      <c r="AE821" s="331"/>
      <c r="AF821" s="331"/>
      <c r="AG821" s="331"/>
      <c r="AH821" s="241">
        <f t="shared" ca="1" si="37"/>
        <v>46153</v>
      </c>
      <c r="AI821" s="272"/>
      <c r="AJ821" s="222"/>
      <c r="AK821" s="222"/>
    </row>
    <row r="822" spans="1:37" ht="23" hidden="1">
      <c r="A822" s="111">
        <v>894</v>
      </c>
      <c r="B822" s="112">
        <v>7</v>
      </c>
      <c r="C822" s="113" t="s">
        <v>4328</v>
      </c>
      <c r="D822" s="557" t="s">
        <v>4329</v>
      </c>
      <c r="E822" s="114" t="s">
        <v>4330</v>
      </c>
      <c r="F822" s="115" t="s">
        <v>947</v>
      </c>
      <c r="G822" s="115" t="s">
        <v>2394</v>
      </c>
      <c r="H822" s="116">
        <v>13.793182</v>
      </c>
      <c r="I822" s="116">
        <v>100.70277299999999</v>
      </c>
      <c r="J822" s="115" t="s">
        <v>2108</v>
      </c>
      <c r="K822" s="117" t="s">
        <v>2109</v>
      </c>
      <c r="L822" s="117" t="s">
        <v>2110</v>
      </c>
      <c r="M822" s="121" t="s">
        <v>972</v>
      </c>
      <c r="N822" s="121" t="s">
        <v>972</v>
      </c>
      <c r="O822" s="121" t="s">
        <v>3897</v>
      </c>
      <c r="P822" s="136" t="s">
        <v>902</v>
      </c>
      <c r="Q822" s="125" t="s">
        <v>972</v>
      </c>
      <c r="R822" s="130" t="s">
        <v>972</v>
      </c>
      <c r="S822" s="125" t="s">
        <v>972</v>
      </c>
      <c r="T822" s="222"/>
      <c r="U822" s="222"/>
      <c r="V822" s="222"/>
      <c r="W822" s="230"/>
      <c r="X822" s="331">
        <f t="shared" si="38"/>
        <v>0</v>
      </c>
      <c r="Y822" s="222"/>
      <c r="Z822" s="272">
        <f t="shared" si="36"/>
        <v>0</v>
      </c>
      <c r="AA822" s="331"/>
      <c r="AB822" s="331"/>
      <c r="AC822" s="331"/>
      <c r="AD822" s="331"/>
      <c r="AE822" s="331"/>
      <c r="AF822" s="331"/>
      <c r="AG822" s="331"/>
      <c r="AH822" s="241">
        <f t="shared" ca="1" si="37"/>
        <v>46153</v>
      </c>
      <c r="AI822" s="272"/>
      <c r="AJ822" s="222"/>
      <c r="AK822" s="222"/>
    </row>
    <row r="823" spans="1:37" ht="23" hidden="1">
      <c r="A823" s="111">
        <v>896</v>
      </c>
      <c r="B823" s="112" t="s">
        <v>1155</v>
      </c>
      <c r="C823" s="113" t="s">
        <v>4336</v>
      </c>
      <c r="D823" s="147" t="s">
        <v>4337</v>
      </c>
      <c r="E823" s="114" t="s">
        <v>4338</v>
      </c>
      <c r="F823" s="115" t="s">
        <v>947</v>
      </c>
      <c r="G823" s="115" t="s">
        <v>2394</v>
      </c>
      <c r="H823" s="116">
        <v>13.786383499999999</v>
      </c>
      <c r="I823" s="116">
        <v>100.69089030000001</v>
      </c>
      <c r="J823" s="116" t="s">
        <v>2108</v>
      </c>
      <c r="K823" s="115" t="s">
        <v>2081</v>
      </c>
      <c r="L823" s="118" t="s">
        <v>4339</v>
      </c>
      <c r="M823" s="121" t="s">
        <v>972</v>
      </c>
      <c r="N823" s="121" t="s">
        <v>972</v>
      </c>
      <c r="O823" s="135" t="s">
        <v>3897</v>
      </c>
      <c r="P823" s="140" t="s">
        <v>902</v>
      </c>
      <c r="Q823" s="125" t="s">
        <v>972</v>
      </c>
      <c r="R823" s="125" t="s">
        <v>972</v>
      </c>
      <c r="S823" s="125" t="s">
        <v>972</v>
      </c>
      <c r="T823" s="222"/>
      <c r="U823" s="222"/>
      <c r="V823" s="222"/>
      <c r="W823" s="230"/>
      <c r="X823" s="331">
        <f t="shared" si="38"/>
        <v>0</v>
      </c>
      <c r="Y823" s="222"/>
      <c r="Z823" s="272">
        <f t="shared" si="36"/>
        <v>0</v>
      </c>
      <c r="AA823" s="331"/>
      <c r="AB823" s="331"/>
      <c r="AC823" s="331"/>
      <c r="AD823" s="331"/>
      <c r="AE823" s="331"/>
      <c r="AF823" s="331"/>
      <c r="AG823" s="331"/>
      <c r="AH823" s="241">
        <f t="shared" ca="1" si="37"/>
        <v>46153</v>
      </c>
      <c r="AI823" s="272"/>
      <c r="AJ823" s="222"/>
      <c r="AK823" s="222"/>
    </row>
    <row r="824" spans="1:37" ht="23" hidden="1">
      <c r="A824" s="111">
        <v>926</v>
      </c>
      <c r="B824" s="112" t="s">
        <v>1082</v>
      </c>
      <c r="C824" s="113" t="s">
        <v>4438</v>
      </c>
      <c r="D824" s="147" t="s">
        <v>4439</v>
      </c>
      <c r="E824" s="114" t="s">
        <v>4440</v>
      </c>
      <c r="F824" s="115" t="s">
        <v>947</v>
      </c>
      <c r="G824" s="115" t="s">
        <v>1030</v>
      </c>
      <c r="H824" s="116">
        <v>13.745850600000001</v>
      </c>
      <c r="I824" s="116">
        <v>100.6038714</v>
      </c>
      <c r="J824" s="115" t="s">
        <v>2108</v>
      </c>
      <c r="K824" s="117" t="s">
        <v>2109</v>
      </c>
      <c r="L824" s="117" t="s">
        <v>2110</v>
      </c>
      <c r="M824" s="121" t="s">
        <v>972</v>
      </c>
      <c r="N824" s="121" t="s">
        <v>972</v>
      </c>
      <c r="O824" s="136" t="s">
        <v>901</v>
      </c>
      <c r="P824" s="136" t="s">
        <v>1876</v>
      </c>
      <c r="Q824" s="125" t="s">
        <v>972</v>
      </c>
      <c r="R824" s="125" t="s">
        <v>972</v>
      </c>
      <c r="S824" s="125" t="s">
        <v>972</v>
      </c>
      <c r="T824" s="222"/>
      <c r="U824" s="222"/>
      <c r="V824" s="222"/>
      <c r="W824" s="230"/>
      <c r="X824" s="331">
        <f t="shared" si="38"/>
        <v>0</v>
      </c>
      <c r="Y824" s="222"/>
      <c r="Z824" s="272">
        <f t="shared" si="36"/>
        <v>0</v>
      </c>
      <c r="AA824" s="331"/>
      <c r="AB824" s="331"/>
      <c r="AC824" s="331"/>
      <c r="AD824" s="331"/>
      <c r="AE824" s="331"/>
      <c r="AF824" s="331"/>
      <c r="AG824" s="331"/>
      <c r="AH824" s="241">
        <f t="shared" ca="1" si="37"/>
        <v>46153</v>
      </c>
      <c r="AI824" s="272"/>
      <c r="AJ824" s="222"/>
      <c r="AK824" s="222"/>
    </row>
    <row r="825" spans="1:37" ht="23" hidden="1">
      <c r="A825" s="111">
        <v>951</v>
      </c>
      <c r="B825" s="112">
        <v>11</v>
      </c>
      <c r="C825" s="122" t="s">
        <v>4498</v>
      </c>
      <c r="D825" s="147" t="s">
        <v>4499</v>
      </c>
      <c r="E825" s="123" t="s">
        <v>4500</v>
      </c>
      <c r="F825" s="116" t="s">
        <v>947</v>
      </c>
      <c r="G825" s="116" t="s">
        <v>901</v>
      </c>
      <c r="H825" s="116">
        <v>13.7530701</v>
      </c>
      <c r="I825" s="116">
        <v>100.6113495</v>
      </c>
      <c r="J825" s="115" t="s">
        <v>2108</v>
      </c>
      <c r="K825" s="117" t="s">
        <v>2109</v>
      </c>
      <c r="L825" s="117" t="s">
        <v>2110</v>
      </c>
      <c r="M825" s="121" t="s">
        <v>972</v>
      </c>
      <c r="N825" s="121" t="s">
        <v>972</v>
      </c>
      <c r="O825" s="136" t="s">
        <v>901</v>
      </c>
      <c r="P825" s="500" t="s">
        <v>1876</v>
      </c>
      <c r="Q825" s="125" t="s">
        <v>972</v>
      </c>
      <c r="R825" s="125" t="s">
        <v>972</v>
      </c>
      <c r="S825" s="125" t="s">
        <v>972</v>
      </c>
      <c r="T825" s="222"/>
      <c r="U825" s="222"/>
      <c r="V825" s="222"/>
      <c r="W825" s="230"/>
      <c r="X825" s="331">
        <f t="shared" si="38"/>
        <v>0</v>
      </c>
      <c r="Y825" s="222"/>
      <c r="Z825" s="272">
        <f t="shared" si="36"/>
        <v>0</v>
      </c>
      <c r="AA825" s="331"/>
      <c r="AB825" s="331"/>
      <c r="AC825" s="331"/>
      <c r="AD825" s="331"/>
      <c r="AE825" s="331"/>
      <c r="AF825" s="331"/>
      <c r="AG825" s="331"/>
      <c r="AH825" s="241">
        <f t="shared" ca="1" si="37"/>
        <v>46153</v>
      </c>
      <c r="AI825" s="272"/>
      <c r="AJ825" s="222"/>
      <c r="AK825" s="222"/>
    </row>
    <row r="826" spans="1:37" ht="14.5" hidden="1">
      <c r="A826" s="111">
        <v>1192</v>
      </c>
      <c r="B826" s="531" t="s">
        <v>1818</v>
      </c>
      <c r="C826" s="532"/>
      <c r="D826" s="532" t="s">
        <v>5161</v>
      </c>
      <c r="E826" s="537" t="s">
        <v>5168</v>
      </c>
      <c r="F826" s="532" t="s">
        <v>947</v>
      </c>
      <c r="G826" s="534" t="s">
        <v>2394</v>
      </c>
      <c r="H826" s="532">
        <v>13.775734699999999</v>
      </c>
      <c r="I826" s="532">
        <v>100.6709728</v>
      </c>
      <c r="J826" s="305"/>
      <c r="K826" s="305"/>
      <c r="L826" s="305"/>
      <c r="M826" s="222"/>
      <c r="N826" s="222"/>
      <c r="O826" s="498"/>
      <c r="P826" s="222"/>
      <c r="Q826" s="222"/>
      <c r="R826" s="222"/>
      <c r="S826" s="222"/>
      <c r="T826" s="222"/>
      <c r="U826" s="222"/>
      <c r="V826" s="222"/>
      <c r="W826" s="230"/>
      <c r="X826" s="331">
        <f t="shared" si="38"/>
        <v>0</v>
      </c>
      <c r="Y826" s="222"/>
      <c r="Z826" s="272">
        <f t="shared" si="36"/>
        <v>0</v>
      </c>
      <c r="AA826" s="331"/>
      <c r="AB826" s="331"/>
      <c r="AC826" s="331"/>
      <c r="AD826" s="331"/>
      <c r="AE826" s="331"/>
      <c r="AF826" s="331"/>
      <c r="AG826" s="331"/>
      <c r="AH826" s="241">
        <f t="shared" ca="1" si="37"/>
        <v>46153</v>
      </c>
      <c r="AI826" s="272"/>
      <c r="AJ826" s="222"/>
      <c r="AK826" s="222"/>
    </row>
    <row r="827" spans="1:37" ht="23.25" hidden="1" customHeight="1">
      <c r="A827" s="111">
        <v>276</v>
      </c>
      <c r="B827" s="112" t="s">
        <v>1022</v>
      </c>
      <c r="C827" s="113" t="s">
        <v>1191</v>
      </c>
      <c r="D827" s="147" t="s">
        <v>1192</v>
      </c>
      <c r="E827" s="114" t="s">
        <v>1193</v>
      </c>
      <c r="F827" s="115" t="s">
        <v>1194</v>
      </c>
      <c r="G827" s="115" t="s">
        <v>901</v>
      </c>
      <c r="H827" s="116">
        <v>13.7524221</v>
      </c>
      <c r="I827" s="116">
        <v>100.64406289999999</v>
      </c>
      <c r="J827" s="121" t="s">
        <v>890</v>
      </c>
      <c r="K827" s="117" t="s">
        <v>891</v>
      </c>
      <c r="L827" s="117" t="s">
        <v>891</v>
      </c>
      <c r="M827" s="124">
        <v>96893542</v>
      </c>
      <c r="N827" s="121" t="s">
        <v>892</v>
      </c>
      <c r="O827" s="135" t="s">
        <v>901</v>
      </c>
      <c r="P827" s="135" t="s">
        <v>972</v>
      </c>
      <c r="Q827" s="118">
        <v>80057501</v>
      </c>
      <c r="R827" s="119" t="s">
        <v>895</v>
      </c>
      <c r="S827" s="119" t="s">
        <v>895</v>
      </c>
      <c r="T827" s="222"/>
      <c r="U827" s="222"/>
      <c r="V827" s="222"/>
      <c r="W827" s="230"/>
      <c r="X827" s="331">
        <f t="shared" si="38"/>
        <v>0</v>
      </c>
      <c r="Y827" s="222"/>
      <c r="Z827" s="272">
        <f t="shared" si="36"/>
        <v>0</v>
      </c>
      <c r="AA827" s="331"/>
      <c r="AB827" s="331"/>
      <c r="AC827" s="331"/>
      <c r="AD827" s="331"/>
      <c r="AE827" s="331"/>
      <c r="AF827" s="331"/>
      <c r="AG827" s="331"/>
      <c r="AH827" s="241">
        <f t="shared" ca="1" si="37"/>
        <v>46153</v>
      </c>
      <c r="AI827" s="272"/>
      <c r="AJ827" s="222"/>
      <c r="AK827" s="222"/>
    </row>
    <row r="828" spans="1:37" ht="23.25" hidden="1" customHeight="1">
      <c r="A828" s="111">
        <v>944</v>
      </c>
      <c r="B828" s="112">
        <v>7</v>
      </c>
      <c r="C828" s="113" t="s">
        <v>1873</v>
      </c>
      <c r="D828" s="147" t="s">
        <v>1874</v>
      </c>
      <c r="E828" s="114" t="s">
        <v>1875</v>
      </c>
      <c r="F828" s="115" t="s">
        <v>1194</v>
      </c>
      <c r="G828" s="115" t="s">
        <v>901</v>
      </c>
      <c r="H828" s="116">
        <v>13.752151</v>
      </c>
      <c r="I828" s="116">
        <v>100.617493</v>
      </c>
      <c r="J828" s="121" t="s">
        <v>890</v>
      </c>
      <c r="K828" s="117" t="s">
        <v>891</v>
      </c>
      <c r="L828" s="117" t="s">
        <v>891</v>
      </c>
      <c r="M828" s="117">
        <v>96891567</v>
      </c>
      <c r="N828" s="121" t="s">
        <v>892</v>
      </c>
      <c r="O828" s="135" t="s">
        <v>901</v>
      </c>
      <c r="P828" s="117" t="s">
        <v>1876</v>
      </c>
      <c r="Q828" s="125" t="s">
        <v>972</v>
      </c>
      <c r="R828" s="138" t="s">
        <v>895</v>
      </c>
      <c r="S828" s="119" t="s">
        <v>895</v>
      </c>
      <c r="T828" s="222"/>
      <c r="U828" s="222"/>
      <c r="V828" s="222"/>
      <c r="W828" s="230"/>
      <c r="X828" s="331">
        <f t="shared" si="38"/>
        <v>0</v>
      </c>
      <c r="Y828" s="222"/>
      <c r="Z828" s="272">
        <f t="shared" si="36"/>
        <v>0</v>
      </c>
      <c r="AA828" s="331"/>
      <c r="AB828" s="331"/>
      <c r="AC828" s="331"/>
      <c r="AD828" s="331"/>
      <c r="AE828" s="331"/>
      <c r="AF828" s="331"/>
      <c r="AG828" s="331"/>
      <c r="AH828" s="241">
        <f t="shared" ca="1" si="37"/>
        <v>46153</v>
      </c>
      <c r="AI828" s="272"/>
      <c r="AJ828" s="222"/>
      <c r="AK828" s="222"/>
    </row>
    <row r="829" spans="1:37" ht="23.25" hidden="1" customHeight="1">
      <c r="A829" s="111">
        <v>646</v>
      </c>
      <c r="B829" s="112">
        <v>5</v>
      </c>
      <c r="C829" s="122" t="s">
        <v>3109</v>
      </c>
      <c r="D829" s="147" t="s">
        <v>3110</v>
      </c>
      <c r="E829" s="133" t="s">
        <v>3111</v>
      </c>
      <c r="F829" s="117" t="s">
        <v>3112</v>
      </c>
      <c r="G829" s="148" t="s">
        <v>3113</v>
      </c>
      <c r="H829" s="117" t="s">
        <v>3114</v>
      </c>
      <c r="I829" s="117">
        <v>100.61518719999999</v>
      </c>
      <c r="J829" s="117" t="s">
        <v>890</v>
      </c>
      <c r="K829" s="121" t="s">
        <v>891</v>
      </c>
      <c r="L829" s="121" t="s">
        <v>891</v>
      </c>
      <c r="M829" s="117">
        <v>97011710</v>
      </c>
      <c r="N829" s="117" t="s">
        <v>892</v>
      </c>
      <c r="O829" s="136" t="s">
        <v>901</v>
      </c>
      <c r="P829" s="117"/>
      <c r="Q829" s="118">
        <v>80057501</v>
      </c>
      <c r="R829" s="138"/>
      <c r="S829" s="119" t="s">
        <v>895</v>
      </c>
      <c r="T829" s="305" t="s">
        <v>5212</v>
      </c>
      <c r="U829" s="305" t="s">
        <v>5231</v>
      </c>
      <c r="V829" s="331">
        <v>45102</v>
      </c>
      <c r="W829" s="326">
        <v>4</v>
      </c>
      <c r="X829" s="331">
        <f t="shared" si="38"/>
        <v>45106</v>
      </c>
      <c r="Y829" s="331">
        <v>45118</v>
      </c>
      <c r="Z829" s="332">
        <f t="shared" si="36"/>
        <v>12</v>
      </c>
      <c r="AA829" s="331"/>
      <c r="AB829" s="331"/>
      <c r="AC829" s="331"/>
      <c r="AD829" s="331"/>
      <c r="AE829" s="331"/>
      <c r="AF829" s="331"/>
      <c r="AG829" s="331"/>
      <c r="AH829" s="331">
        <f t="shared" ca="1" si="37"/>
        <v>46153</v>
      </c>
      <c r="AI829" s="332"/>
      <c r="AJ829" s="312" t="s">
        <v>5143</v>
      </c>
      <c r="AK829" s="305"/>
    </row>
    <row r="830" spans="1:37" ht="23.25" hidden="1" customHeight="1">
      <c r="A830" s="111">
        <v>649</v>
      </c>
      <c r="B830" s="112">
        <v>9</v>
      </c>
      <c r="C830" s="122" t="s">
        <v>3141</v>
      </c>
      <c r="D830" s="160" t="s">
        <v>3142</v>
      </c>
      <c r="E830" s="133" t="s">
        <v>3143</v>
      </c>
      <c r="F830" s="117" t="s">
        <v>3112</v>
      </c>
      <c r="G830" s="148" t="s">
        <v>929</v>
      </c>
      <c r="H830" s="117" t="s">
        <v>3144</v>
      </c>
      <c r="I830" s="117">
        <v>100.6084669</v>
      </c>
      <c r="J830" s="117" t="s">
        <v>890</v>
      </c>
      <c r="K830" s="121" t="s">
        <v>891</v>
      </c>
      <c r="L830" s="121" t="s">
        <v>891</v>
      </c>
      <c r="M830" s="117">
        <v>97011711</v>
      </c>
      <c r="N830" s="117" t="s">
        <v>892</v>
      </c>
      <c r="O830" s="117" t="s">
        <v>901</v>
      </c>
      <c r="P830" s="117"/>
      <c r="Q830" s="119"/>
      <c r="R830" s="138" t="s">
        <v>895</v>
      </c>
      <c r="S830" s="119" t="s">
        <v>895</v>
      </c>
      <c r="T830" s="222"/>
      <c r="U830" s="222"/>
      <c r="V830" s="222"/>
      <c r="W830" s="230"/>
      <c r="X830" s="331">
        <f t="shared" si="38"/>
        <v>0</v>
      </c>
      <c r="Y830" s="222"/>
      <c r="Z830" s="272">
        <f t="shared" si="36"/>
        <v>0</v>
      </c>
      <c r="AA830" s="331"/>
      <c r="AB830" s="331"/>
      <c r="AC830" s="331"/>
      <c r="AD830" s="331"/>
      <c r="AE830" s="331"/>
      <c r="AF830" s="331"/>
      <c r="AG830" s="331"/>
      <c r="AH830" s="241">
        <f t="shared" ca="1" si="37"/>
        <v>46153</v>
      </c>
      <c r="AI830" s="272"/>
      <c r="AJ830" s="222"/>
      <c r="AK830" s="222"/>
    </row>
    <row r="831" spans="1:37" ht="23.25" hidden="1" customHeight="1">
      <c r="A831" s="111">
        <v>855</v>
      </c>
      <c r="B831" s="112">
        <v>10</v>
      </c>
      <c r="C831" s="122" t="s">
        <v>3567</v>
      </c>
      <c r="D831" s="147" t="s">
        <v>1830</v>
      </c>
      <c r="E831" s="133" t="s">
        <v>3568</v>
      </c>
      <c r="F831" s="117" t="s">
        <v>3112</v>
      </c>
      <c r="G831" s="148" t="s">
        <v>929</v>
      </c>
      <c r="H831" s="117" t="s">
        <v>3569</v>
      </c>
      <c r="I831" s="117">
        <v>100.60864770000001</v>
      </c>
      <c r="J831" s="117" t="s">
        <v>890</v>
      </c>
      <c r="K831" s="121" t="s">
        <v>891</v>
      </c>
      <c r="L831" s="121" t="s">
        <v>891</v>
      </c>
      <c r="M831" s="117">
        <v>97022658</v>
      </c>
      <c r="N831" s="117" t="s">
        <v>892</v>
      </c>
      <c r="O831" s="117" t="s">
        <v>906</v>
      </c>
      <c r="P831" s="136" t="s">
        <v>894</v>
      </c>
      <c r="Q831" s="119"/>
      <c r="R831" s="138" t="s">
        <v>895</v>
      </c>
      <c r="S831" s="119" t="s">
        <v>895</v>
      </c>
      <c r="T831" s="222"/>
      <c r="U831" s="222"/>
      <c r="V831" s="222"/>
      <c r="W831" s="230"/>
      <c r="X831" s="331">
        <f t="shared" si="38"/>
        <v>0</v>
      </c>
      <c r="Y831" s="222"/>
      <c r="Z831" s="272">
        <f t="shared" si="36"/>
        <v>0</v>
      </c>
      <c r="AA831" s="331"/>
      <c r="AB831" s="331"/>
      <c r="AC831" s="331"/>
      <c r="AD831" s="331"/>
      <c r="AE831" s="331"/>
      <c r="AF831" s="331"/>
      <c r="AG831" s="331"/>
      <c r="AH831" s="241">
        <f t="shared" ca="1" si="37"/>
        <v>46153</v>
      </c>
      <c r="AI831" s="272"/>
      <c r="AJ831" s="222"/>
      <c r="AK831" s="222"/>
    </row>
    <row r="832" spans="1:37" ht="23.25" hidden="1" customHeight="1">
      <c r="A832" s="111">
        <v>875</v>
      </c>
      <c r="B832" s="112">
        <v>11</v>
      </c>
      <c r="C832" s="122" t="s">
        <v>3644</v>
      </c>
      <c r="D832" s="147" t="s">
        <v>3645</v>
      </c>
      <c r="E832" s="157" t="s">
        <v>3646</v>
      </c>
      <c r="F832" s="117" t="s">
        <v>3112</v>
      </c>
      <c r="G832" s="148" t="s">
        <v>929</v>
      </c>
      <c r="H832" s="117" t="s">
        <v>3647</v>
      </c>
      <c r="I832" s="117">
        <v>100.605133</v>
      </c>
      <c r="J832" s="117" t="s">
        <v>890</v>
      </c>
      <c r="K832" s="121" t="s">
        <v>891</v>
      </c>
      <c r="L832" s="121" t="s">
        <v>891</v>
      </c>
      <c r="M832" s="117">
        <v>97022659</v>
      </c>
      <c r="N832" s="117" t="s">
        <v>892</v>
      </c>
      <c r="O832" s="117" t="s">
        <v>901</v>
      </c>
      <c r="P832" s="117" t="s">
        <v>894</v>
      </c>
      <c r="Q832" s="119"/>
      <c r="R832" s="119" t="s">
        <v>895</v>
      </c>
      <c r="S832" s="119" t="s">
        <v>895</v>
      </c>
      <c r="T832" s="222"/>
      <c r="U832" s="222"/>
      <c r="V832" s="222"/>
      <c r="W832" s="230"/>
      <c r="X832" s="331">
        <f t="shared" si="38"/>
        <v>0</v>
      </c>
      <c r="Y832" s="222"/>
      <c r="Z832" s="272">
        <f t="shared" si="36"/>
        <v>0</v>
      </c>
      <c r="AA832" s="331"/>
      <c r="AB832" s="331"/>
      <c r="AC832" s="331"/>
      <c r="AD832" s="331"/>
      <c r="AE832" s="331"/>
      <c r="AF832" s="331"/>
      <c r="AG832" s="331"/>
      <c r="AH832" s="241">
        <f t="shared" ca="1" si="37"/>
        <v>46153</v>
      </c>
      <c r="AI832" s="272"/>
      <c r="AJ832" s="222"/>
      <c r="AK832" s="222"/>
    </row>
    <row r="833" spans="1:37" ht="23.25" hidden="1" customHeight="1">
      <c r="A833" s="111">
        <v>895</v>
      </c>
      <c r="B833" s="112">
        <v>14</v>
      </c>
      <c r="C833" s="122" t="s">
        <v>3673</v>
      </c>
      <c r="D833" s="147" t="s">
        <v>3674</v>
      </c>
      <c r="E833" s="133" t="s">
        <v>3675</v>
      </c>
      <c r="F833" s="117" t="s">
        <v>3112</v>
      </c>
      <c r="G833" s="148" t="s">
        <v>929</v>
      </c>
      <c r="H833" s="117" t="s">
        <v>3676</v>
      </c>
      <c r="I833" s="117">
        <v>100.6079639</v>
      </c>
      <c r="J833" s="117" t="s">
        <v>890</v>
      </c>
      <c r="K833" s="121" t="s">
        <v>891</v>
      </c>
      <c r="L833" s="121" t="s">
        <v>891</v>
      </c>
      <c r="M833" s="117">
        <v>97011712</v>
      </c>
      <c r="N833" s="117" t="s">
        <v>892</v>
      </c>
      <c r="O833" s="117" t="s">
        <v>901</v>
      </c>
      <c r="P833" s="136"/>
      <c r="Q833" s="119"/>
      <c r="R833" s="119" t="s">
        <v>895</v>
      </c>
      <c r="S833" s="119" t="s">
        <v>895</v>
      </c>
      <c r="T833" s="222"/>
      <c r="U833" s="222"/>
      <c r="V833" s="222"/>
      <c r="W833" s="230"/>
      <c r="X833" s="331">
        <f t="shared" si="38"/>
        <v>0</v>
      </c>
      <c r="Y833" s="222"/>
      <c r="Z833" s="272">
        <f t="shared" si="36"/>
        <v>0</v>
      </c>
      <c r="AA833" s="331"/>
      <c r="AB833" s="331"/>
      <c r="AC833" s="331"/>
      <c r="AD833" s="331"/>
      <c r="AE833" s="331"/>
      <c r="AF833" s="331"/>
      <c r="AG833" s="331"/>
      <c r="AH833" s="241">
        <f t="shared" ca="1" si="37"/>
        <v>46153</v>
      </c>
      <c r="AI833" s="272"/>
      <c r="AJ833" s="222"/>
      <c r="AK833" s="222"/>
    </row>
    <row r="834" spans="1:37" ht="23.25" hidden="1" customHeight="1">
      <c r="A834" s="111">
        <v>817</v>
      </c>
      <c r="B834" s="112">
        <v>5</v>
      </c>
      <c r="C834" s="113" t="s">
        <v>4130</v>
      </c>
      <c r="D834" s="147" t="s">
        <v>4131</v>
      </c>
      <c r="E834" s="114" t="s">
        <v>4132</v>
      </c>
      <c r="F834" s="115" t="s">
        <v>4070</v>
      </c>
      <c r="G834" s="115" t="s">
        <v>4070</v>
      </c>
      <c r="H834" s="116">
        <v>13.682316999999999</v>
      </c>
      <c r="I834" s="116">
        <v>100.500692</v>
      </c>
      <c r="J834" s="116" t="s">
        <v>2108</v>
      </c>
      <c r="K834" s="115" t="s">
        <v>2081</v>
      </c>
      <c r="L834" s="118" t="s">
        <v>4133</v>
      </c>
      <c r="M834" s="121" t="s">
        <v>972</v>
      </c>
      <c r="N834" s="121" t="s">
        <v>972</v>
      </c>
      <c r="O834" s="115" t="s">
        <v>4070</v>
      </c>
      <c r="P834" s="140" t="s">
        <v>894</v>
      </c>
      <c r="Q834" s="125" t="s">
        <v>972</v>
      </c>
      <c r="R834" s="125" t="s">
        <v>972</v>
      </c>
      <c r="S834" s="130" t="s">
        <v>972</v>
      </c>
      <c r="T834" s="222"/>
      <c r="U834" s="222"/>
      <c r="V834" s="222"/>
      <c r="W834" s="230"/>
      <c r="X834" s="331">
        <f t="shared" si="38"/>
        <v>0</v>
      </c>
      <c r="Y834" s="222"/>
      <c r="Z834" s="272">
        <f t="shared" si="36"/>
        <v>0</v>
      </c>
      <c r="AA834" s="331"/>
      <c r="AB834" s="331"/>
      <c r="AC834" s="331"/>
      <c r="AD834" s="331"/>
      <c r="AE834" s="331"/>
      <c r="AF834" s="331"/>
      <c r="AG834" s="331"/>
      <c r="AH834" s="241">
        <f t="shared" ca="1" si="37"/>
        <v>46153</v>
      </c>
      <c r="AI834" s="272"/>
      <c r="AJ834" s="222"/>
      <c r="AK834" s="222"/>
    </row>
    <row r="835" spans="1:37" ht="23.25" hidden="1" customHeight="1">
      <c r="A835" s="111">
        <v>819</v>
      </c>
      <c r="B835" s="112">
        <v>10</v>
      </c>
      <c r="C835" s="113" t="s">
        <v>4134</v>
      </c>
      <c r="D835" s="147" t="s">
        <v>4135</v>
      </c>
      <c r="E835" s="114" t="s">
        <v>4136</v>
      </c>
      <c r="F835" s="115" t="s">
        <v>4070</v>
      </c>
      <c r="G835" s="115" t="s">
        <v>4070</v>
      </c>
      <c r="H835" s="116">
        <v>13.6854988</v>
      </c>
      <c r="I835" s="116">
        <v>100.49406380000001</v>
      </c>
      <c r="J835" s="116" t="s">
        <v>2108</v>
      </c>
      <c r="K835" s="115" t="s">
        <v>2081</v>
      </c>
      <c r="L835" s="118" t="s">
        <v>4137</v>
      </c>
      <c r="M835" s="121" t="s">
        <v>972</v>
      </c>
      <c r="N835" s="121" t="s">
        <v>972</v>
      </c>
      <c r="O835" s="115" t="s">
        <v>4070</v>
      </c>
      <c r="P835" s="136" t="s">
        <v>894</v>
      </c>
      <c r="Q835" s="125" t="s">
        <v>972</v>
      </c>
      <c r="R835" s="125" t="s">
        <v>972</v>
      </c>
      <c r="S835" s="125" t="s">
        <v>972</v>
      </c>
      <c r="T835" s="312" t="s">
        <v>5212</v>
      </c>
      <c r="U835" s="305" t="s">
        <v>5184</v>
      </c>
      <c r="V835" s="286">
        <v>45119</v>
      </c>
      <c r="W835" s="230">
        <v>4</v>
      </c>
      <c r="X835" s="331">
        <f t="shared" si="38"/>
        <v>45123</v>
      </c>
      <c r="Y835" s="273">
        <v>45161</v>
      </c>
      <c r="Z835" s="272">
        <f t="shared" ref="Z835:Z898" si="39">DATEDIF(X835,Y835,"d")</f>
        <v>38</v>
      </c>
      <c r="AA835" s="331"/>
      <c r="AB835" s="331"/>
      <c r="AC835" s="331"/>
      <c r="AD835" s="331"/>
      <c r="AE835" s="331"/>
      <c r="AF835" s="331"/>
      <c r="AG835" s="331"/>
      <c r="AH835" s="273">
        <f t="shared" ref="AH835:AH898" ca="1" si="40">TODAY()</f>
        <v>46153</v>
      </c>
      <c r="AI835" s="270"/>
      <c r="AJ835" s="316" t="s">
        <v>5284</v>
      </c>
      <c r="AK835" s="275"/>
    </row>
    <row r="836" spans="1:37" ht="23" hidden="1">
      <c r="A836" s="111">
        <v>828</v>
      </c>
      <c r="B836" s="112">
        <v>2</v>
      </c>
      <c r="C836" s="113" t="s">
        <v>4158</v>
      </c>
      <c r="D836" s="147" t="s">
        <v>4159</v>
      </c>
      <c r="E836" s="114" t="s">
        <v>4160</v>
      </c>
      <c r="F836" s="115" t="s">
        <v>4070</v>
      </c>
      <c r="G836" s="115" t="s">
        <v>4070</v>
      </c>
      <c r="H836" s="116">
        <v>13.6782076</v>
      </c>
      <c r="I836" s="116">
        <v>100.5128394</v>
      </c>
      <c r="J836" s="116" t="s">
        <v>2108</v>
      </c>
      <c r="K836" s="115" t="s">
        <v>2081</v>
      </c>
      <c r="L836" s="118" t="s">
        <v>4161</v>
      </c>
      <c r="M836" s="121" t="s">
        <v>972</v>
      </c>
      <c r="N836" s="121" t="s">
        <v>972</v>
      </c>
      <c r="O836" s="115" t="s">
        <v>4070</v>
      </c>
      <c r="P836" s="117" t="s">
        <v>894</v>
      </c>
      <c r="Q836" s="125" t="s">
        <v>972</v>
      </c>
      <c r="R836" s="130" t="s">
        <v>972</v>
      </c>
      <c r="S836" s="125" t="s">
        <v>972</v>
      </c>
      <c r="T836" s="222"/>
      <c r="U836" s="222"/>
      <c r="V836" s="222"/>
      <c r="W836" s="230"/>
      <c r="X836" s="331">
        <f t="shared" ref="X836:X899" si="41">V836+(W836)</f>
        <v>0</v>
      </c>
      <c r="Y836" s="222"/>
      <c r="Z836" s="272">
        <f t="shared" si="39"/>
        <v>0</v>
      </c>
      <c r="AA836" s="331"/>
      <c r="AB836" s="331"/>
      <c r="AC836" s="331"/>
      <c r="AD836" s="331"/>
      <c r="AE836" s="331"/>
      <c r="AF836" s="331"/>
      <c r="AG836" s="331"/>
      <c r="AH836" s="241">
        <f t="shared" ca="1" si="40"/>
        <v>46153</v>
      </c>
      <c r="AI836" s="272"/>
      <c r="AJ836" s="222"/>
      <c r="AK836" s="222"/>
    </row>
    <row r="837" spans="1:37" ht="23.25" hidden="1" customHeight="1">
      <c r="A837" s="111">
        <v>938</v>
      </c>
      <c r="B837" s="112">
        <v>1</v>
      </c>
      <c r="C837" s="113" t="s">
        <v>4465</v>
      </c>
      <c r="D837" s="147" t="s">
        <v>4466</v>
      </c>
      <c r="E837" s="114" t="s">
        <v>4467</v>
      </c>
      <c r="F837" s="115" t="s">
        <v>4070</v>
      </c>
      <c r="G837" s="115" t="s">
        <v>4070</v>
      </c>
      <c r="H837" s="116">
        <v>13.683042</v>
      </c>
      <c r="I837" s="116">
        <v>100.49913100000001</v>
      </c>
      <c r="J837" s="115" t="s">
        <v>2108</v>
      </c>
      <c r="K837" s="117" t="s">
        <v>2109</v>
      </c>
      <c r="L837" s="117" t="s">
        <v>2110</v>
      </c>
      <c r="M837" s="121" t="s">
        <v>972</v>
      </c>
      <c r="N837" s="121" t="s">
        <v>972</v>
      </c>
      <c r="O837" s="115" t="s">
        <v>4070</v>
      </c>
      <c r="P837" s="136" t="s">
        <v>1876</v>
      </c>
      <c r="Q837" s="125" t="s">
        <v>972</v>
      </c>
      <c r="R837" s="125" t="s">
        <v>972</v>
      </c>
      <c r="S837" s="125" t="s">
        <v>972</v>
      </c>
      <c r="T837" s="222"/>
      <c r="U837" s="222"/>
      <c r="V837" s="222"/>
      <c r="W837" s="230"/>
      <c r="X837" s="331">
        <f t="shared" si="41"/>
        <v>0</v>
      </c>
      <c r="Y837" s="222"/>
      <c r="Z837" s="272">
        <f t="shared" si="39"/>
        <v>0</v>
      </c>
      <c r="AA837" s="331"/>
      <c r="AB837" s="331"/>
      <c r="AC837" s="331"/>
      <c r="AD837" s="331"/>
      <c r="AE837" s="331"/>
      <c r="AF837" s="331"/>
      <c r="AG837" s="331"/>
      <c r="AH837" s="241">
        <f t="shared" ca="1" si="40"/>
        <v>46153</v>
      </c>
      <c r="AI837" s="272"/>
      <c r="AJ837" s="222"/>
      <c r="AK837" s="222"/>
    </row>
    <row r="838" spans="1:37" ht="23.25" hidden="1" customHeight="1">
      <c r="A838" s="111">
        <v>38</v>
      </c>
      <c r="B838" s="112">
        <v>12</v>
      </c>
      <c r="C838" s="122" t="s">
        <v>941</v>
      </c>
      <c r="D838" s="557" t="s">
        <v>942</v>
      </c>
      <c r="E838" s="123" t="s">
        <v>943</v>
      </c>
      <c r="F838" s="116" t="s">
        <v>900</v>
      </c>
      <c r="G838" s="116" t="s">
        <v>929</v>
      </c>
      <c r="H838" s="116">
        <v>13.7793238</v>
      </c>
      <c r="I838" s="116">
        <v>100.62161930000001</v>
      </c>
      <c r="J838" s="116" t="s">
        <v>890</v>
      </c>
      <c r="K838" s="117" t="s">
        <v>891</v>
      </c>
      <c r="L838" s="117" t="s">
        <v>891</v>
      </c>
      <c r="M838" s="117">
        <v>96894805</v>
      </c>
      <c r="N838" s="117" t="s">
        <v>892</v>
      </c>
      <c r="O838" s="117" t="s">
        <v>906</v>
      </c>
      <c r="P838" s="136" t="s">
        <v>902</v>
      </c>
      <c r="Q838" s="118">
        <v>80057501</v>
      </c>
      <c r="R838" s="119" t="s">
        <v>895</v>
      </c>
      <c r="S838" s="119" t="s">
        <v>895</v>
      </c>
      <c r="T838" s="222"/>
      <c r="U838" s="222"/>
      <c r="V838" s="222"/>
      <c r="W838" s="230"/>
      <c r="X838" s="331">
        <f t="shared" si="41"/>
        <v>0</v>
      </c>
      <c r="Y838" s="222"/>
      <c r="Z838" s="272">
        <f t="shared" si="39"/>
        <v>0</v>
      </c>
      <c r="AA838" s="331"/>
      <c r="AB838" s="331"/>
      <c r="AC838" s="331"/>
      <c r="AD838" s="331"/>
      <c r="AE838" s="331"/>
      <c r="AF838" s="331"/>
      <c r="AG838" s="331"/>
      <c r="AH838" s="241">
        <f t="shared" ca="1" si="40"/>
        <v>46153</v>
      </c>
      <c r="AI838" s="272"/>
      <c r="AJ838" s="222"/>
      <c r="AK838" s="222"/>
    </row>
    <row r="839" spans="1:37" ht="23.25" hidden="1" customHeight="1">
      <c r="A839" s="111">
        <v>203</v>
      </c>
      <c r="B839" s="112">
        <v>13</v>
      </c>
      <c r="C839" s="113" t="s">
        <v>1123</v>
      </c>
      <c r="D839" s="147" t="s">
        <v>1124</v>
      </c>
      <c r="E839" s="114" t="s">
        <v>1125</v>
      </c>
      <c r="F839" s="115" t="s">
        <v>900</v>
      </c>
      <c r="G839" s="115" t="s">
        <v>929</v>
      </c>
      <c r="H839" s="116">
        <v>13.778637</v>
      </c>
      <c r="I839" s="116">
        <v>100.622698</v>
      </c>
      <c r="J839" s="116" t="s">
        <v>890</v>
      </c>
      <c r="K839" s="117" t="s">
        <v>891</v>
      </c>
      <c r="L839" s="117" t="s">
        <v>891</v>
      </c>
      <c r="M839" s="117">
        <v>96896259</v>
      </c>
      <c r="N839" s="117" t="s">
        <v>892</v>
      </c>
      <c r="O839" s="136" t="s">
        <v>901</v>
      </c>
      <c r="P839" s="136" t="s">
        <v>902</v>
      </c>
      <c r="Q839" s="118">
        <v>80057501</v>
      </c>
      <c r="R839" s="119" t="s">
        <v>895</v>
      </c>
      <c r="S839" s="119" t="s">
        <v>895</v>
      </c>
      <c r="T839" s="222"/>
      <c r="U839" s="222"/>
      <c r="V839" s="222"/>
      <c r="W839" s="230"/>
      <c r="X839" s="331">
        <f t="shared" si="41"/>
        <v>0</v>
      </c>
      <c r="Y839" s="222"/>
      <c r="Z839" s="272">
        <f t="shared" si="39"/>
        <v>0</v>
      </c>
      <c r="AA839" s="331"/>
      <c r="AB839" s="331"/>
      <c r="AC839" s="331"/>
      <c r="AD839" s="331"/>
      <c r="AE839" s="331"/>
      <c r="AF839" s="331"/>
      <c r="AG839" s="331"/>
      <c r="AH839" s="241">
        <f t="shared" ca="1" si="40"/>
        <v>46153</v>
      </c>
      <c r="AI839" s="272"/>
      <c r="AJ839" s="222"/>
      <c r="AK839" s="222"/>
    </row>
    <row r="840" spans="1:37" ht="23" hidden="1">
      <c r="A840" s="111">
        <v>205</v>
      </c>
      <c r="B840" s="112">
        <v>16</v>
      </c>
      <c r="C840" s="113" t="s">
        <v>1126</v>
      </c>
      <c r="D840" s="147" t="s">
        <v>1127</v>
      </c>
      <c r="E840" s="114" t="s">
        <v>1128</v>
      </c>
      <c r="F840" s="115" t="s">
        <v>900</v>
      </c>
      <c r="G840" s="115" t="s">
        <v>929</v>
      </c>
      <c r="H840" s="116">
        <v>13.780776700000001</v>
      </c>
      <c r="I840" s="116">
        <v>100.6186862</v>
      </c>
      <c r="J840" s="116" t="s">
        <v>890</v>
      </c>
      <c r="K840" s="117" t="s">
        <v>891</v>
      </c>
      <c r="L840" s="118" t="s">
        <v>891</v>
      </c>
      <c r="M840" s="117">
        <v>96896277</v>
      </c>
      <c r="N840" s="117" t="s">
        <v>892</v>
      </c>
      <c r="O840" s="136" t="s">
        <v>901</v>
      </c>
      <c r="P840" s="136" t="s">
        <v>902</v>
      </c>
      <c r="Q840" s="118">
        <v>80057501</v>
      </c>
      <c r="R840" s="119" t="s">
        <v>895</v>
      </c>
      <c r="S840" s="119" t="s">
        <v>895</v>
      </c>
      <c r="T840" s="222" t="s">
        <v>5178</v>
      </c>
      <c r="U840" s="222" t="s">
        <v>5368</v>
      </c>
      <c r="V840" s="241">
        <v>45468</v>
      </c>
      <c r="W840" s="230">
        <v>2</v>
      </c>
      <c r="X840" s="331">
        <f t="shared" si="41"/>
        <v>45470</v>
      </c>
      <c r="Y840" s="222"/>
      <c r="Z840" s="272" t="e">
        <f t="shared" si="39"/>
        <v>#NUM!</v>
      </c>
      <c r="AA840" s="331"/>
      <c r="AB840" s="331"/>
      <c r="AC840" s="331"/>
      <c r="AD840" s="331"/>
      <c r="AE840" s="331"/>
      <c r="AF840" s="331"/>
      <c r="AG840" s="331"/>
      <c r="AH840" s="241">
        <f t="shared" ca="1" si="40"/>
        <v>46153</v>
      </c>
      <c r="AI840" s="272"/>
      <c r="AJ840" s="222" t="s">
        <v>5369</v>
      </c>
      <c r="AK840" s="222"/>
    </row>
    <row r="841" spans="1:37" ht="23" hidden="1">
      <c r="A841" s="111">
        <v>224</v>
      </c>
      <c r="B841" s="112">
        <v>15</v>
      </c>
      <c r="C841" s="113" t="s">
        <v>1149</v>
      </c>
      <c r="D841" s="147" t="s">
        <v>1150</v>
      </c>
      <c r="E841" s="114" t="s">
        <v>1151</v>
      </c>
      <c r="F841" s="115" t="s">
        <v>900</v>
      </c>
      <c r="G841" s="115" t="s">
        <v>929</v>
      </c>
      <c r="H841" s="116">
        <v>13.785373</v>
      </c>
      <c r="I841" s="116">
        <v>100.610877</v>
      </c>
      <c r="J841" s="116" t="s">
        <v>890</v>
      </c>
      <c r="K841" s="117" t="s">
        <v>891</v>
      </c>
      <c r="L841" s="118" t="s">
        <v>891</v>
      </c>
      <c r="M841" s="117">
        <v>96895454</v>
      </c>
      <c r="N841" s="117" t="s">
        <v>892</v>
      </c>
      <c r="O841" s="136" t="s">
        <v>906</v>
      </c>
      <c r="P841" s="136" t="s">
        <v>902</v>
      </c>
      <c r="Q841" s="118">
        <v>80057501</v>
      </c>
      <c r="R841" s="119" t="s">
        <v>895</v>
      </c>
      <c r="S841" s="119" t="s">
        <v>895</v>
      </c>
      <c r="T841" s="222"/>
      <c r="U841" s="222"/>
      <c r="V841" s="222"/>
      <c r="W841" s="230"/>
      <c r="X841" s="331">
        <f t="shared" si="41"/>
        <v>0</v>
      </c>
      <c r="Y841" s="222"/>
      <c r="Z841" s="272">
        <f t="shared" si="39"/>
        <v>0</v>
      </c>
      <c r="AA841" s="331"/>
      <c r="AB841" s="331"/>
      <c r="AC841" s="331"/>
      <c r="AD841" s="331"/>
      <c r="AE841" s="331"/>
      <c r="AF841" s="331"/>
      <c r="AG841" s="331"/>
      <c r="AH841" s="241">
        <f t="shared" ca="1" si="40"/>
        <v>46153</v>
      </c>
      <c r="AI841" s="272"/>
      <c r="AJ841" s="222"/>
      <c r="AK841" s="222"/>
    </row>
    <row r="842" spans="1:37" ht="23.25" hidden="1" customHeight="1">
      <c r="A842" s="111">
        <v>304</v>
      </c>
      <c r="B842" s="112">
        <v>15</v>
      </c>
      <c r="C842" s="113" t="s">
        <v>1241</v>
      </c>
      <c r="D842" s="147" t="s">
        <v>1242</v>
      </c>
      <c r="E842" s="114" t="s">
        <v>1243</v>
      </c>
      <c r="F842" s="115" t="s">
        <v>900</v>
      </c>
      <c r="G842" s="115" t="s">
        <v>901</v>
      </c>
      <c r="H842" s="116">
        <v>13.766666000000001</v>
      </c>
      <c r="I842" s="116">
        <v>100.644327</v>
      </c>
      <c r="J842" s="116" t="s">
        <v>890</v>
      </c>
      <c r="K842" s="117" t="s">
        <v>891</v>
      </c>
      <c r="L842" s="118" t="s">
        <v>891</v>
      </c>
      <c r="M842" s="117">
        <v>96895731</v>
      </c>
      <c r="N842" s="117" t="s">
        <v>892</v>
      </c>
      <c r="O842" s="136" t="s">
        <v>906</v>
      </c>
      <c r="P842" s="140" t="s">
        <v>902</v>
      </c>
      <c r="Q842" s="118">
        <v>80057501</v>
      </c>
      <c r="R842" s="138" t="s">
        <v>895</v>
      </c>
      <c r="S842" s="119" t="s">
        <v>895</v>
      </c>
      <c r="T842" s="222"/>
      <c r="U842" s="222"/>
      <c r="V842" s="222"/>
      <c r="W842" s="230"/>
      <c r="X842" s="331">
        <f t="shared" si="41"/>
        <v>0</v>
      </c>
      <c r="Y842" s="222"/>
      <c r="Z842" s="272">
        <f t="shared" si="39"/>
        <v>0</v>
      </c>
      <c r="AA842" s="331"/>
      <c r="AB842" s="331"/>
      <c r="AC842" s="331"/>
      <c r="AD842" s="331"/>
      <c r="AE842" s="331"/>
      <c r="AF842" s="331"/>
      <c r="AG842" s="331"/>
      <c r="AH842" s="241">
        <f t="shared" ca="1" si="40"/>
        <v>46153</v>
      </c>
      <c r="AI842" s="272"/>
      <c r="AJ842" s="222"/>
      <c r="AK842" s="222"/>
    </row>
    <row r="843" spans="1:37" ht="23.25" hidden="1" customHeight="1">
      <c r="A843" s="111">
        <v>328</v>
      </c>
      <c r="B843" s="112">
        <v>9</v>
      </c>
      <c r="C843" s="122" t="s">
        <v>1267</v>
      </c>
      <c r="D843" s="147" t="s">
        <v>1268</v>
      </c>
      <c r="E843" s="114" t="s">
        <v>1269</v>
      </c>
      <c r="F843" s="115" t="s">
        <v>900</v>
      </c>
      <c r="G843" s="115" t="s">
        <v>1094</v>
      </c>
      <c r="H843" s="116">
        <v>13.806195900000001</v>
      </c>
      <c r="I843" s="116">
        <v>100.5736354</v>
      </c>
      <c r="J843" s="116" t="s">
        <v>890</v>
      </c>
      <c r="K843" s="117" t="s">
        <v>891</v>
      </c>
      <c r="L843" s="129" t="s">
        <v>891</v>
      </c>
      <c r="M843" s="117">
        <v>96896580</v>
      </c>
      <c r="N843" s="117" t="s">
        <v>892</v>
      </c>
      <c r="O843" s="136" t="s">
        <v>995</v>
      </c>
      <c r="P843" s="500" t="s">
        <v>902</v>
      </c>
      <c r="Q843" s="118">
        <v>80057501</v>
      </c>
      <c r="R843" s="119" t="s">
        <v>895</v>
      </c>
      <c r="S843" s="119" t="s">
        <v>895</v>
      </c>
      <c r="T843" s="222"/>
      <c r="U843" s="222"/>
      <c r="V843" s="222"/>
      <c r="W843" s="230"/>
      <c r="X843" s="331">
        <f t="shared" si="41"/>
        <v>0</v>
      </c>
      <c r="Y843" s="222"/>
      <c r="Z843" s="272">
        <f t="shared" si="39"/>
        <v>0</v>
      </c>
      <c r="AA843" s="331"/>
      <c r="AB843" s="331"/>
      <c r="AC843" s="331"/>
      <c r="AD843" s="331"/>
      <c r="AE843" s="331"/>
      <c r="AF843" s="331"/>
      <c r="AG843" s="331"/>
      <c r="AH843" s="241">
        <f t="shared" ca="1" si="40"/>
        <v>46153</v>
      </c>
      <c r="AI843" s="272"/>
      <c r="AJ843" s="222"/>
      <c r="AK843" s="222"/>
    </row>
    <row r="844" spans="1:37" s="570" customFormat="1" ht="23.25" customHeight="1">
      <c r="A844" s="558">
        <v>354</v>
      </c>
      <c r="B844" s="559" t="s">
        <v>1114</v>
      </c>
      <c r="C844" s="560" t="s">
        <v>1292</v>
      </c>
      <c r="D844" s="557" t="s">
        <v>1293</v>
      </c>
      <c r="E844" s="572" t="s">
        <v>1294</v>
      </c>
      <c r="F844" s="563" t="s">
        <v>900</v>
      </c>
      <c r="G844" s="563" t="s">
        <v>929</v>
      </c>
      <c r="H844" s="562">
        <v>13.776956</v>
      </c>
      <c r="I844" s="562">
        <v>100.625741</v>
      </c>
      <c r="J844" s="562" t="s">
        <v>890</v>
      </c>
      <c r="K844" s="564" t="s">
        <v>891</v>
      </c>
      <c r="L844" s="564" t="s">
        <v>891</v>
      </c>
      <c r="M844" s="564">
        <v>96896571</v>
      </c>
      <c r="N844" s="564" t="s">
        <v>892</v>
      </c>
      <c r="O844" s="573" t="s">
        <v>901</v>
      </c>
      <c r="P844" s="564" t="s">
        <v>902</v>
      </c>
      <c r="Q844" s="118">
        <v>80057501</v>
      </c>
      <c r="R844" s="138" t="s">
        <v>895</v>
      </c>
      <c r="S844" s="119" t="s">
        <v>895</v>
      </c>
      <c r="T844" s="566"/>
      <c r="U844" s="566"/>
      <c r="V844" s="566"/>
      <c r="W844" s="567"/>
      <c r="X844" s="568">
        <f t="shared" si="41"/>
        <v>0</v>
      </c>
      <c r="Y844" s="566"/>
      <c r="Z844" s="569">
        <f t="shared" si="39"/>
        <v>0</v>
      </c>
      <c r="AA844" s="568"/>
      <c r="AB844" s="568"/>
      <c r="AC844" s="568"/>
      <c r="AD844" s="568"/>
      <c r="AE844" s="568"/>
      <c r="AF844" s="568"/>
      <c r="AG844" s="568"/>
      <c r="AH844" s="568">
        <f t="shared" ca="1" si="40"/>
        <v>46153</v>
      </c>
      <c r="AI844" s="569"/>
      <c r="AJ844" s="566"/>
      <c r="AK844" s="566"/>
    </row>
    <row r="845" spans="1:37" ht="23.25" hidden="1" customHeight="1">
      <c r="A845" s="111">
        <v>422</v>
      </c>
      <c r="B845" s="112">
        <v>13</v>
      </c>
      <c r="C845" s="113" t="s">
        <v>1376</v>
      </c>
      <c r="D845" s="147" t="s">
        <v>1377</v>
      </c>
      <c r="E845" s="114" t="s">
        <v>1378</v>
      </c>
      <c r="F845" s="115" t="s">
        <v>900</v>
      </c>
      <c r="G845" s="115" t="s">
        <v>1094</v>
      </c>
      <c r="H845" s="116">
        <v>13.805367</v>
      </c>
      <c r="I845" s="116">
        <v>100.574738</v>
      </c>
      <c r="J845" s="116" t="s">
        <v>890</v>
      </c>
      <c r="K845" s="117" t="s">
        <v>891</v>
      </c>
      <c r="L845" s="118" t="s">
        <v>891</v>
      </c>
      <c r="M845" s="117">
        <v>96896745</v>
      </c>
      <c r="N845" s="117" t="s">
        <v>892</v>
      </c>
      <c r="O845" s="145" t="s">
        <v>995</v>
      </c>
      <c r="P845" s="118" t="s">
        <v>902</v>
      </c>
      <c r="Q845" s="118">
        <v>80057501</v>
      </c>
      <c r="R845" s="119" t="s">
        <v>895</v>
      </c>
      <c r="S845" s="138" t="s">
        <v>895</v>
      </c>
      <c r="T845" s="222"/>
      <c r="U845" s="222"/>
      <c r="V845" s="222"/>
      <c r="W845" s="230"/>
      <c r="X845" s="331">
        <f t="shared" si="41"/>
        <v>0</v>
      </c>
      <c r="Y845" s="222"/>
      <c r="Z845" s="272">
        <f t="shared" si="39"/>
        <v>0</v>
      </c>
      <c r="AA845" s="331"/>
      <c r="AB845" s="331"/>
      <c r="AC845" s="331"/>
      <c r="AD845" s="331"/>
      <c r="AE845" s="331"/>
      <c r="AF845" s="331"/>
      <c r="AG845" s="331"/>
      <c r="AH845" s="241">
        <f t="shared" ca="1" si="40"/>
        <v>46153</v>
      </c>
      <c r="AI845" s="272"/>
      <c r="AJ845" s="222"/>
      <c r="AK845" s="222"/>
    </row>
    <row r="846" spans="1:37" ht="23.25" hidden="1" customHeight="1">
      <c r="A846" s="111">
        <v>423</v>
      </c>
      <c r="B846" s="112" t="s">
        <v>979</v>
      </c>
      <c r="C846" s="113" t="s">
        <v>1379</v>
      </c>
      <c r="D846" s="147" t="s">
        <v>1380</v>
      </c>
      <c r="E846" s="114" t="s">
        <v>1381</v>
      </c>
      <c r="F846" s="115" t="s">
        <v>900</v>
      </c>
      <c r="G846" s="115" t="s">
        <v>929</v>
      </c>
      <c r="H846" s="115">
        <v>13.791829399999999</v>
      </c>
      <c r="I846" s="115">
        <v>100.598899</v>
      </c>
      <c r="J846" s="116" t="s">
        <v>890</v>
      </c>
      <c r="K846" s="117" t="s">
        <v>891</v>
      </c>
      <c r="L846" s="118" t="s">
        <v>891</v>
      </c>
      <c r="M846" s="117">
        <v>96895732</v>
      </c>
      <c r="N846" s="117" t="s">
        <v>892</v>
      </c>
      <c r="O846" s="145" t="s">
        <v>995</v>
      </c>
      <c r="P846" s="140" t="s">
        <v>902</v>
      </c>
      <c r="Q846" s="118">
        <v>80057501</v>
      </c>
      <c r="R846" s="119" t="s">
        <v>895</v>
      </c>
      <c r="S846" s="119" t="s">
        <v>895</v>
      </c>
      <c r="T846" s="222"/>
      <c r="U846" s="222"/>
      <c r="V846" s="222"/>
      <c r="W846" s="230"/>
      <c r="X846" s="331">
        <f t="shared" si="41"/>
        <v>0</v>
      </c>
      <c r="Y846" s="222"/>
      <c r="Z846" s="272">
        <f t="shared" si="39"/>
        <v>0</v>
      </c>
      <c r="AA846" s="331"/>
      <c r="AB846" s="331"/>
      <c r="AC846" s="331"/>
      <c r="AD846" s="331"/>
      <c r="AE846" s="331"/>
      <c r="AF846" s="331"/>
      <c r="AG846" s="331"/>
      <c r="AH846" s="241">
        <f t="shared" ca="1" si="40"/>
        <v>46153</v>
      </c>
      <c r="AI846" s="272"/>
      <c r="AJ846" s="222"/>
      <c r="AK846" s="222"/>
    </row>
    <row r="847" spans="1:37" ht="23.25" hidden="1" customHeight="1">
      <c r="A847" s="111">
        <v>570</v>
      </c>
      <c r="B847" s="112">
        <v>16</v>
      </c>
      <c r="C847" s="122" t="s">
        <v>1526</v>
      </c>
      <c r="D847" s="147" t="s">
        <v>1527</v>
      </c>
      <c r="E847" s="123" t="s">
        <v>1528</v>
      </c>
      <c r="F847" s="116" t="s">
        <v>900</v>
      </c>
      <c r="G847" s="116" t="s">
        <v>901</v>
      </c>
      <c r="H847" s="116">
        <v>13.768618099999999</v>
      </c>
      <c r="I847" s="116">
        <v>100.6403067</v>
      </c>
      <c r="J847" s="116" t="s">
        <v>890</v>
      </c>
      <c r="K847" s="117" t="s">
        <v>891</v>
      </c>
      <c r="L847" s="118" t="s">
        <v>891</v>
      </c>
      <c r="M847" s="117">
        <v>96895736</v>
      </c>
      <c r="N847" s="117" t="s">
        <v>892</v>
      </c>
      <c r="O847" s="136" t="s">
        <v>901</v>
      </c>
      <c r="P847" s="140" t="s">
        <v>902</v>
      </c>
      <c r="Q847" s="118">
        <v>80057501</v>
      </c>
      <c r="R847" s="119" t="s">
        <v>895</v>
      </c>
      <c r="S847" s="119" t="s">
        <v>895</v>
      </c>
      <c r="T847" s="222"/>
      <c r="U847" s="222"/>
      <c r="V847" s="222"/>
      <c r="W847" s="230"/>
      <c r="X847" s="331">
        <f t="shared" si="41"/>
        <v>0</v>
      </c>
      <c r="Y847" s="222"/>
      <c r="Z847" s="272">
        <f t="shared" si="39"/>
        <v>0</v>
      </c>
      <c r="AA847" s="331"/>
      <c r="AB847" s="331"/>
      <c r="AC847" s="331"/>
      <c r="AD847" s="331"/>
      <c r="AE847" s="331"/>
      <c r="AF847" s="331"/>
      <c r="AG847" s="331"/>
      <c r="AH847" s="241">
        <f t="shared" ca="1" si="40"/>
        <v>46153</v>
      </c>
      <c r="AI847" s="272"/>
      <c r="AJ847" s="222"/>
      <c r="AK847" s="222"/>
    </row>
    <row r="848" spans="1:37" ht="23.25" hidden="1" customHeight="1">
      <c r="A848" s="111">
        <v>619</v>
      </c>
      <c r="B848" s="128" t="s">
        <v>1569</v>
      </c>
      <c r="C848" s="113" t="s">
        <v>1570</v>
      </c>
      <c r="D848" s="557" t="s">
        <v>1571</v>
      </c>
      <c r="E848" s="114" t="s">
        <v>1572</v>
      </c>
      <c r="F848" s="115" t="s">
        <v>900</v>
      </c>
      <c r="G848" s="115" t="s">
        <v>929</v>
      </c>
      <c r="H848" s="116">
        <v>13.785246000000001</v>
      </c>
      <c r="I848" s="116">
        <v>100.611043</v>
      </c>
      <c r="J848" s="116" t="s">
        <v>890</v>
      </c>
      <c r="K848" s="117" t="s">
        <v>891</v>
      </c>
      <c r="L848" s="117" t="s">
        <v>891</v>
      </c>
      <c r="M848" s="117">
        <v>96895737</v>
      </c>
      <c r="N848" s="117" t="s">
        <v>892</v>
      </c>
      <c r="O848" s="136" t="s">
        <v>906</v>
      </c>
      <c r="P848" s="136" t="s">
        <v>902</v>
      </c>
      <c r="Q848" s="118">
        <v>80057501</v>
      </c>
      <c r="R848" s="119" t="s">
        <v>895</v>
      </c>
      <c r="S848" s="119" t="s">
        <v>895</v>
      </c>
      <c r="T848" s="222"/>
      <c r="U848" s="222"/>
      <c r="V848" s="222"/>
      <c r="W848" s="230"/>
      <c r="X848" s="331">
        <f t="shared" si="41"/>
        <v>0</v>
      </c>
      <c r="Y848" s="222"/>
      <c r="Z848" s="272">
        <f t="shared" si="39"/>
        <v>0</v>
      </c>
      <c r="AA848" s="331"/>
      <c r="AB848" s="331"/>
      <c r="AC848" s="331"/>
      <c r="AD848" s="331"/>
      <c r="AE848" s="331"/>
      <c r="AF848" s="331"/>
      <c r="AG848" s="331"/>
      <c r="AH848" s="241">
        <f t="shared" ca="1" si="40"/>
        <v>46153</v>
      </c>
      <c r="AI848" s="272"/>
      <c r="AJ848" s="222"/>
      <c r="AK848" s="222"/>
    </row>
    <row r="849" spans="1:37" ht="23.25" hidden="1" customHeight="1">
      <c r="A849" s="111">
        <v>629</v>
      </c>
      <c r="B849" s="112" t="s">
        <v>1459</v>
      </c>
      <c r="C849" s="113" t="s">
        <v>1582</v>
      </c>
      <c r="D849" s="147" t="s">
        <v>1583</v>
      </c>
      <c r="E849" s="114" t="s">
        <v>1584</v>
      </c>
      <c r="F849" s="115" t="s">
        <v>900</v>
      </c>
      <c r="G849" s="115" t="s">
        <v>929</v>
      </c>
      <c r="H849" s="131">
        <v>13.79158</v>
      </c>
      <c r="I849" s="116">
        <v>100.599717</v>
      </c>
      <c r="J849" s="116" t="s">
        <v>890</v>
      </c>
      <c r="K849" s="117" t="s">
        <v>891</v>
      </c>
      <c r="L849" s="117" t="s">
        <v>891</v>
      </c>
      <c r="M849" s="117">
        <v>96895738</v>
      </c>
      <c r="N849" s="117" t="s">
        <v>892</v>
      </c>
      <c r="O849" s="136" t="s">
        <v>995</v>
      </c>
      <c r="P849" s="136" t="s">
        <v>902</v>
      </c>
      <c r="Q849" s="118">
        <v>80057501</v>
      </c>
      <c r="R849" s="138" t="s">
        <v>895</v>
      </c>
      <c r="S849" s="119" t="s">
        <v>895</v>
      </c>
      <c r="T849" s="222"/>
      <c r="U849" s="222"/>
      <c r="V849" s="222"/>
      <c r="W849" s="230"/>
      <c r="X849" s="331">
        <f t="shared" si="41"/>
        <v>0</v>
      </c>
      <c r="Y849" s="222"/>
      <c r="Z849" s="272">
        <f t="shared" si="39"/>
        <v>0</v>
      </c>
      <c r="AA849" s="331"/>
      <c r="AB849" s="331"/>
      <c r="AC849" s="331"/>
      <c r="AD849" s="331"/>
      <c r="AE849" s="331"/>
      <c r="AF849" s="331"/>
      <c r="AG849" s="331"/>
      <c r="AH849" s="241">
        <f t="shared" ca="1" si="40"/>
        <v>46153</v>
      </c>
      <c r="AI849" s="272"/>
      <c r="AJ849" s="222"/>
      <c r="AK849" s="222"/>
    </row>
    <row r="850" spans="1:37" ht="23.25" hidden="1" customHeight="1">
      <c r="A850" s="111">
        <v>630</v>
      </c>
      <c r="B850" s="112">
        <v>14</v>
      </c>
      <c r="C850" s="122" t="s">
        <v>1585</v>
      </c>
      <c r="D850" s="147" t="s">
        <v>1586</v>
      </c>
      <c r="E850" s="123" t="s">
        <v>1587</v>
      </c>
      <c r="F850" s="116" t="s">
        <v>900</v>
      </c>
      <c r="G850" s="116" t="s">
        <v>901</v>
      </c>
      <c r="H850" s="116">
        <v>13.7730721</v>
      </c>
      <c r="I850" s="116">
        <v>100.63282169999999</v>
      </c>
      <c r="J850" s="116" t="s">
        <v>890</v>
      </c>
      <c r="K850" s="117" t="s">
        <v>891</v>
      </c>
      <c r="L850" s="117" t="s">
        <v>891</v>
      </c>
      <c r="M850" s="117">
        <v>96895739</v>
      </c>
      <c r="N850" s="117" t="s">
        <v>892</v>
      </c>
      <c r="O850" s="117" t="s">
        <v>906</v>
      </c>
      <c r="P850" s="117" t="s">
        <v>902</v>
      </c>
      <c r="Q850" s="118">
        <v>80057501</v>
      </c>
      <c r="R850" s="119" t="s">
        <v>895</v>
      </c>
      <c r="S850" s="119" t="s">
        <v>895</v>
      </c>
      <c r="T850" s="222"/>
      <c r="U850" s="222"/>
      <c r="V850" s="222"/>
      <c r="W850" s="230"/>
      <c r="X850" s="331">
        <f t="shared" si="41"/>
        <v>0</v>
      </c>
      <c r="Y850" s="222"/>
      <c r="Z850" s="272">
        <f t="shared" si="39"/>
        <v>0</v>
      </c>
      <c r="AA850" s="331"/>
      <c r="AB850" s="331"/>
      <c r="AC850" s="331"/>
      <c r="AD850" s="331"/>
      <c r="AE850" s="331"/>
      <c r="AF850" s="331"/>
      <c r="AG850" s="331"/>
      <c r="AH850" s="241">
        <f t="shared" ca="1" si="40"/>
        <v>46153</v>
      </c>
      <c r="AI850" s="272"/>
      <c r="AJ850" s="222"/>
      <c r="AK850" s="222"/>
    </row>
    <row r="851" spans="1:37" ht="23.25" hidden="1" customHeight="1">
      <c r="A851" s="111">
        <v>670</v>
      </c>
      <c r="B851" s="112">
        <v>12</v>
      </c>
      <c r="C851" s="113" t="s">
        <v>1627</v>
      </c>
      <c r="D851" s="147" t="s">
        <v>1628</v>
      </c>
      <c r="E851" s="114" t="s">
        <v>1629</v>
      </c>
      <c r="F851" s="115" t="s">
        <v>900</v>
      </c>
      <c r="G851" s="115" t="s">
        <v>901</v>
      </c>
      <c r="H851" s="116">
        <v>13.7719497</v>
      </c>
      <c r="I851" s="116">
        <v>100.6348103</v>
      </c>
      <c r="J851" s="116" t="s">
        <v>890</v>
      </c>
      <c r="K851" s="117" t="s">
        <v>891</v>
      </c>
      <c r="L851" s="117" t="s">
        <v>891</v>
      </c>
      <c r="M851" s="117">
        <v>96895741</v>
      </c>
      <c r="N851" s="117" t="s">
        <v>892</v>
      </c>
      <c r="O851" s="136" t="s">
        <v>906</v>
      </c>
      <c r="P851" s="136" t="s">
        <v>902</v>
      </c>
      <c r="Q851" s="118">
        <v>80057501</v>
      </c>
      <c r="R851" s="138" t="s">
        <v>895</v>
      </c>
      <c r="S851" s="119" t="s">
        <v>895</v>
      </c>
      <c r="T851" s="222"/>
      <c r="U851" s="222"/>
      <c r="V851" s="222"/>
      <c r="W851" s="230"/>
      <c r="X851" s="331">
        <f t="shared" si="41"/>
        <v>0</v>
      </c>
      <c r="Y851" s="222"/>
      <c r="Z851" s="272">
        <f t="shared" si="39"/>
        <v>0</v>
      </c>
      <c r="AA851" s="331"/>
      <c r="AB851" s="331"/>
      <c r="AC851" s="331"/>
      <c r="AD851" s="331"/>
      <c r="AE851" s="331"/>
      <c r="AF851" s="331"/>
      <c r="AG851" s="331"/>
      <c r="AH851" s="241">
        <f t="shared" ca="1" si="40"/>
        <v>46153</v>
      </c>
      <c r="AI851" s="272"/>
      <c r="AJ851" s="222"/>
      <c r="AK851" s="222"/>
    </row>
    <row r="852" spans="1:37" ht="23.25" hidden="1" customHeight="1">
      <c r="A852" s="111">
        <v>673</v>
      </c>
      <c r="B852" s="112">
        <v>11</v>
      </c>
      <c r="C852" s="113" t="s">
        <v>1630</v>
      </c>
      <c r="D852" s="147" t="s">
        <v>1631</v>
      </c>
      <c r="E852" s="114" t="s">
        <v>1632</v>
      </c>
      <c r="F852" s="115" t="s">
        <v>900</v>
      </c>
      <c r="G852" s="115" t="s">
        <v>1094</v>
      </c>
      <c r="H852" s="116">
        <v>13.810364699999999</v>
      </c>
      <c r="I852" s="116">
        <v>100.56578469999999</v>
      </c>
      <c r="J852" s="116" t="s">
        <v>890</v>
      </c>
      <c r="K852" s="117" t="s">
        <v>891</v>
      </c>
      <c r="L852" s="118" t="s">
        <v>891</v>
      </c>
      <c r="M852" s="117">
        <v>96896747</v>
      </c>
      <c r="N852" s="117" t="s">
        <v>892</v>
      </c>
      <c r="O852" s="136" t="s">
        <v>995</v>
      </c>
      <c r="P852" s="118" t="s">
        <v>902</v>
      </c>
      <c r="Q852" s="118">
        <v>80057501</v>
      </c>
      <c r="R852" s="138" t="s">
        <v>895</v>
      </c>
      <c r="S852" s="119" t="s">
        <v>895</v>
      </c>
      <c r="T852" s="222"/>
      <c r="U852" s="222"/>
      <c r="V852" s="222"/>
      <c r="W852" s="230"/>
      <c r="X852" s="331">
        <f t="shared" si="41"/>
        <v>0</v>
      </c>
      <c r="Y852" s="222"/>
      <c r="Z852" s="272">
        <f t="shared" si="39"/>
        <v>0</v>
      </c>
      <c r="AA852" s="331"/>
      <c r="AB852" s="331"/>
      <c r="AC852" s="331"/>
      <c r="AD852" s="331"/>
      <c r="AE852" s="331"/>
      <c r="AF852" s="331"/>
      <c r="AG852" s="331"/>
      <c r="AH852" s="241">
        <f t="shared" ca="1" si="40"/>
        <v>46153</v>
      </c>
      <c r="AI852" s="272"/>
      <c r="AJ852" s="222"/>
      <c r="AK852" s="222"/>
    </row>
    <row r="853" spans="1:37" ht="23" hidden="1">
      <c r="A853" s="111">
        <v>699</v>
      </c>
      <c r="B853" s="112">
        <v>6</v>
      </c>
      <c r="C853" s="113" t="s">
        <v>1673</v>
      </c>
      <c r="D853" s="147" t="s">
        <v>1674</v>
      </c>
      <c r="E853" s="114" t="s">
        <v>1675</v>
      </c>
      <c r="F853" s="115" t="s">
        <v>900</v>
      </c>
      <c r="G853" s="115" t="s">
        <v>901</v>
      </c>
      <c r="H853" s="116">
        <v>13.771255999999999</v>
      </c>
      <c r="I853" s="116">
        <v>100.63605200000001</v>
      </c>
      <c r="J853" s="116" t="s">
        <v>890</v>
      </c>
      <c r="K853" s="117" t="s">
        <v>891</v>
      </c>
      <c r="L853" s="117" t="s">
        <v>891</v>
      </c>
      <c r="M853" s="117">
        <v>96895742</v>
      </c>
      <c r="N853" s="117" t="s">
        <v>892</v>
      </c>
      <c r="O853" s="136" t="s">
        <v>906</v>
      </c>
      <c r="P853" s="117" t="s">
        <v>902</v>
      </c>
      <c r="Q853" s="118">
        <v>80057501</v>
      </c>
      <c r="R853" s="119" t="s">
        <v>895</v>
      </c>
      <c r="S853" s="119" t="s">
        <v>895</v>
      </c>
      <c r="T853" s="222"/>
      <c r="U853" s="222"/>
      <c r="V853" s="222"/>
      <c r="W853" s="230"/>
      <c r="X853" s="331">
        <f t="shared" si="41"/>
        <v>0</v>
      </c>
      <c r="Y853" s="222"/>
      <c r="Z853" s="272">
        <f t="shared" si="39"/>
        <v>0</v>
      </c>
      <c r="AA853" s="331"/>
      <c r="AB853" s="331"/>
      <c r="AC853" s="331"/>
      <c r="AD853" s="331"/>
      <c r="AE853" s="331"/>
      <c r="AF853" s="331"/>
      <c r="AG853" s="331"/>
      <c r="AH853" s="241">
        <f t="shared" ca="1" si="40"/>
        <v>46153</v>
      </c>
      <c r="AI853" s="272"/>
      <c r="AJ853" s="222"/>
      <c r="AK853" s="222"/>
    </row>
    <row r="854" spans="1:37" ht="23.25" hidden="1" customHeight="1">
      <c r="A854" s="111">
        <v>728</v>
      </c>
      <c r="B854" s="112">
        <v>8</v>
      </c>
      <c r="C854" s="113" t="s">
        <v>1682</v>
      </c>
      <c r="D854" s="147" t="s">
        <v>1683</v>
      </c>
      <c r="E854" s="114" t="s">
        <v>1684</v>
      </c>
      <c r="F854" s="115" t="s">
        <v>900</v>
      </c>
      <c r="G854" s="115" t="s">
        <v>929</v>
      </c>
      <c r="H854" s="116">
        <v>13.792687000000001</v>
      </c>
      <c r="I854" s="116">
        <v>100.597695</v>
      </c>
      <c r="J854" s="116" t="s">
        <v>890</v>
      </c>
      <c r="K854" s="117" t="s">
        <v>891</v>
      </c>
      <c r="L854" s="118" t="s">
        <v>891</v>
      </c>
      <c r="M854" s="117">
        <v>96895743</v>
      </c>
      <c r="N854" s="117" t="s">
        <v>892</v>
      </c>
      <c r="O854" s="136" t="s">
        <v>995</v>
      </c>
      <c r="P854" s="118" t="s">
        <v>902</v>
      </c>
      <c r="Q854" s="118">
        <v>80057501</v>
      </c>
      <c r="R854" s="119" t="s">
        <v>895</v>
      </c>
      <c r="S854" s="119" t="s">
        <v>895</v>
      </c>
      <c r="T854" s="222"/>
      <c r="U854" s="222"/>
      <c r="V854" s="222"/>
      <c r="W854" s="230"/>
      <c r="X854" s="331">
        <f t="shared" si="41"/>
        <v>0</v>
      </c>
      <c r="Y854" s="222"/>
      <c r="Z854" s="272">
        <f t="shared" si="39"/>
        <v>0</v>
      </c>
      <c r="AA854" s="331"/>
      <c r="AB854" s="331"/>
      <c r="AC854" s="331"/>
      <c r="AD854" s="331"/>
      <c r="AE854" s="331"/>
      <c r="AF854" s="331"/>
      <c r="AG854" s="331"/>
      <c r="AH854" s="241">
        <f t="shared" ca="1" si="40"/>
        <v>46153</v>
      </c>
      <c r="AI854" s="272"/>
      <c r="AJ854" s="222"/>
      <c r="AK854" s="222"/>
    </row>
    <row r="855" spans="1:37" ht="23.25" hidden="1" customHeight="1">
      <c r="A855" s="111">
        <v>744</v>
      </c>
      <c r="B855" s="112" t="s">
        <v>1013</v>
      </c>
      <c r="C855" s="113" t="s">
        <v>1696</v>
      </c>
      <c r="D855" s="147" t="s">
        <v>1697</v>
      </c>
      <c r="E855" s="114" t="s">
        <v>1698</v>
      </c>
      <c r="F855" s="115" t="s">
        <v>900</v>
      </c>
      <c r="G855" s="115" t="s">
        <v>929</v>
      </c>
      <c r="H855" s="116">
        <v>13.780196200000001</v>
      </c>
      <c r="I855" s="116">
        <v>100.6197184</v>
      </c>
      <c r="J855" s="116" t="s">
        <v>890</v>
      </c>
      <c r="K855" s="117" t="s">
        <v>891</v>
      </c>
      <c r="L855" s="117" t="s">
        <v>891</v>
      </c>
      <c r="M855" s="117">
        <v>96895744</v>
      </c>
      <c r="N855" s="117" t="s">
        <v>892</v>
      </c>
      <c r="O855" s="136" t="s">
        <v>901</v>
      </c>
      <c r="P855" s="117" t="s">
        <v>902</v>
      </c>
      <c r="Q855" s="118">
        <v>80057501</v>
      </c>
      <c r="R855" s="138" t="s">
        <v>895</v>
      </c>
      <c r="S855" s="119" t="s">
        <v>895</v>
      </c>
      <c r="T855" s="222"/>
      <c r="U855" s="222"/>
      <c r="V855" s="222"/>
      <c r="W855" s="230"/>
      <c r="X855" s="331">
        <f t="shared" si="41"/>
        <v>0</v>
      </c>
      <c r="Y855" s="222"/>
      <c r="Z855" s="272">
        <f t="shared" si="39"/>
        <v>0</v>
      </c>
      <c r="AA855" s="331"/>
      <c r="AB855" s="331"/>
      <c r="AC855" s="331"/>
      <c r="AD855" s="331"/>
      <c r="AE855" s="331"/>
      <c r="AF855" s="331"/>
      <c r="AG855" s="331"/>
      <c r="AH855" s="241">
        <f t="shared" ca="1" si="40"/>
        <v>46153</v>
      </c>
      <c r="AI855" s="272"/>
      <c r="AJ855" s="222"/>
      <c r="AK855" s="222"/>
    </row>
    <row r="856" spans="1:37" ht="23.25" hidden="1" customHeight="1">
      <c r="A856" s="111">
        <v>799</v>
      </c>
      <c r="B856" s="112">
        <v>6</v>
      </c>
      <c r="C856" s="113" t="s">
        <v>1769</v>
      </c>
      <c r="D856" s="147" t="s">
        <v>1770</v>
      </c>
      <c r="E856" s="114" t="s">
        <v>1771</v>
      </c>
      <c r="F856" s="115" t="s">
        <v>900</v>
      </c>
      <c r="G856" s="115" t="s">
        <v>929</v>
      </c>
      <c r="H856" s="116">
        <v>13.776424</v>
      </c>
      <c r="I856" s="116">
        <v>100.626464</v>
      </c>
      <c r="J856" s="116" t="s">
        <v>890</v>
      </c>
      <c r="K856" s="117" t="s">
        <v>891</v>
      </c>
      <c r="L856" s="117" t="s">
        <v>891</v>
      </c>
      <c r="M856" s="117">
        <v>96895745</v>
      </c>
      <c r="N856" s="117" t="s">
        <v>892</v>
      </c>
      <c r="O856" s="136" t="s">
        <v>901</v>
      </c>
      <c r="P856" s="117" t="s">
        <v>902</v>
      </c>
      <c r="Q856" s="118">
        <v>80057501</v>
      </c>
      <c r="R856" s="119" t="s">
        <v>895</v>
      </c>
      <c r="S856" s="119" t="s">
        <v>895</v>
      </c>
      <c r="T856" s="222"/>
      <c r="U856" s="222"/>
      <c r="V856" s="222"/>
      <c r="W856" s="230"/>
      <c r="X856" s="331">
        <f t="shared" si="41"/>
        <v>0</v>
      </c>
      <c r="Y856" s="222"/>
      <c r="Z856" s="272">
        <f t="shared" si="39"/>
        <v>0</v>
      </c>
      <c r="AA856" s="331"/>
      <c r="AB856" s="331"/>
      <c r="AC856" s="331"/>
      <c r="AD856" s="331"/>
      <c r="AE856" s="331"/>
      <c r="AF856" s="331"/>
      <c r="AG856" s="331"/>
      <c r="AH856" s="241">
        <f t="shared" ca="1" si="40"/>
        <v>46153</v>
      </c>
      <c r="AI856" s="272"/>
      <c r="AJ856" s="222"/>
      <c r="AK856" s="222"/>
    </row>
    <row r="857" spans="1:37" ht="23.25" hidden="1" customHeight="1">
      <c r="A857" s="111">
        <v>931</v>
      </c>
      <c r="B857" s="112">
        <v>7</v>
      </c>
      <c r="C857" s="113" t="s">
        <v>1860</v>
      </c>
      <c r="D857" s="147" t="s">
        <v>1861</v>
      </c>
      <c r="E857" s="114" t="s">
        <v>1862</v>
      </c>
      <c r="F857" s="115" t="s">
        <v>900</v>
      </c>
      <c r="G857" s="115" t="s">
        <v>929</v>
      </c>
      <c r="H857" s="116">
        <v>13.778116000000001</v>
      </c>
      <c r="I857" s="116">
        <v>100.62323499999999</v>
      </c>
      <c r="J857" s="116" t="s">
        <v>890</v>
      </c>
      <c r="K857" s="117" t="s">
        <v>891</v>
      </c>
      <c r="L857" s="117" t="s">
        <v>891</v>
      </c>
      <c r="M857" s="117">
        <v>96891800</v>
      </c>
      <c r="N857" s="117" t="s">
        <v>892</v>
      </c>
      <c r="O857" s="136" t="s">
        <v>901</v>
      </c>
      <c r="P857" s="136" t="s">
        <v>902</v>
      </c>
      <c r="Q857" s="118">
        <v>80057501</v>
      </c>
      <c r="R857" s="119" t="s">
        <v>895</v>
      </c>
      <c r="S857" s="119" t="s">
        <v>895</v>
      </c>
      <c r="T857" s="222"/>
      <c r="U857" s="222"/>
      <c r="V857" s="222"/>
      <c r="W857" s="230"/>
      <c r="X857" s="331">
        <f t="shared" si="41"/>
        <v>0</v>
      </c>
      <c r="Y857" s="222"/>
      <c r="Z857" s="272">
        <f t="shared" si="39"/>
        <v>0</v>
      </c>
      <c r="AA857" s="331"/>
      <c r="AB857" s="331"/>
      <c r="AC857" s="331"/>
      <c r="AD857" s="331"/>
      <c r="AE857" s="331"/>
      <c r="AF857" s="331"/>
      <c r="AG857" s="331"/>
      <c r="AH857" s="241">
        <f t="shared" ca="1" si="40"/>
        <v>46153</v>
      </c>
      <c r="AI857" s="272"/>
      <c r="AJ857" s="222"/>
      <c r="AK857" s="222"/>
    </row>
    <row r="858" spans="1:37" ht="23.25" hidden="1" customHeight="1">
      <c r="A858" s="111">
        <v>932</v>
      </c>
      <c r="B858" s="112" t="s">
        <v>1082</v>
      </c>
      <c r="C858" s="113" t="s">
        <v>1863</v>
      </c>
      <c r="D858" s="147" t="s">
        <v>1864</v>
      </c>
      <c r="E858" s="114" t="s">
        <v>1865</v>
      </c>
      <c r="F858" s="115" t="s">
        <v>900</v>
      </c>
      <c r="G858" s="115" t="s">
        <v>929</v>
      </c>
      <c r="H858" s="116">
        <v>13.7898817</v>
      </c>
      <c r="I858" s="116">
        <v>100.6027387</v>
      </c>
      <c r="J858" s="116" t="s">
        <v>890</v>
      </c>
      <c r="K858" s="117" t="s">
        <v>891</v>
      </c>
      <c r="L858" s="118" t="s">
        <v>891</v>
      </c>
      <c r="M858" s="117">
        <v>96895750</v>
      </c>
      <c r="N858" s="117" t="s">
        <v>892</v>
      </c>
      <c r="O858" s="135" t="s">
        <v>995</v>
      </c>
      <c r="P858" s="118" t="s">
        <v>902</v>
      </c>
      <c r="Q858" s="118">
        <v>80057501</v>
      </c>
      <c r="R858" s="119" t="s">
        <v>895</v>
      </c>
      <c r="S858" s="119" t="s">
        <v>895</v>
      </c>
      <c r="T858" s="222"/>
      <c r="U858" s="222"/>
      <c r="V858" s="222"/>
      <c r="W858" s="230"/>
      <c r="X858" s="331">
        <f t="shared" si="41"/>
        <v>0</v>
      </c>
      <c r="Y858" s="222"/>
      <c r="Z858" s="272">
        <f t="shared" si="39"/>
        <v>0</v>
      </c>
      <c r="AA858" s="331"/>
      <c r="AB858" s="331"/>
      <c r="AC858" s="331"/>
      <c r="AD858" s="331"/>
      <c r="AE858" s="331"/>
      <c r="AF858" s="331"/>
      <c r="AG858" s="331"/>
      <c r="AH858" s="241">
        <f t="shared" ca="1" si="40"/>
        <v>46153</v>
      </c>
      <c r="AI858" s="272"/>
      <c r="AJ858" s="222"/>
      <c r="AK858" s="222"/>
    </row>
    <row r="859" spans="1:37" s="570" customFormat="1" ht="23.25" customHeight="1">
      <c r="A859" s="558">
        <v>945</v>
      </c>
      <c r="B859" s="559" t="s">
        <v>1086</v>
      </c>
      <c r="C859" s="571" t="s">
        <v>1877</v>
      </c>
      <c r="D859" s="557" t="s">
        <v>1878</v>
      </c>
      <c r="E859" s="572" t="s">
        <v>1879</v>
      </c>
      <c r="F859" s="563" t="s">
        <v>900</v>
      </c>
      <c r="G859" s="563" t="s">
        <v>929</v>
      </c>
      <c r="H859" s="562">
        <v>13.792184000000001</v>
      </c>
      <c r="I859" s="562">
        <v>100.598603</v>
      </c>
      <c r="J859" s="562" t="s">
        <v>890</v>
      </c>
      <c r="K859" s="564" t="s">
        <v>891</v>
      </c>
      <c r="L859" s="574" t="s">
        <v>891</v>
      </c>
      <c r="M859" s="564">
        <v>96895751</v>
      </c>
      <c r="N859" s="564" t="s">
        <v>892</v>
      </c>
      <c r="O859" s="573" t="s">
        <v>995</v>
      </c>
      <c r="P859" s="575" t="s">
        <v>902</v>
      </c>
      <c r="Q859" s="118">
        <v>80057501</v>
      </c>
      <c r="R859" s="138" t="s">
        <v>895</v>
      </c>
      <c r="S859" s="119" t="s">
        <v>895</v>
      </c>
      <c r="T859" s="566"/>
      <c r="U859" s="566"/>
      <c r="V859" s="566"/>
      <c r="W859" s="567"/>
      <c r="X859" s="568">
        <f t="shared" si="41"/>
        <v>0</v>
      </c>
      <c r="Y859" s="566"/>
      <c r="Z859" s="569">
        <f t="shared" si="39"/>
        <v>0</v>
      </c>
      <c r="AA859" s="568"/>
      <c r="AB859" s="568"/>
      <c r="AC859" s="568"/>
      <c r="AD859" s="568"/>
      <c r="AE859" s="568"/>
      <c r="AF859" s="568"/>
      <c r="AG859" s="568"/>
      <c r="AH859" s="568">
        <f t="shared" ca="1" si="40"/>
        <v>46153</v>
      </c>
      <c r="AI859" s="569"/>
      <c r="AJ859" s="566"/>
      <c r="AK859" s="566"/>
    </row>
    <row r="860" spans="1:37" ht="23.25" hidden="1" customHeight="1">
      <c r="A860" s="111">
        <v>1000</v>
      </c>
      <c r="B860" s="112" t="s">
        <v>919</v>
      </c>
      <c r="C860" s="113" t="s">
        <v>1926</v>
      </c>
      <c r="D860" s="147" t="s">
        <v>1927</v>
      </c>
      <c r="E860" s="114" t="s">
        <v>1928</v>
      </c>
      <c r="F860" s="115" t="s">
        <v>900</v>
      </c>
      <c r="G860" s="115" t="s">
        <v>929</v>
      </c>
      <c r="H860" s="116">
        <v>13.7898721</v>
      </c>
      <c r="I860" s="116">
        <v>100.6024007</v>
      </c>
      <c r="J860" s="116" t="s">
        <v>890</v>
      </c>
      <c r="K860" s="117" t="s">
        <v>891</v>
      </c>
      <c r="L860" s="118" t="s">
        <v>891</v>
      </c>
      <c r="M860" s="117">
        <v>96895752</v>
      </c>
      <c r="N860" s="117" t="s">
        <v>892</v>
      </c>
      <c r="O860" s="136" t="s">
        <v>901</v>
      </c>
      <c r="P860" s="140" t="s">
        <v>902</v>
      </c>
      <c r="Q860" s="118">
        <v>80057501</v>
      </c>
      <c r="R860" s="119" t="s">
        <v>895</v>
      </c>
      <c r="S860" s="119" t="s">
        <v>895</v>
      </c>
      <c r="T860" s="222"/>
      <c r="U860" s="222"/>
      <c r="V860" s="222"/>
      <c r="W860" s="230"/>
      <c r="X860" s="331">
        <f t="shared" si="41"/>
        <v>0</v>
      </c>
      <c r="Y860" s="222"/>
      <c r="Z860" s="272">
        <f t="shared" si="39"/>
        <v>0</v>
      </c>
      <c r="AA860" s="331"/>
      <c r="AB860" s="331"/>
      <c r="AC860" s="331"/>
      <c r="AD860" s="331"/>
      <c r="AE860" s="331"/>
      <c r="AF860" s="331"/>
      <c r="AG860" s="331"/>
      <c r="AH860" s="241">
        <f t="shared" ca="1" si="40"/>
        <v>46153</v>
      </c>
      <c r="AI860" s="272"/>
      <c r="AJ860" s="222"/>
      <c r="AK860" s="222"/>
    </row>
    <row r="861" spans="1:37" ht="23" hidden="1">
      <c r="A861" s="111">
        <v>1001</v>
      </c>
      <c r="B861" s="112">
        <v>6</v>
      </c>
      <c r="C861" s="122" t="s">
        <v>1929</v>
      </c>
      <c r="D861" s="147" t="s">
        <v>1930</v>
      </c>
      <c r="E861" s="123" t="s">
        <v>1931</v>
      </c>
      <c r="F861" s="116" t="s">
        <v>900</v>
      </c>
      <c r="G861" s="116" t="s">
        <v>929</v>
      </c>
      <c r="H861" s="116">
        <v>13.7804415</v>
      </c>
      <c r="I861" s="116">
        <v>100.6192848</v>
      </c>
      <c r="J861" s="116" t="s">
        <v>969</v>
      </c>
      <c r="K861" s="116" t="s">
        <v>970</v>
      </c>
      <c r="L861" s="117" t="s">
        <v>1932</v>
      </c>
      <c r="M861" s="117">
        <v>96895744</v>
      </c>
      <c r="N861" s="121" t="s">
        <v>892</v>
      </c>
      <c r="O861" s="135" t="s">
        <v>901</v>
      </c>
      <c r="P861" s="118" t="s">
        <v>902</v>
      </c>
      <c r="Q861" s="125" t="s">
        <v>972</v>
      </c>
      <c r="R861" s="125" t="s">
        <v>972</v>
      </c>
      <c r="S861" s="125" t="s">
        <v>972</v>
      </c>
      <c r="T861" s="222"/>
      <c r="U861" s="222"/>
      <c r="V861" s="222"/>
      <c r="W861" s="230"/>
      <c r="X861" s="331">
        <f t="shared" si="41"/>
        <v>0</v>
      </c>
      <c r="Y861" s="222"/>
      <c r="Z861" s="272">
        <f t="shared" si="39"/>
        <v>0</v>
      </c>
      <c r="AA861" s="331"/>
      <c r="AB861" s="331"/>
      <c r="AC861" s="331"/>
      <c r="AD861" s="331"/>
      <c r="AE861" s="331"/>
      <c r="AF861" s="331"/>
      <c r="AG861" s="331"/>
      <c r="AH861" s="241">
        <f t="shared" ca="1" si="40"/>
        <v>46153</v>
      </c>
      <c r="AI861" s="272"/>
      <c r="AJ861" s="222"/>
      <c r="AK861" s="222"/>
    </row>
    <row r="862" spans="1:37" ht="23" hidden="1">
      <c r="A862" s="111">
        <v>1004</v>
      </c>
      <c r="B862" s="112">
        <v>6</v>
      </c>
      <c r="C862" s="122" t="s">
        <v>1939</v>
      </c>
      <c r="D862" s="147" t="s">
        <v>1940</v>
      </c>
      <c r="E862" s="123" t="s">
        <v>1941</v>
      </c>
      <c r="F862" s="116" t="s">
        <v>900</v>
      </c>
      <c r="G862" s="116" t="s">
        <v>929</v>
      </c>
      <c r="H862" s="116">
        <v>13.787830400000001</v>
      </c>
      <c r="I862" s="116">
        <v>100.6064149</v>
      </c>
      <c r="J862" s="121" t="s">
        <v>890</v>
      </c>
      <c r="K862" s="117" t="s">
        <v>891</v>
      </c>
      <c r="L862" s="117" t="s">
        <v>891</v>
      </c>
      <c r="M862" s="124">
        <v>96896578</v>
      </c>
      <c r="N862" s="120" t="s">
        <v>892</v>
      </c>
      <c r="O862" s="145" t="s">
        <v>995</v>
      </c>
      <c r="P862" s="135" t="s">
        <v>902</v>
      </c>
      <c r="Q862" s="118">
        <v>80057501</v>
      </c>
      <c r="R862" s="119" t="s">
        <v>895</v>
      </c>
      <c r="S862" s="119" t="s">
        <v>895</v>
      </c>
      <c r="T862" s="222"/>
      <c r="U862" s="222"/>
      <c r="V862" s="222"/>
      <c r="W862" s="230"/>
      <c r="X862" s="331">
        <f t="shared" si="41"/>
        <v>0</v>
      </c>
      <c r="Y862" s="222"/>
      <c r="Z862" s="272">
        <f t="shared" si="39"/>
        <v>0</v>
      </c>
      <c r="AA862" s="331"/>
      <c r="AB862" s="331"/>
      <c r="AC862" s="331"/>
      <c r="AD862" s="331"/>
      <c r="AE862" s="331"/>
      <c r="AF862" s="331"/>
      <c r="AG862" s="331"/>
      <c r="AH862" s="241">
        <f t="shared" ca="1" si="40"/>
        <v>46153</v>
      </c>
      <c r="AI862" s="272"/>
      <c r="AJ862" s="222"/>
      <c r="AK862" s="222"/>
    </row>
    <row r="863" spans="1:37" ht="23" hidden="1">
      <c r="A863" s="111">
        <v>1036</v>
      </c>
      <c r="B863" s="112">
        <v>15</v>
      </c>
      <c r="C863" s="113" t="s">
        <v>1976</v>
      </c>
      <c r="D863" s="147" t="s">
        <v>1977</v>
      </c>
      <c r="E863" s="114" t="s">
        <v>1978</v>
      </c>
      <c r="F863" s="115" t="s">
        <v>900</v>
      </c>
      <c r="G863" s="115" t="s">
        <v>901</v>
      </c>
      <c r="H863" s="116">
        <v>13.773151</v>
      </c>
      <c r="I863" s="116">
        <v>100.632324</v>
      </c>
      <c r="J863" s="116" t="s">
        <v>890</v>
      </c>
      <c r="K863" s="117" t="s">
        <v>891</v>
      </c>
      <c r="L863" s="118" t="s">
        <v>891</v>
      </c>
      <c r="M863" s="117">
        <v>96895755</v>
      </c>
      <c r="N863" s="117" t="s">
        <v>892</v>
      </c>
      <c r="O863" s="136" t="s">
        <v>901</v>
      </c>
      <c r="P863" s="140" t="s">
        <v>902</v>
      </c>
      <c r="Q863" s="118">
        <v>80057501</v>
      </c>
      <c r="R863" s="119" t="s">
        <v>895</v>
      </c>
      <c r="S863" s="119" t="s">
        <v>895</v>
      </c>
      <c r="T863" s="222"/>
      <c r="U863" s="222"/>
      <c r="V863" s="222"/>
      <c r="W863" s="230"/>
      <c r="X863" s="331">
        <f t="shared" si="41"/>
        <v>0</v>
      </c>
      <c r="Y863" s="222"/>
      <c r="Z863" s="272">
        <f t="shared" si="39"/>
        <v>0</v>
      </c>
      <c r="AA863" s="331"/>
      <c r="AB863" s="331"/>
      <c r="AC863" s="331"/>
      <c r="AD863" s="331"/>
      <c r="AE863" s="331"/>
      <c r="AF863" s="331"/>
      <c r="AG863" s="331"/>
      <c r="AH863" s="241">
        <f t="shared" ca="1" si="40"/>
        <v>46153</v>
      </c>
      <c r="AI863" s="272"/>
      <c r="AJ863" s="222"/>
      <c r="AK863" s="222"/>
    </row>
    <row r="864" spans="1:37" s="570" customFormat="1" ht="23.25" customHeight="1">
      <c r="A864" s="558">
        <v>1039</v>
      </c>
      <c r="B864" s="559">
        <v>12</v>
      </c>
      <c r="C864" s="571" t="s">
        <v>1979</v>
      </c>
      <c r="D864" s="557" t="s">
        <v>1980</v>
      </c>
      <c r="E864" s="572" t="s">
        <v>1981</v>
      </c>
      <c r="F864" s="563" t="s">
        <v>900</v>
      </c>
      <c r="G864" s="563" t="s">
        <v>929</v>
      </c>
      <c r="H864" s="562">
        <v>13.790749999999999</v>
      </c>
      <c r="I864" s="562">
        <v>100.601023</v>
      </c>
      <c r="J864" s="562" t="s">
        <v>890</v>
      </c>
      <c r="K864" s="564" t="s">
        <v>891</v>
      </c>
      <c r="L864" s="564" t="s">
        <v>891</v>
      </c>
      <c r="M864" s="564">
        <v>96896752</v>
      </c>
      <c r="N864" s="564" t="s">
        <v>892</v>
      </c>
      <c r="O864" s="576" t="s">
        <v>995</v>
      </c>
      <c r="P864" s="564" t="s">
        <v>902</v>
      </c>
      <c r="Q864" s="118">
        <v>80057501</v>
      </c>
      <c r="R864" s="119" t="s">
        <v>895</v>
      </c>
      <c r="S864" s="119" t="s">
        <v>895</v>
      </c>
      <c r="T864" s="566"/>
      <c r="U864" s="566"/>
      <c r="V864" s="566"/>
      <c r="W864" s="567"/>
      <c r="X864" s="568">
        <f t="shared" si="41"/>
        <v>0</v>
      </c>
      <c r="Y864" s="566"/>
      <c r="Z864" s="569">
        <f t="shared" si="39"/>
        <v>0</v>
      </c>
      <c r="AA864" s="568"/>
      <c r="AB864" s="568"/>
      <c r="AC864" s="568"/>
      <c r="AD864" s="568"/>
      <c r="AE864" s="568"/>
      <c r="AF864" s="568"/>
      <c r="AG864" s="568"/>
      <c r="AH864" s="568">
        <f t="shared" ca="1" si="40"/>
        <v>46153</v>
      </c>
      <c r="AI864" s="569"/>
      <c r="AJ864" s="566"/>
      <c r="AK864" s="566"/>
    </row>
    <row r="865" spans="1:37" ht="23.25" hidden="1" customHeight="1">
      <c r="A865" s="111">
        <v>1046</v>
      </c>
      <c r="B865" s="112">
        <v>13</v>
      </c>
      <c r="C865" s="113" t="s">
        <v>1988</v>
      </c>
      <c r="D865" s="147" t="s">
        <v>1989</v>
      </c>
      <c r="E865" s="114" t="s">
        <v>1990</v>
      </c>
      <c r="F865" s="115" t="s">
        <v>900</v>
      </c>
      <c r="G865" s="115" t="s">
        <v>929</v>
      </c>
      <c r="H865" s="116">
        <v>13.785710999999999</v>
      </c>
      <c r="I865" s="116">
        <v>100.609799</v>
      </c>
      <c r="J865" s="116" t="s">
        <v>890</v>
      </c>
      <c r="K865" s="117" t="s">
        <v>891</v>
      </c>
      <c r="L865" s="117" t="s">
        <v>891</v>
      </c>
      <c r="M865" s="117">
        <v>96896579</v>
      </c>
      <c r="N865" s="117" t="s">
        <v>892</v>
      </c>
      <c r="O865" s="136" t="s">
        <v>901</v>
      </c>
      <c r="P865" s="136" t="s">
        <v>902</v>
      </c>
      <c r="Q865" s="118">
        <v>80057501</v>
      </c>
      <c r="R865" s="138" t="s">
        <v>895</v>
      </c>
      <c r="S865" s="119" t="s">
        <v>895</v>
      </c>
      <c r="T865" s="222"/>
      <c r="U865" s="222"/>
      <c r="V865" s="222"/>
      <c r="W865" s="230"/>
      <c r="X865" s="331">
        <f t="shared" si="41"/>
        <v>0</v>
      </c>
      <c r="Y865" s="222"/>
      <c r="Z865" s="272">
        <f t="shared" si="39"/>
        <v>0</v>
      </c>
      <c r="AA865" s="331"/>
      <c r="AB865" s="331"/>
      <c r="AC865" s="331"/>
      <c r="AD865" s="331"/>
      <c r="AE865" s="331"/>
      <c r="AF865" s="331"/>
      <c r="AG865" s="331"/>
      <c r="AH865" s="241">
        <f t="shared" ca="1" si="40"/>
        <v>46153</v>
      </c>
      <c r="AI865" s="272"/>
      <c r="AJ865" s="222"/>
      <c r="AK865" s="222"/>
    </row>
    <row r="866" spans="1:37" ht="23.25" hidden="1" customHeight="1">
      <c r="A866" s="111">
        <v>37</v>
      </c>
      <c r="B866" s="112">
        <v>1</v>
      </c>
      <c r="C866" s="122" t="s">
        <v>2141</v>
      </c>
      <c r="D866" s="147" t="s">
        <v>2142</v>
      </c>
      <c r="E866" s="123" t="s">
        <v>2143</v>
      </c>
      <c r="F866" s="116" t="s">
        <v>900</v>
      </c>
      <c r="G866" s="116" t="s">
        <v>929</v>
      </c>
      <c r="H866" s="116">
        <v>13.778902</v>
      </c>
      <c r="I866" s="116">
        <v>100.6223767</v>
      </c>
      <c r="J866" s="116" t="s">
        <v>890</v>
      </c>
      <c r="K866" s="117" t="s">
        <v>891</v>
      </c>
      <c r="L866" s="117" t="s">
        <v>891</v>
      </c>
      <c r="M866" s="117">
        <v>97018441</v>
      </c>
      <c r="N866" s="117" t="s">
        <v>892</v>
      </c>
      <c r="O866" s="117" t="s">
        <v>906</v>
      </c>
      <c r="P866" s="129" t="s">
        <v>902</v>
      </c>
      <c r="Q866" s="125" t="s">
        <v>972</v>
      </c>
      <c r="R866" s="138" t="s">
        <v>895</v>
      </c>
      <c r="S866" s="119" t="s">
        <v>895</v>
      </c>
      <c r="T866" s="222"/>
      <c r="U866" s="222"/>
      <c r="V866" s="222"/>
      <c r="W866" s="230"/>
      <c r="X866" s="331">
        <f t="shared" si="41"/>
        <v>0</v>
      </c>
      <c r="Y866" s="222"/>
      <c r="Z866" s="272">
        <f t="shared" si="39"/>
        <v>0</v>
      </c>
      <c r="AA866" s="331"/>
      <c r="AB866" s="331"/>
      <c r="AC866" s="331"/>
      <c r="AD866" s="331"/>
      <c r="AE866" s="331"/>
      <c r="AF866" s="331"/>
      <c r="AG866" s="331"/>
      <c r="AH866" s="241">
        <f t="shared" ca="1" si="40"/>
        <v>46153</v>
      </c>
      <c r="AI866" s="272"/>
      <c r="AJ866" s="222"/>
      <c r="AK866" s="222"/>
    </row>
    <row r="867" spans="1:37" ht="23" hidden="1">
      <c r="A867" s="111">
        <v>34</v>
      </c>
      <c r="B867" s="112" t="s">
        <v>985</v>
      </c>
      <c r="C867" s="122" t="s">
        <v>2173</v>
      </c>
      <c r="D867" s="147" t="s">
        <v>2174</v>
      </c>
      <c r="E867" s="123" t="s">
        <v>2175</v>
      </c>
      <c r="F867" s="116" t="s">
        <v>900</v>
      </c>
      <c r="G867" s="116" t="s">
        <v>929</v>
      </c>
      <c r="H867" s="116">
        <v>13.791121499999999</v>
      </c>
      <c r="I867" s="116">
        <v>100.6005308</v>
      </c>
      <c r="J867" s="116" t="s">
        <v>969</v>
      </c>
      <c r="K867" s="116" t="s">
        <v>970</v>
      </c>
      <c r="L867" s="117" t="s">
        <v>2176</v>
      </c>
      <c r="M867" s="117" t="s">
        <v>1347</v>
      </c>
      <c r="N867" s="121" t="s">
        <v>892</v>
      </c>
      <c r="O867" s="121" t="s">
        <v>901</v>
      </c>
      <c r="P867" s="117" t="s">
        <v>902</v>
      </c>
      <c r="Q867" s="125" t="s">
        <v>972</v>
      </c>
      <c r="R867" s="125" t="s">
        <v>972</v>
      </c>
      <c r="S867" s="125" t="s">
        <v>972</v>
      </c>
      <c r="T867" s="222"/>
      <c r="U867" s="222"/>
      <c r="V867" s="222"/>
      <c r="W867" s="230"/>
      <c r="X867" s="331">
        <f t="shared" si="41"/>
        <v>0</v>
      </c>
      <c r="Y867" s="222"/>
      <c r="Z867" s="272">
        <f t="shared" si="39"/>
        <v>0</v>
      </c>
      <c r="AA867" s="331"/>
      <c r="AB867" s="331"/>
      <c r="AC867" s="331"/>
      <c r="AD867" s="331"/>
      <c r="AE867" s="331"/>
      <c r="AF867" s="331"/>
      <c r="AG867" s="331"/>
      <c r="AH867" s="241">
        <f t="shared" ca="1" si="40"/>
        <v>46153</v>
      </c>
      <c r="AI867" s="272"/>
      <c r="AJ867" s="222"/>
      <c r="AK867" s="222"/>
    </row>
    <row r="868" spans="1:37" ht="23.25" hidden="1" customHeight="1">
      <c r="A868" s="111">
        <v>241</v>
      </c>
      <c r="B868" s="112">
        <v>10</v>
      </c>
      <c r="C868" s="122" t="s">
        <v>2381</v>
      </c>
      <c r="D868" s="147" t="s">
        <v>2382</v>
      </c>
      <c r="E868" s="123" t="s">
        <v>2383</v>
      </c>
      <c r="F868" s="116" t="s">
        <v>900</v>
      </c>
      <c r="G868" s="116" t="s">
        <v>1094</v>
      </c>
      <c r="H868" s="116">
        <v>13.810298899999999</v>
      </c>
      <c r="I868" s="116">
        <v>100.56623329999999</v>
      </c>
      <c r="J868" s="116" t="s">
        <v>890</v>
      </c>
      <c r="K868" s="117" t="s">
        <v>891</v>
      </c>
      <c r="L868" s="117" t="s">
        <v>891</v>
      </c>
      <c r="M868" s="118">
        <v>96930554</v>
      </c>
      <c r="N868" s="117" t="s">
        <v>892</v>
      </c>
      <c r="O868" s="117" t="s">
        <v>995</v>
      </c>
      <c r="P868" s="118" t="s">
        <v>902</v>
      </c>
      <c r="Q868" s="118">
        <v>80057501</v>
      </c>
      <c r="R868" s="119" t="s">
        <v>895</v>
      </c>
      <c r="S868" s="119" t="s">
        <v>895</v>
      </c>
      <c r="T868" s="222"/>
      <c r="U868" s="222"/>
      <c r="V868" s="222"/>
      <c r="W868" s="230"/>
      <c r="X868" s="331">
        <f t="shared" si="41"/>
        <v>0</v>
      </c>
      <c r="Y868" s="222"/>
      <c r="Z868" s="272">
        <f t="shared" si="39"/>
        <v>0</v>
      </c>
      <c r="AA868" s="331"/>
      <c r="AB868" s="331"/>
      <c r="AC868" s="331"/>
      <c r="AD868" s="331"/>
      <c r="AE868" s="331"/>
      <c r="AF868" s="331"/>
      <c r="AG868" s="331"/>
      <c r="AH868" s="241">
        <f t="shared" ca="1" si="40"/>
        <v>46153</v>
      </c>
      <c r="AI868" s="272"/>
      <c r="AJ868" s="222"/>
      <c r="AK868" s="222"/>
    </row>
    <row r="869" spans="1:37" ht="23" hidden="1">
      <c r="A869" s="111">
        <v>202</v>
      </c>
      <c r="B869" s="112">
        <v>6</v>
      </c>
      <c r="C869" s="113" t="s">
        <v>2639</v>
      </c>
      <c r="D869" s="147" t="s">
        <v>2640</v>
      </c>
      <c r="E869" s="114" t="s">
        <v>2641</v>
      </c>
      <c r="F869" s="115" t="s">
        <v>900</v>
      </c>
      <c r="G869" s="115" t="s">
        <v>901</v>
      </c>
      <c r="H869" s="116">
        <v>13.7697079</v>
      </c>
      <c r="I869" s="116">
        <v>100.6385125</v>
      </c>
      <c r="J869" s="116" t="s">
        <v>2097</v>
      </c>
      <c r="K869" s="116" t="s">
        <v>2097</v>
      </c>
      <c r="L869" s="117" t="s">
        <v>2098</v>
      </c>
      <c r="M869" s="121" t="s">
        <v>972</v>
      </c>
      <c r="N869" s="121" t="s">
        <v>892</v>
      </c>
      <c r="O869" s="136" t="s">
        <v>901</v>
      </c>
      <c r="P869" s="136" t="s">
        <v>902</v>
      </c>
      <c r="Q869" s="125" t="s">
        <v>972</v>
      </c>
      <c r="R869" s="125" t="s">
        <v>972</v>
      </c>
      <c r="S869" s="125" t="s">
        <v>972</v>
      </c>
      <c r="T869" s="222"/>
      <c r="U869" s="222"/>
      <c r="V869" s="222"/>
      <c r="W869" s="230"/>
      <c r="X869" s="331">
        <f t="shared" si="41"/>
        <v>0</v>
      </c>
      <c r="Y869" s="222"/>
      <c r="Z869" s="272">
        <f t="shared" si="39"/>
        <v>0</v>
      </c>
      <c r="AA869" s="331"/>
      <c r="AB869" s="331"/>
      <c r="AC869" s="331"/>
      <c r="AD869" s="331"/>
      <c r="AE869" s="331"/>
      <c r="AF869" s="331"/>
      <c r="AG869" s="331"/>
      <c r="AH869" s="241">
        <f t="shared" ca="1" si="40"/>
        <v>46153</v>
      </c>
      <c r="AI869" s="272"/>
      <c r="AJ869" s="222"/>
      <c r="AK869" s="222"/>
    </row>
    <row r="870" spans="1:37" ht="23" hidden="1">
      <c r="A870" s="111">
        <v>218</v>
      </c>
      <c r="B870" s="112">
        <v>4</v>
      </c>
      <c r="C870" s="122" t="s">
        <v>2675</v>
      </c>
      <c r="D870" s="147" t="s">
        <v>2676</v>
      </c>
      <c r="E870" s="123" t="s">
        <v>2677</v>
      </c>
      <c r="F870" s="116" t="s">
        <v>900</v>
      </c>
      <c r="G870" s="116" t="s">
        <v>1094</v>
      </c>
      <c r="H870" s="116">
        <v>13.804243100000001</v>
      </c>
      <c r="I870" s="116">
        <v>100.5770768</v>
      </c>
      <c r="J870" s="115" t="s">
        <v>2108</v>
      </c>
      <c r="K870" s="117" t="s">
        <v>2109</v>
      </c>
      <c r="L870" s="117" t="s">
        <v>2110</v>
      </c>
      <c r="M870" s="121" t="s">
        <v>972</v>
      </c>
      <c r="N870" s="121" t="s">
        <v>972</v>
      </c>
      <c r="O870" s="120" t="s">
        <v>995</v>
      </c>
      <c r="P870" s="117" t="s">
        <v>1876</v>
      </c>
      <c r="Q870" s="125" t="s">
        <v>972</v>
      </c>
      <c r="R870" s="130" t="s">
        <v>972</v>
      </c>
      <c r="S870" s="125" t="s">
        <v>972</v>
      </c>
      <c r="T870" s="274" t="s">
        <v>5212</v>
      </c>
      <c r="U870" s="312" t="s">
        <v>5192</v>
      </c>
      <c r="V870" s="329">
        <v>45005</v>
      </c>
      <c r="W870" s="326">
        <v>4</v>
      </c>
      <c r="X870" s="331">
        <f t="shared" si="41"/>
        <v>45009</v>
      </c>
      <c r="Y870" s="312"/>
      <c r="Z870" s="332" t="e">
        <f t="shared" si="39"/>
        <v>#NUM!</v>
      </c>
      <c r="AA870" s="331"/>
      <c r="AB870" s="331"/>
      <c r="AC870" s="331"/>
      <c r="AD870" s="331"/>
      <c r="AE870" s="331"/>
      <c r="AF870" s="331"/>
      <c r="AG870" s="331"/>
      <c r="AH870" s="329">
        <f t="shared" ca="1" si="40"/>
        <v>46153</v>
      </c>
      <c r="AI870" s="330"/>
      <c r="AJ870" s="312" t="s">
        <v>5143</v>
      </c>
      <c r="AK870" s="312" t="s">
        <v>5149</v>
      </c>
    </row>
    <row r="871" spans="1:37" ht="23" hidden="1">
      <c r="A871" s="111">
        <v>419</v>
      </c>
      <c r="B871" s="112">
        <v>8</v>
      </c>
      <c r="C871" s="113" t="s">
        <v>3156</v>
      </c>
      <c r="D871" s="147" t="s">
        <v>3157</v>
      </c>
      <c r="E871" s="114" t="s">
        <v>3158</v>
      </c>
      <c r="F871" s="115" t="s">
        <v>900</v>
      </c>
      <c r="G871" s="115" t="s">
        <v>936</v>
      </c>
      <c r="H871" s="177">
        <v>13.800815999999999</v>
      </c>
      <c r="I871" s="177">
        <v>100.58286200000001</v>
      </c>
      <c r="J871" s="115" t="s">
        <v>2108</v>
      </c>
      <c r="K871" s="117" t="s">
        <v>2109</v>
      </c>
      <c r="L871" s="117" t="s">
        <v>2110</v>
      </c>
      <c r="M871" s="121" t="s">
        <v>972</v>
      </c>
      <c r="N871" s="121" t="s">
        <v>972</v>
      </c>
      <c r="O871" s="117" t="s">
        <v>995</v>
      </c>
      <c r="P871" s="117" t="s">
        <v>1876</v>
      </c>
      <c r="Q871" s="125" t="s">
        <v>972</v>
      </c>
      <c r="R871" s="125" t="s">
        <v>972</v>
      </c>
      <c r="S871" s="130" t="s">
        <v>972</v>
      </c>
      <c r="T871" s="222"/>
      <c r="U871" s="222"/>
      <c r="V871" s="222"/>
      <c r="W871" s="230"/>
      <c r="X871" s="331">
        <f t="shared" si="41"/>
        <v>0</v>
      </c>
      <c r="Y871" s="222"/>
      <c r="Z871" s="272">
        <f t="shared" si="39"/>
        <v>0</v>
      </c>
      <c r="AA871" s="331"/>
      <c r="AB871" s="331"/>
      <c r="AC871" s="331"/>
      <c r="AD871" s="331"/>
      <c r="AE871" s="331"/>
      <c r="AF871" s="331"/>
      <c r="AG871" s="331"/>
      <c r="AH871" s="241">
        <f t="shared" ca="1" si="40"/>
        <v>46153</v>
      </c>
      <c r="AI871" s="272"/>
      <c r="AJ871" s="222"/>
      <c r="AK871" s="222"/>
    </row>
    <row r="872" spans="1:37" ht="23" hidden="1">
      <c r="A872" s="111">
        <v>420</v>
      </c>
      <c r="B872" s="112">
        <v>7</v>
      </c>
      <c r="C872" s="113" t="s">
        <v>3159</v>
      </c>
      <c r="D872" s="147" t="s">
        <v>3160</v>
      </c>
      <c r="E872" s="114" t="s">
        <v>3161</v>
      </c>
      <c r="F872" s="115" t="s">
        <v>900</v>
      </c>
      <c r="G872" s="115" t="s">
        <v>1094</v>
      </c>
      <c r="H872" s="116">
        <v>13.813091999999999</v>
      </c>
      <c r="I872" s="116">
        <v>100.561436</v>
      </c>
      <c r="J872" s="116" t="s">
        <v>969</v>
      </c>
      <c r="K872" s="116" t="s">
        <v>970</v>
      </c>
      <c r="L872" s="117" t="s">
        <v>3162</v>
      </c>
      <c r="M872" s="116" t="s">
        <v>1347</v>
      </c>
      <c r="N872" s="121" t="s">
        <v>892</v>
      </c>
      <c r="O872" s="117" t="s">
        <v>995</v>
      </c>
      <c r="P872" s="136" t="s">
        <v>902</v>
      </c>
      <c r="Q872" s="125" t="s">
        <v>972</v>
      </c>
      <c r="R872" s="125" t="s">
        <v>972</v>
      </c>
      <c r="S872" s="130" t="s">
        <v>972</v>
      </c>
      <c r="T872" s="222"/>
      <c r="U872" s="222"/>
      <c r="V872" s="222"/>
      <c r="W872" s="230"/>
      <c r="X872" s="331">
        <f t="shared" si="41"/>
        <v>0</v>
      </c>
      <c r="Y872" s="222"/>
      <c r="Z872" s="272">
        <f t="shared" si="39"/>
        <v>0</v>
      </c>
      <c r="AA872" s="331"/>
      <c r="AB872" s="331"/>
      <c r="AC872" s="331"/>
      <c r="AD872" s="331"/>
      <c r="AE872" s="331"/>
      <c r="AF872" s="331"/>
      <c r="AG872" s="331"/>
      <c r="AH872" s="241">
        <f t="shared" ca="1" si="40"/>
        <v>46153</v>
      </c>
      <c r="AI872" s="272"/>
      <c r="AJ872" s="222"/>
      <c r="AK872" s="222"/>
    </row>
    <row r="873" spans="1:37" ht="23" hidden="1">
      <c r="A873" s="111">
        <v>421</v>
      </c>
      <c r="B873" s="112">
        <v>5</v>
      </c>
      <c r="C873" s="113" t="s">
        <v>3163</v>
      </c>
      <c r="D873" s="147" t="s">
        <v>3164</v>
      </c>
      <c r="E873" s="114" t="s">
        <v>3165</v>
      </c>
      <c r="F873" s="115" t="s">
        <v>900</v>
      </c>
      <c r="G873" s="115" t="s">
        <v>1094</v>
      </c>
      <c r="H873" s="116">
        <v>13.813292199999999</v>
      </c>
      <c r="I873" s="116">
        <v>100.56087770000001</v>
      </c>
      <c r="J873" s="116" t="s">
        <v>2097</v>
      </c>
      <c r="K873" s="116" t="s">
        <v>2097</v>
      </c>
      <c r="L873" s="117" t="s">
        <v>3166</v>
      </c>
      <c r="M873" s="116" t="s">
        <v>1347</v>
      </c>
      <c r="N873" s="121" t="s">
        <v>892</v>
      </c>
      <c r="O873" s="121" t="s">
        <v>995</v>
      </c>
      <c r="P873" s="117" t="s">
        <v>902</v>
      </c>
      <c r="Q873" s="125" t="s">
        <v>972</v>
      </c>
      <c r="R873" s="125" t="s">
        <v>972</v>
      </c>
      <c r="S873" s="125" t="s">
        <v>972</v>
      </c>
      <c r="T873" s="222"/>
      <c r="U873" s="222"/>
      <c r="V873" s="222"/>
      <c r="W873" s="230"/>
      <c r="X873" s="331">
        <f t="shared" si="41"/>
        <v>0</v>
      </c>
      <c r="Y873" s="222"/>
      <c r="Z873" s="272">
        <f t="shared" si="39"/>
        <v>0</v>
      </c>
      <c r="AA873" s="331"/>
      <c r="AB873" s="331"/>
      <c r="AC873" s="331"/>
      <c r="AD873" s="331"/>
      <c r="AE873" s="331"/>
      <c r="AF873" s="331"/>
      <c r="AG873" s="331"/>
      <c r="AH873" s="241">
        <f t="shared" ca="1" si="40"/>
        <v>46153</v>
      </c>
      <c r="AI873" s="272"/>
      <c r="AJ873" s="222"/>
      <c r="AK873" s="222"/>
    </row>
    <row r="874" spans="1:37" ht="23" hidden="1">
      <c r="A874" s="111">
        <v>811</v>
      </c>
      <c r="B874" s="112" t="s">
        <v>1098</v>
      </c>
      <c r="C874" s="122" t="s">
        <v>3373</v>
      </c>
      <c r="D874" s="147" t="s">
        <v>3374</v>
      </c>
      <c r="E874" s="123" t="s">
        <v>3375</v>
      </c>
      <c r="F874" s="116" t="s">
        <v>900</v>
      </c>
      <c r="G874" s="116" t="s">
        <v>901</v>
      </c>
      <c r="H874" s="116">
        <v>13.7682743</v>
      </c>
      <c r="I874" s="116">
        <v>100.64145499999999</v>
      </c>
      <c r="J874" s="116" t="s">
        <v>890</v>
      </c>
      <c r="K874" s="117" t="s">
        <v>891</v>
      </c>
      <c r="L874" s="117" t="s">
        <v>891</v>
      </c>
      <c r="M874" s="469">
        <v>96927777</v>
      </c>
      <c r="N874" s="117" t="s">
        <v>892</v>
      </c>
      <c r="O874" s="117" t="s">
        <v>906</v>
      </c>
      <c r="P874" s="140" t="s">
        <v>902</v>
      </c>
      <c r="Q874" s="118">
        <v>80057501</v>
      </c>
      <c r="R874" s="119" t="s">
        <v>895</v>
      </c>
      <c r="S874" s="119" t="s">
        <v>895</v>
      </c>
      <c r="T874" s="222"/>
      <c r="U874" s="222"/>
      <c r="V874" s="222"/>
      <c r="W874" s="230"/>
      <c r="X874" s="331">
        <f t="shared" si="41"/>
        <v>0</v>
      </c>
      <c r="Y874" s="222"/>
      <c r="Z874" s="272">
        <f t="shared" si="39"/>
        <v>0</v>
      </c>
      <c r="AA874" s="331"/>
      <c r="AB874" s="331"/>
      <c r="AC874" s="331"/>
      <c r="AD874" s="331"/>
      <c r="AE874" s="331"/>
      <c r="AF874" s="331"/>
      <c r="AG874" s="331"/>
      <c r="AH874" s="241">
        <f t="shared" ca="1" si="40"/>
        <v>46153</v>
      </c>
      <c r="AI874" s="272"/>
      <c r="AJ874" s="222"/>
      <c r="AK874" s="222"/>
    </row>
    <row r="875" spans="1:37" ht="16.5" hidden="1" customHeight="1">
      <c r="A875" s="111">
        <v>698</v>
      </c>
      <c r="B875" s="112">
        <v>14</v>
      </c>
      <c r="C875" s="113" t="s">
        <v>3838</v>
      </c>
      <c r="D875" s="147" t="s">
        <v>3839</v>
      </c>
      <c r="E875" s="114" t="s">
        <v>3840</v>
      </c>
      <c r="F875" s="115" t="s">
        <v>900</v>
      </c>
      <c r="G875" s="115" t="s">
        <v>929</v>
      </c>
      <c r="H875" s="116">
        <v>13.786182500000001</v>
      </c>
      <c r="I875" s="116">
        <v>100.6093429</v>
      </c>
      <c r="J875" s="116" t="s">
        <v>2097</v>
      </c>
      <c r="K875" s="116" t="s">
        <v>2097</v>
      </c>
      <c r="L875" s="117" t="s">
        <v>3841</v>
      </c>
      <c r="M875" s="116" t="s">
        <v>1347</v>
      </c>
      <c r="N875" s="121" t="s">
        <v>892</v>
      </c>
      <c r="O875" s="117" t="s">
        <v>906</v>
      </c>
      <c r="P875" s="117" t="s">
        <v>902</v>
      </c>
      <c r="Q875" s="125" t="s">
        <v>972</v>
      </c>
      <c r="R875" s="125" t="s">
        <v>972</v>
      </c>
      <c r="S875" s="125" t="s">
        <v>972</v>
      </c>
      <c r="T875" s="222"/>
      <c r="U875" s="222"/>
      <c r="V875" s="222"/>
      <c r="W875" s="230"/>
      <c r="X875" s="331">
        <f t="shared" si="41"/>
        <v>0</v>
      </c>
      <c r="Y875" s="222"/>
      <c r="Z875" s="272">
        <f t="shared" si="39"/>
        <v>0</v>
      </c>
      <c r="AA875" s="331"/>
      <c r="AB875" s="331"/>
      <c r="AC875" s="331"/>
      <c r="AD875" s="331"/>
      <c r="AE875" s="331"/>
      <c r="AF875" s="331"/>
      <c r="AG875" s="331"/>
      <c r="AH875" s="241">
        <f t="shared" ca="1" si="40"/>
        <v>46153</v>
      </c>
      <c r="AI875" s="272"/>
      <c r="AJ875" s="222"/>
      <c r="AK875" s="222"/>
    </row>
    <row r="876" spans="1:37" ht="16.5" hidden="1" customHeight="1">
      <c r="A876" s="111">
        <v>801</v>
      </c>
      <c r="B876" s="128" t="s">
        <v>1553</v>
      </c>
      <c r="C876" s="113" t="s">
        <v>4100</v>
      </c>
      <c r="D876" s="147" t="s">
        <v>4101</v>
      </c>
      <c r="E876" s="123" t="s">
        <v>4102</v>
      </c>
      <c r="F876" s="116" t="s">
        <v>900</v>
      </c>
      <c r="G876" s="116" t="s">
        <v>929</v>
      </c>
      <c r="H876" s="116">
        <v>13.785950700000001</v>
      </c>
      <c r="I876" s="116">
        <v>100.6097772</v>
      </c>
      <c r="J876" s="116" t="s">
        <v>2097</v>
      </c>
      <c r="K876" s="116" t="s">
        <v>2097</v>
      </c>
      <c r="L876" s="117" t="s">
        <v>4103</v>
      </c>
      <c r="M876" s="116" t="s">
        <v>1347</v>
      </c>
      <c r="N876" s="121" t="s">
        <v>892</v>
      </c>
      <c r="O876" s="121" t="s">
        <v>906</v>
      </c>
      <c r="P876" s="140" t="s">
        <v>902</v>
      </c>
      <c r="Q876" s="125" t="s">
        <v>972</v>
      </c>
      <c r="R876" s="125" t="s">
        <v>972</v>
      </c>
      <c r="S876" s="125" t="s">
        <v>972</v>
      </c>
      <c r="T876" s="222"/>
      <c r="U876" s="222"/>
      <c r="V876" s="222"/>
      <c r="W876" s="230"/>
      <c r="X876" s="331">
        <f t="shared" si="41"/>
        <v>0</v>
      </c>
      <c r="Y876" s="222"/>
      <c r="Z876" s="272">
        <f t="shared" si="39"/>
        <v>0</v>
      </c>
      <c r="AA876" s="331"/>
      <c r="AB876" s="331"/>
      <c r="AC876" s="331"/>
      <c r="AD876" s="331"/>
      <c r="AE876" s="331"/>
      <c r="AF876" s="331"/>
      <c r="AG876" s="331"/>
      <c r="AH876" s="241">
        <f t="shared" ca="1" si="40"/>
        <v>46153</v>
      </c>
      <c r="AI876" s="272"/>
      <c r="AJ876" s="222"/>
      <c r="AK876" s="222"/>
    </row>
    <row r="877" spans="1:37" ht="23.25" hidden="1" customHeight="1">
      <c r="A877" s="111">
        <v>805</v>
      </c>
      <c r="B877" s="112">
        <v>12</v>
      </c>
      <c r="C877" s="122" t="s">
        <v>4108</v>
      </c>
      <c r="D877" s="147" t="s">
        <v>4109</v>
      </c>
      <c r="E877" s="123" t="s">
        <v>4110</v>
      </c>
      <c r="F877" s="116" t="s">
        <v>900</v>
      </c>
      <c r="G877" s="116" t="s">
        <v>1094</v>
      </c>
      <c r="H877" s="116">
        <v>13.8063901</v>
      </c>
      <c r="I877" s="116">
        <v>100.5731186</v>
      </c>
      <c r="J877" s="116" t="s">
        <v>890</v>
      </c>
      <c r="K877" s="117" t="s">
        <v>891</v>
      </c>
      <c r="L877" s="117" t="s">
        <v>891</v>
      </c>
      <c r="M877" s="124">
        <v>96896575</v>
      </c>
      <c r="N877" s="121" t="s">
        <v>892</v>
      </c>
      <c r="O877" s="135" t="s">
        <v>995</v>
      </c>
      <c r="P877" s="121" t="s">
        <v>972</v>
      </c>
      <c r="Q877" s="118">
        <v>80057501</v>
      </c>
      <c r="R877" s="138" t="s">
        <v>895</v>
      </c>
      <c r="S877" s="119"/>
      <c r="T877" s="222"/>
      <c r="U877" s="222"/>
      <c r="V877" s="222"/>
      <c r="W877" s="230"/>
      <c r="X877" s="331">
        <f t="shared" si="41"/>
        <v>0</v>
      </c>
      <c r="Y877" s="222"/>
      <c r="Z877" s="272">
        <f t="shared" si="39"/>
        <v>0</v>
      </c>
      <c r="AA877" s="331"/>
      <c r="AB877" s="331"/>
      <c r="AC877" s="331"/>
      <c r="AD877" s="331"/>
      <c r="AE877" s="331"/>
      <c r="AF877" s="331"/>
      <c r="AG877" s="331"/>
      <c r="AH877" s="241">
        <f t="shared" ca="1" si="40"/>
        <v>46153</v>
      </c>
      <c r="AI877" s="272"/>
      <c r="AJ877" s="222"/>
      <c r="AK877" s="222"/>
    </row>
    <row r="878" spans="1:37" ht="23" hidden="1">
      <c r="A878" s="111">
        <v>879</v>
      </c>
      <c r="B878" s="112">
        <v>3</v>
      </c>
      <c r="C878" s="122" t="s">
        <v>4289</v>
      </c>
      <c r="D878" s="147" t="s">
        <v>4290</v>
      </c>
      <c r="E878" s="123" t="s">
        <v>4291</v>
      </c>
      <c r="F878" s="115" t="s">
        <v>900</v>
      </c>
      <c r="G878" s="115" t="s">
        <v>929</v>
      </c>
      <c r="H878" s="116">
        <v>13.7869522</v>
      </c>
      <c r="I878" s="116">
        <v>100.6080486</v>
      </c>
      <c r="J878" s="116" t="s">
        <v>2097</v>
      </c>
      <c r="K878" s="116" t="s">
        <v>2097</v>
      </c>
      <c r="L878" s="117" t="s">
        <v>4292</v>
      </c>
      <c r="M878" s="338" t="s">
        <v>1347</v>
      </c>
      <c r="N878" s="199" t="s">
        <v>892</v>
      </c>
      <c r="O878" s="357" t="s">
        <v>995</v>
      </c>
      <c r="P878" s="351" t="s">
        <v>902</v>
      </c>
      <c r="Q878" s="340" t="s">
        <v>972</v>
      </c>
      <c r="R878" s="341" t="s">
        <v>972</v>
      </c>
      <c r="S878" s="340" t="s">
        <v>972</v>
      </c>
      <c r="T878" s="342"/>
      <c r="U878" s="342"/>
      <c r="V878" s="342"/>
      <c r="W878" s="553"/>
      <c r="X878" s="331">
        <f t="shared" si="41"/>
        <v>0</v>
      </c>
      <c r="Y878" s="342"/>
      <c r="Z878" s="344">
        <f t="shared" si="39"/>
        <v>0</v>
      </c>
      <c r="AA878" s="331"/>
      <c r="AB878" s="331"/>
      <c r="AC878" s="331"/>
      <c r="AD878" s="331"/>
      <c r="AE878" s="331"/>
      <c r="AF878" s="331"/>
      <c r="AG878" s="331"/>
      <c r="AH878" s="343">
        <f t="shared" ca="1" si="40"/>
        <v>46153</v>
      </c>
      <c r="AI878" s="344"/>
      <c r="AJ878" s="342"/>
      <c r="AK878" s="342"/>
    </row>
    <row r="879" spans="1:37" ht="23" hidden="1">
      <c r="A879" s="111">
        <v>966</v>
      </c>
      <c r="B879" s="112">
        <v>6</v>
      </c>
      <c r="C879" s="122" t="s">
        <v>4538</v>
      </c>
      <c r="D879" s="147" t="s">
        <v>4539</v>
      </c>
      <c r="E879" s="114" t="s">
        <v>4540</v>
      </c>
      <c r="F879" s="115" t="s">
        <v>900</v>
      </c>
      <c r="G879" s="115" t="s">
        <v>1094</v>
      </c>
      <c r="H879" s="116">
        <v>13.807143</v>
      </c>
      <c r="I879" s="116">
        <v>100.571685</v>
      </c>
      <c r="J879" s="115" t="s">
        <v>2108</v>
      </c>
      <c r="K879" s="117" t="s">
        <v>2109</v>
      </c>
      <c r="L879" s="117" t="s">
        <v>2110</v>
      </c>
      <c r="M879" s="121" t="s">
        <v>972</v>
      </c>
      <c r="N879" s="121" t="s">
        <v>972</v>
      </c>
      <c r="O879" s="121" t="s">
        <v>995</v>
      </c>
      <c r="P879" s="117" t="s">
        <v>1876</v>
      </c>
      <c r="Q879" s="125" t="s">
        <v>972</v>
      </c>
      <c r="R879" s="130" t="s">
        <v>972</v>
      </c>
      <c r="S879" s="125" t="s">
        <v>972</v>
      </c>
      <c r="T879" s="222"/>
      <c r="U879" s="222"/>
      <c r="V879" s="222"/>
      <c r="W879" s="230"/>
      <c r="X879" s="331">
        <f t="shared" si="41"/>
        <v>0</v>
      </c>
      <c r="Y879" s="222"/>
      <c r="Z879" s="272">
        <f t="shared" si="39"/>
        <v>0</v>
      </c>
      <c r="AA879" s="331"/>
      <c r="AB879" s="331"/>
      <c r="AC879" s="331"/>
      <c r="AD879" s="331"/>
      <c r="AE879" s="331"/>
      <c r="AF879" s="331"/>
      <c r="AG879" s="331"/>
      <c r="AH879" s="241">
        <f t="shared" ca="1" si="40"/>
        <v>46153</v>
      </c>
      <c r="AI879" s="272"/>
      <c r="AJ879" s="222"/>
      <c r="AK879" s="222"/>
    </row>
    <row r="880" spans="1:37" ht="23" hidden="1">
      <c r="A880" s="111">
        <v>1034</v>
      </c>
      <c r="B880" s="112">
        <v>13</v>
      </c>
      <c r="C880" s="113" t="s">
        <v>4701</v>
      </c>
      <c r="D880" s="147" t="s">
        <v>4702</v>
      </c>
      <c r="E880" s="114" t="s">
        <v>4703</v>
      </c>
      <c r="F880" s="115" t="s">
        <v>900</v>
      </c>
      <c r="G880" s="115" t="s">
        <v>1094</v>
      </c>
      <c r="H880" s="116">
        <v>13.812885</v>
      </c>
      <c r="I880" s="116">
        <v>100.560997</v>
      </c>
      <c r="J880" s="115" t="s">
        <v>890</v>
      </c>
      <c r="K880" s="117" t="s">
        <v>2180</v>
      </c>
      <c r="L880" s="117" t="s">
        <v>2180</v>
      </c>
      <c r="M880" s="121">
        <v>77114964</v>
      </c>
      <c r="N880" s="121" t="s">
        <v>892</v>
      </c>
      <c r="O880" s="121" t="s">
        <v>995</v>
      </c>
      <c r="P880" s="117" t="s">
        <v>1876</v>
      </c>
      <c r="Q880" s="125" t="s">
        <v>972</v>
      </c>
      <c r="R880" s="125" t="s">
        <v>972</v>
      </c>
      <c r="S880" s="125" t="s">
        <v>972</v>
      </c>
      <c r="T880" s="222"/>
      <c r="U880" s="222"/>
      <c r="V880" s="222"/>
      <c r="W880" s="230"/>
      <c r="X880" s="331">
        <f t="shared" si="41"/>
        <v>0</v>
      </c>
      <c r="Y880" s="222"/>
      <c r="Z880" s="272">
        <f t="shared" si="39"/>
        <v>0</v>
      </c>
      <c r="AA880" s="331"/>
      <c r="AB880" s="331"/>
      <c r="AC880" s="331"/>
      <c r="AD880" s="331"/>
      <c r="AE880" s="331"/>
      <c r="AF880" s="331"/>
      <c r="AG880" s="331"/>
      <c r="AH880" s="241">
        <f t="shared" ca="1" si="40"/>
        <v>46153</v>
      </c>
      <c r="AI880" s="272"/>
      <c r="AJ880" s="222"/>
      <c r="AK880" s="222"/>
    </row>
    <row r="881" spans="1:37" ht="23.25" hidden="1" customHeight="1">
      <c r="A881" s="111">
        <v>2</v>
      </c>
      <c r="B881" s="112">
        <v>2</v>
      </c>
      <c r="C881" s="113" t="s">
        <v>885</v>
      </c>
      <c r="D881" s="147" t="s">
        <v>886</v>
      </c>
      <c r="E881" s="114" t="s">
        <v>887</v>
      </c>
      <c r="F881" s="115" t="s">
        <v>888</v>
      </c>
      <c r="G881" s="115" t="s">
        <v>889</v>
      </c>
      <c r="H881" s="116">
        <v>13.729468499999999</v>
      </c>
      <c r="I881" s="116">
        <v>100.50602809999999</v>
      </c>
      <c r="J881" s="116" t="s">
        <v>890</v>
      </c>
      <c r="K881" s="115" t="s">
        <v>891</v>
      </c>
      <c r="L881" s="117" t="s">
        <v>891</v>
      </c>
      <c r="M881" s="117">
        <v>96898543</v>
      </c>
      <c r="N881" s="117" t="s">
        <v>892</v>
      </c>
      <c r="O881" s="117" t="s">
        <v>893</v>
      </c>
      <c r="P881" s="117" t="s">
        <v>894</v>
      </c>
      <c r="Q881" s="118">
        <v>80057501</v>
      </c>
      <c r="R881" s="119" t="s">
        <v>895</v>
      </c>
      <c r="S881" s="119" t="s">
        <v>895</v>
      </c>
      <c r="T881" s="222"/>
      <c r="U881" s="222"/>
      <c r="V881" s="222"/>
      <c r="W881" s="286"/>
      <c r="X881" s="331">
        <f t="shared" si="41"/>
        <v>0</v>
      </c>
      <c r="Y881" s="222"/>
      <c r="Z881" s="272">
        <f t="shared" si="39"/>
        <v>0</v>
      </c>
      <c r="AA881" s="331"/>
      <c r="AB881" s="331"/>
      <c r="AC881" s="331"/>
      <c r="AD881" s="331"/>
      <c r="AE881" s="331"/>
      <c r="AF881" s="331"/>
      <c r="AG881" s="331"/>
      <c r="AH881" s="241">
        <f t="shared" ca="1" si="40"/>
        <v>46153</v>
      </c>
      <c r="AI881" s="272"/>
      <c r="AJ881" s="222"/>
      <c r="AK881" s="222"/>
    </row>
    <row r="882" spans="1:37" ht="23.25" hidden="1" customHeight="1">
      <c r="A882" s="111">
        <v>552</v>
      </c>
      <c r="B882" s="112">
        <v>15</v>
      </c>
      <c r="C882" s="113" t="s">
        <v>1516</v>
      </c>
      <c r="D882" s="147" t="s">
        <v>1517</v>
      </c>
      <c r="E882" s="114" t="s">
        <v>1518</v>
      </c>
      <c r="F882" s="115" t="s">
        <v>888</v>
      </c>
      <c r="G882" s="115" t="s">
        <v>889</v>
      </c>
      <c r="H882" s="116">
        <v>13.727379000000001</v>
      </c>
      <c r="I882" s="116">
        <v>100.497356</v>
      </c>
      <c r="J882" s="116" t="s">
        <v>890</v>
      </c>
      <c r="K882" s="117" t="s">
        <v>891</v>
      </c>
      <c r="L882" s="118" t="s">
        <v>891</v>
      </c>
      <c r="M882" s="117">
        <v>96898539</v>
      </c>
      <c r="N882" s="117" t="s">
        <v>892</v>
      </c>
      <c r="O882" s="117" t="s">
        <v>893</v>
      </c>
      <c r="P882" s="118" t="s">
        <v>894</v>
      </c>
      <c r="Q882" s="118">
        <v>80057501</v>
      </c>
      <c r="R882" s="138" t="s">
        <v>895</v>
      </c>
      <c r="S882" s="119" t="s">
        <v>895</v>
      </c>
      <c r="T882" s="222"/>
      <c r="U882" s="222"/>
      <c r="V882" s="222"/>
      <c r="W882" s="230"/>
      <c r="X882" s="331">
        <f t="shared" si="41"/>
        <v>0</v>
      </c>
      <c r="Y882" s="222"/>
      <c r="Z882" s="272">
        <f t="shared" si="39"/>
        <v>0</v>
      </c>
      <c r="AA882" s="331"/>
      <c r="AB882" s="331"/>
      <c r="AC882" s="331"/>
      <c r="AD882" s="331"/>
      <c r="AE882" s="331"/>
      <c r="AF882" s="331"/>
      <c r="AG882" s="331"/>
      <c r="AH882" s="241">
        <f t="shared" ca="1" si="40"/>
        <v>46153</v>
      </c>
      <c r="AI882" s="272"/>
      <c r="AJ882" s="222"/>
      <c r="AK882" s="222"/>
    </row>
    <row r="883" spans="1:37" ht="23.25" hidden="1" customHeight="1">
      <c r="A883" s="111">
        <v>469</v>
      </c>
      <c r="B883" s="112">
        <v>15</v>
      </c>
      <c r="C883" s="113" t="s">
        <v>1431</v>
      </c>
      <c r="D883" s="147" t="s">
        <v>1432</v>
      </c>
      <c r="E883" s="114" t="s">
        <v>1433</v>
      </c>
      <c r="F883" s="115" t="s">
        <v>1434</v>
      </c>
      <c r="G883" s="115" t="s">
        <v>1435</v>
      </c>
      <c r="H883" s="116">
        <v>13.824588</v>
      </c>
      <c r="I883" s="116">
        <v>100.524501</v>
      </c>
      <c r="J883" s="116" t="s">
        <v>890</v>
      </c>
      <c r="K883" s="117" t="s">
        <v>891</v>
      </c>
      <c r="L883" s="118" t="s">
        <v>891</v>
      </c>
      <c r="M883" s="117">
        <v>96898537</v>
      </c>
      <c r="N883" s="117" t="s">
        <v>892</v>
      </c>
      <c r="O883" s="117" t="s">
        <v>1436</v>
      </c>
      <c r="P883" s="118" t="s">
        <v>894</v>
      </c>
      <c r="Q883" s="118">
        <v>80057501</v>
      </c>
      <c r="R883" s="119" t="s">
        <v>895</v>
      </c>
      <c r="S883" s="119" t="s">
        <v>895</v>
      </c>
      <c r="T883" s="222"/>
      <c r="U883" s="222"/>
      <c r="V883" s="222"/>
      <c r="W883" s="230"/>
      <c r="X883" s="331">
        <f t="shared" si="41"/>
        <v>0</v>
      </c>
      <c r="Y883" s="222"/>
      <c r="Z883" s="272">
        <f t="shared" si="39"/>
        <v>0</v>
      </c>
      <c r="AA883" s="331"/>
      <c r="AB883" s="331"/>
      <c r="AC883" s="331"/>
      <c r="AD883" s="331"/>
      <c r="AE883" s="331"/>
      <c r="AF883" s="331"/>
      <c r="AG883" s="331"/>
      <c r="AH883" s="241">
        <f t="shared" ca="1" si="40"/>
        <v>46153</v>
      </c>
      <c r="AI883" s="272"/>
      <c r="AJ883" s="222"/>
      <c r="AK883" s="222"/>
    </row>
    <row r="884" spans="1:37" ht="23" hidden="1">
      <c r="A884" s="111">
        <v>566</v>
      </c>
      <c r="B884" s="112">
        <v>14</v>
      </c>
      <c r="C884" s="113" t="s">
        <v>3532</v>
      </c>
      <c r="D884" s="147" t="s">
        <v>3533</v>
      </c>
      <c r="E884" s="114" t="s">
        <v>3534</v>
      </c>
      <c r="F884" s="115" t="s">
        <v>1434</v>
      </c>
      <c r="G884" s="115" t="s">
        <v>1435</v>
      </c>
      <c r="H884" s="116">
        <v>13.827114999999999</v>
      </c>
      <c r="I884" s="116">
        <v>100.527255</v>
      </c>
      <c r="J884" s="115" t="s">
        <v>2108</v>
      </c>
      <c r="K884" s="115" t="s">
        <v>2136</v>
      </c>
      <c r="L884" s="117" t="s">
        <v>3535</v>
      </c>
      <c r="M884" s="121" t="s">
        <v>972</v>
      </c>
      <c r="N884" s="121" t="s">
        <v>972</v>
      </c>
      <c r="O884" s="136" t="s">
        <v>1436</v>
      </c>
      <c r="P884" s="136" t="s">
        <v>952</v>
      </c>
      <c r="Q884" s="125" t="s">
        <v>972</v>
      </c>
      <c r="R884" s="130" t="s">
        <v>972</v>
      </c>
      <c r="S884" s="125" t="s">
        <v>972</v>
      </c>
      <c r="T884" s="222"/>
      <c r="U884" s="222"/>
      <c r="V884" s="222"/>
      <c r="W884" s="230"/>
      <c r="X884" s="331">
        <f t="shared" si="41"/>
        <v>0</v>
      </c>
      <c r="Y884" s="222"/>
      <c r="Z884" s="272">
        <f t="shared" si="39"/>
        <v>0</v>
      </c>
      <c r="AA884" s="331"/>
      <c r="AB884" s="331"/>
      <c r="AC884" s="331"/>
      <c r="AD884" s="331"/>
      <c r="AE884" s="331"/>
      <c r="AF884" s="331"/>
      <c r="AG884" s="331"/>
      <c r="AH884" s="241">
        <f t="shared" ca="1" si="40"/>
        <v>46153</v>
      </c>
      <c r="AI884" s="272"/>
      <c r="AJ884" s="222"/>
      <c r="AK884" s="222"/>
    </row>
    <row r="885" spans="1:37" ht="23.25" hidden="1" customHeight="1">
      <c r="A885" s="111">
        <v>85</v>
      </c>
      <c r="B885" s="112" t="s">
        <v>985</v>
      </c>
      <c r="C885" s="113" t="s">
        <v>986</v>
      </c>
      <c r="D885" s="147" t="s">
        <v>987</v>
      </c>
      <c r="E885" s="114" t="s">
        <v>988</v>
      </c>
      <c r="F885" s="115" t="s">
        <v>989</v>
      </c>
      <c r="G885" s="115" t="s">
        <v>990</v>
      </c>
      <c r="H885" s="116">
        <v>13.737978999999999</v>
      </c>
      <c r="I885" s="116">
        <v>100.546504</v>
      </c>
      <c r="J885" s="116" t="s">
        <v>890</v>
      </c>
      <c r="K885" s="117" t="s">
        <v>891</v>
      </c>
      <c r="L885" s="117" t="s">
        <v>891</v>
      </c>
      <c r="M885" s="117">
        <v>96887713</v>
      </c>
      <c r="N885" s="117" t="s">
        <v>892</v>
      </c>
      <c r="O885" s="135" t="s">
        <v>984</v>
      </c>
      <c r="P885" s="117" t="s">
        <v>894</v>
      </c>
      <c r="Q885" s="118">
        <v>80057501</v>
      </c>
      <c r="R885" s="138" t="s">
        <v>895</v>
      </c>
      <c r="S885" s="119" t="s">
        <v>895</v>
      </c>
      <c r="T885" s="222"/>
      <c r="U885" s="222"/>
      <c r="V885" s="222"/>
      <c r="W885" s="230"/>
      <c r="X885" s="331">
        <f t="shared" si="41"/>
        <v>0</v>
      </c>
      <c r="Y885" s="222"/>
      <c r="Z885" s="272">
        <f t="shared" si="39"/>
        <v>0</v>
      </c>
      <c r="AA885" s="331"/>
      <c r="AB885" s="331"/>
      <c r="AC885" s="331"/>
      <c r="AD885" s="331"/>
      <c r="AE885" s="331"/>
      <c r="AF885" s="331"/>
      <c r="AG885" s="331"/>
      <c r="AH885" s="241">
        <f t="shared" ca="1" si="40"/>
        <v>46153</v>
      </c>
      <c r="AI885" s="272"/>
      <c r="AJ885" s="222"/>
      <c r="AK885" s="222"/>
    </row>
    <row r="886" spans="1:37" s="345" customFormat="1" ht="23.25" hidden="1" customHeight="1">
      <c r="A886" s="111">
        <v>92</v>
      </c>
      <c r="B886" s="112" t="s">
        <v>919</v>
      </c>
      <c r="C886" s="122" t="s">
        <v>1001</v>
      </c>
      <c r="D886" s="147" t="s">
        <v>1002</v>
      </c>
      <c r="E886" s="123" t="s">
        <v>1003</v>
      </c>
      <c r="F886" s="116" t="s">
        <v>989</v>
      </c>
      <c r="G886" s="116" t="s">
        <v>990</v>
      </c>
      <c r="H886" s="116">
        <v>13.747317499999999</v>
      </c>
      <c r="I886" s="116">
        <v>100.5482045</v>
      </c>
      <c r="J886" s="116" t="s">
        <v>890</v>
      </c>
      <c r="K886" s="117" t="s">
        <v>891</v>
      </c>
      <c r="L886" s="117" t="s">
        <v>891</v>
      </c>
      <c r="M886" s="117">
        <v>96887719</v>
      </c>
      <c r="N886" s="117" t="s">
        <v>892</v>
      </c>
      <c r="O886" s="135" t="s">
        <v>984</v>
      </c>
      <c r="P886" s="117" t="s">
        <v>894</v>
      </c>
      <c r="Q886" s="118">
        <v>80057501</v>
      </c>
      <c r="R886" s="119" t="s">
        <v>895</v>
      </c>
      <c r="S886" s="119" t="s">
        <v>895</v>
      </c>
      <c r="T886" s="222"/>
      <c r="U886" s="222"/>
      <c r="V886" s="222"/>
      <c r="W886" s="230"/>
      <c r="X886" s="331">
        <f t="shared" si="41"/>
        <v>0</v>
      </c>
      <c r="Y886" s="222"/>
      <c r="Z886" s="272">
        <f t="shared" si="39"/>
        <v>0</v>
      </c>
      <c r="AA886" s="331"/>
      <c r="AB886" s="331"/>
      <c r="AC886" s="331"/>
      <c r="AD886" s="331"/>
      <c r="AE886" s="331"/>
      <c r="AF886" s="331"/>
      <c r="AG886" s="331"/>
      <c r="AH886" s="241">
        <f t="shared" ca="1" si="40"/>
        <v>46153</v>
      </c>
      <c r="AI886" s="272"/>
      <c r="AJ886" s="222"/>
      <c r="AK886" s="222"/>
    </row>
    <row r="887" spans="1:37" ht="23.25" hidden="1" customHeight="1">
      <c r="A887" s="111">
        <v>179</v>
      </c>
      <c r="B887" s="112">
        <v>6</v>
      </c>
      <c r="C887" s="113" t="s">
        <v>1102</v>
      </c>
      <c r="D887" s="147" t="s">
        <v>1103</v>
      </c>
      <c r="E887" s="114" t="s">
        <v>1104</v>
      </c>
      <c r="F887" s="115" t="s">
        <v>989</v>
      </c>
      <c r="G887" s="115" t="s">
        <v>990</v>
      </c>
      <c r="H887" s="116">
        <v>13.733381</v>
      </c>
      <c r="I887" s="116">
        <v>100.545919</v>
      </c>
      <c r="J887" s="116" t="s">
        <v>890</v>
      </c>
      <c r="K887" s="117" t="s">
        <v>891</v>
      </c>
      <c r="L887" s="117" t="s">
        <v>891</v>
      </c>
      <c r="M887" s="117">
        <v>96887744</v>
      </c>
      <c r="N887" s="117" t="s">
        <v>892</v>
      </c>
      <c r="O887" s="135" t="s">
        <v>984</v>
      </c>
      <c r="P887" s="117" t="s">
        <v>894</v>
      </c>
      <c r="Q887" s="118">
        <v>80057501</v>
      </c>
      <c r="R887" s="119" t="s">
        <v>895</v>
      </c>
      <c r="S887" s="119" t="s">
        <v>895</v>
      </c>
      <c r="T887" s="222"/>
      <c r="U887" s="222"/>
      <c r="V887" s="222"/>
      <c r="W887" s="230"/>
      <c r="X887" s="331">
        <f t="shared" si="41"/>
        <v>0</v>
      </c>
      <c r="Y887" s="222"/>
      <c r="Z887" s="272">
        <f t="shared" si="39"/>
        <v>0</v>
      </c>
      <c r="AA887" s="331"/>
      <c r="AB887" s="331"/>
      <c r="AC887" s="331"/>
      <c r="AD887" s="331"/>
      <c r="AE887" s="331"/>
      <c r="AF887" s="331"/>
      <c r="AG887" s="331"/>
      <c r="AH887" s="241">
        <f t="shared" ca="1" si="40"/>
        <v>46153</v>
      </c>
      <c r="AI887" s="272"/>
      <c r="AJ887" s="222"/>
      <c r="AK887" s="222"/>
    </row>
    <row r="888" spans="1:37" s="570" customFormat="1" ht="23.25" customHeight="1">
      <c r="A888" s="558">
        <v>186</v>
      </c>
      <c r="B888" s="559">
        <v>14</v>
      </c>
      <c r="C888" s="560" t="s">
        <v>1111</v>
      </c>
      <c r="D888" s="557" t="s">
        <v>1112</v>
      </c>
      <c r="E888" s="561" t="s">
        <v>1113</v>
      </c>
      <c r="F888" s="562" t="s">
        <v>989</v>
      </c>
      <c r="G888" s="562" t="s">
        <v>990</v>
      </c>
      <c r="H888" s="562">
        <v>13.738763799999999</v>
      </c>
      <c r="I888" s="562">
        <v>100.5468262</v>
      </c>
      <c r="J888" s="562" t="s">
        <v>890</v>
      </c>
      <c r="K888" s="564" t="s">
        <v>891</v>
      </c>
      <c r="L888" s="564" t="s">
        <v>891</v>
      </c>
      <c r="M888" s="564">
        <v>96887771</v>
      </c>
      <c r="N888" s="564" t="s">
        <v>892</v>
      </c>
      <c r="O888" s="576" t="s">
        <v>984</v>
      </c>
      <c r="P888" s="573" t="s">
        <v>894</v>
      </c>
      <c r="Q888" s="118">
        <v>80057501</v>
      </c>
      <c r="R888" s="119" t="s">
        <v>895</v>
      </c>
      <c r="S888" s="119" t="s">
        <v>895</v>
      </c>
      <c r="T888" s="566"/>
      <c r="U888" s="566"/>
      <c r="V888" s="566"/>
      <c r="W888" s="567"/>
      <c r="X888" s="568">
        <f t="shared" si="41"/>
        <v>0</v>
      </c>
      <c r="Y888" s="566"/>
      <c r="Z888" s="569">
        <f t="shared" si="39"/>
        <v>0</v>
      </c>
      <c r="AA888" s="568"/>
      <c r="AB888" s="568"/>
      <c r="AC888" s="568"/>
      <c r="AD888" s="568"/>
      <c r="AE888" s="568"/>
      <c r="AF888" s="568"/>
      <c r="AG888" s="568"/>
      <c r="AH888" s="568">
        <f t="shared" ca="1" si="40"/>
        <v>46153</v>
      </c>
      <c r="AI888" s="569"/>
      <c r="AJ888" s="566"/>
      <c r="AK888" s="566"/>
    </row>
    <row r="889" spans="1:37" s="570" customFormat="1" ht="23.25" customHeight="1">
      <c r="A889" s="558">
        <v>344</v>
      </c>
      <c r="B889" s="559">
        <v>16</v>
      </c>
      <c r="C889" s="571" t="s">
        <v>1286</v>
      </c>
      <c r="D889" s="557" t="s">
        <v>1287</v>
      </c>
      <c r="E889" s="572" t="s">
        <v>1288</v>
      </c>
      <c r="F889" s="563" t="s">
        <v>989</v>
      </c>
      <c r="G889" s="563" t="s">
        <v>990</v>
      </c>
      <c r="H889" s="562">
        <v>13.734676</v>
      </c>
      <c r="I889" s="562">
        <v>100.54601700000001</v>
      </c>
      <c r="J889" s="562" t="s">
        <v>890</v>
      </c>
      <c r="K889" s="564" t="s">
        <v>891</v>
      </c>
      <c r="L889" s="574" t="s">
        <v>891</v>
      </c>
      <c r="M889" s="564">
        <v>96887827</v>
      </c>
      <c r="N889" s="564" t="s">
        <v>892</v>
      </c>
      <c r="O889" s="576" t="s">
        <v>984</v>
      </c>
      <c r="P889" s="575" t="s">
        <v>894</v>
      </c>
      <c r="Q889" s="118">
        <v>80057501</v>
      </c>
      <c r="R889" s="119" t="s">
        <v>895</v>
      </c>
      <c r="S889" s="119" t="s">
        <v>895</v>
      </c>
      <c r="T889" s="566"/>
      <c r="U889" s="566"/>
      <c r="V889" s="566"/>
      <c r="W889" s="567"/>
      <c r="X889" s="568">
        <f t="shared" si="41"/>
        <v>0</v>
      </c>
      <c r="Y889" s="566"/>
      <c r="Z889" s="569">
        <f t="shared" si="39"/>
        <v>0</v>
      </c>
      <c r="AA889" s="568"/>
      <c r="AB889" s="568"/>
      <c r="AC889" s="568"/>
      <c r="AD889" s="568"/>
      <c r="AE889" s="568"/>
      <c r="AF889" s="568"/>
      <c r="AG889" s="568"/>
      <c r="AH889" s="568">
        <f t="shared" ca="1" si="40"/>
        <v>46153</v>
      </c>
      <c r="AI889" s="569"/>
      <c r="AJ889" s="566"/>
      <c r="AK889" s="566"/>
    </row>
    <row r="890" spans="1:37" ht="23.25" hidden="1" customHeight="1">
      <c r="A890" s="111">
        <v>394</v>
      </c>
      <c r="B890" s="128" t="s">
        <v>1155</v>
      </c>
      <c r="C890" s="113" t="s">
        <v>1339</v>
      </c>
      <c r="D890" s="147" t="s">
        <v>1340</v>
      </c>
      <c r="E890" s="114" t="s">
        <v>1341</v>
      </c>
      <c r="F890" s="115" t="s">
        <v>989</v>
      </c>
      <c r="G890" s="115" t="s">
        <v>990</v>
      </c>
      <c r="H890" s="116">
        <v>13.741471000000001</v>
      </c>
      <c r="I890" s="116">
        <v>100.54728299999999</v>
      </c>
      <c r="J890" s="116" t="s">
        <v>890</v>
      </c>
      <c r="K890" s="117" t="s">
        <v>891</v>
      </c>
      <c r="L890" s="118" t="s">
        <v>891</v>
      </c>
      <c r="M890" s="117">
        <v>96887830</v>
      </c>
      <c r="N890" s="117" t="s">
        <v>892</v>
      </c>
      <c r="O890" s="135" t="s">
        <v>984</v>
      </c>
      <c r="P890" s="140" t="s">
        <v>894</v>
      </c>
      <c r="Q890" s="118">
        <v>80057501</v>
      </c>
      <c r="R890" s="119" t="s">
        <v>895</v>
      </c>
      <c r="S890" s="119" t="s">
        <v>895</v>
      </c>
      <c r="T890" s="222"/>
      <c r="U890" s="222"/>
      <c r="V890" s="222"/>
      <c r="W890" s="230"/>
      <c r="X890" s="331">
        <f t="shared" si="41"/>
        <v>0</v>
      </c>
      <c r="Y890" s="222"/>
      <c r="Z890" s="272">
        <f t="shared" si="39"/>
        <v>0</v>
      </c>
      <c r="AA890" s="331"/>
      <c r="AB890" s="331"/>
      <c r="AC890" s="331"/>
      <c r="AD890" s="331"/>
      <c r="AE890" s="331"/>
      <c r="AF890" s="331"/>
      <c r="AG890" s="331"/>
      <c r="AH890" s="241">
        <f t="shared" ca="1" si="40"/>
        <v>46153</v>
      </c>
      <c r="AI890" s="272"/>
      <c r="AJ890" s="222"/>
      <c r="AK890" s="222"/>
    </row>
    <row r="891" spans="1:37" ht="23.25" hidden="1" customHeight="1">
      <c r="A891" s="111">
        <v>433</v>
      </c>
      <c r="B891" s="112">
        <v>15</v>
      </c>
      <c r="C891" s="113" t="s">
        <v>1388</v>
      </c>
      <c r="D891" s="147" t="s">
        <v>1389</v>
      </c>
      <c r="E891" s="114" t="s">
        <v>1390</v>
      </c>
      <c r="F891" s="115" t="s">
        <v>989</v>
      </c>
      <c r="G891" s="115" t="s">
        <v>990</v>
      </c>
      <c r="H891" s="116">
        <v>13.733298</v>
      </c>
      <c r="I891" s="116">
        <v>100.54566199999999</v>
      </c>
      <c r="J891" s="116" t="s">
        <v>890</v>
      </c>
      <c r="K891" s="117" t="s">
        <v>891</v>
      </c>
      <c r="L891" s="118" t="s">
        <v>891</v>
      </c>
      <c r="M891" s="117">
        <v>96887845</v>
      </c>
      <c r="N891" s="117" t="s">
        <v>892</v>
      </c>
      <c r="O891" s="135" t="s">
        <v>984</v>
      </c>
      <c r="P891" s="117" t="s">
        <v>894</v>
      </c>
      <c r="Q891" s="118">
        <v>80057501</v>
      </c>
      <c r="R891" s="138" t="s">
        <v>895</v>
      </c>
      <c r="S891" s="119" t="s">
        <v>895</v>
      </c>
      <c r="T891" s="222"/>
      <c r="U891" s="222"/>
      <c r="V891" s="222"/>
      <c r="W891" s="230"/>
      <c r="X891" s="331">
        <f t="shared" si="41"/>
        <v>0</v>
      </c>
      <c r="Y891" s="222"/>
      <c r="Z891" s="272">
        <f t="shared" si="39"/>
        <v>0</v>
      </c>
      <c r="AA891" s="331"/>
      <c r="AB891" s="331"/>
      <c r="AC891" s="331"/>
      <c r="AD891" s="331"/>
      <c r="AE891" s="331"/>
      <c r="AF891" s="331"/>
      <c r="AG891" s="331"/>
      <c r="AH891" s="241">
        <f t="shared" ca="1" si="40"/>
        <v>46153</v>
      </c>
      <c r="AI891" s="272"/>
      <c r="AJ891" s="222"/>
      <c r="AK891" s="222"/>
    </row>
    <row r="892" spans="1:37" ht="23" hidden="1">
      <c r="A892" s="111">
        <v>534</v>
      </c>
      <c r="B892" s="112">
        <v>11</v>
      </c>
      <c r="C892" s="113" t="s">
        <v>1485</v>
      </c>
      <c r="D892" s="147" t="s">
        <v>1486</v>
      </c>
      <c r="E892" s="114" t="s">
        <v>1487</v>
      </c>
      <c r="F892" s="115" t="s">
        <v>989</v>
      </c>
      <c r="G892" s="115" t="s">
        <v>990</v>
      </c>
      <c r="H892" s="115">
        <v>13.732714400000001</v>
      </c>
      <c r="I892" s="115">
        <v>100.5455505</v>
      </c>
      <c r="J892" s="116" t="s">
        <v>969</v>
      </c>
      <c r="K892" s="116" t="s">
        <v>970</v>
      </c>
      <c r="L892" s="117" t="s">
        <v>1488</v>
      </c>
      <c r="M892" s="117">
        <v>96887845</v>
      </c>
      <c r="N892" s="121" t="s">
        <v>1050</v>
      </c>
      <c r="O892" s="135" t="s">
        <v>984</v>
      </c>
      <c r="P892" s="118" t="s">
        <v>894</v>
      </c>
      <c r="Q892" s="125" t="s">
        <v>972</v>
      </c>
      <c r="R892" s="125" t="s">
        <v>972</v>
      </c>
      <c r="S892" s="125" t="s">
        <v>972</v>
      </c>
      <c r="T892" s="222"/>
      <c r="U892" s="222"/>
      <c r="V892" s="222"/>
      <c r="W892" s="230"/>
      <c r="X892" s="331">
        <f t="shared" si="41"/>
        <v>0</v>
      </c>
      <c r="Y892" s="222"/>
      <c r="Z892" s="272">
        <f t="shared" si="39"/>
        <v>0</v>
      </c>
      <c r="AA892" s="331"/>
      <c r="AB892" s="331"/>
      <c r="AC892" s="331"/>
      <c r="AD892" s="331"/>
      <c r="AE892" s="331"/>
      <c r="AF892" s="331"/>
      <c r="AG892" s="331"/>
      <c r="AH892" s="241">
        <f t="shared" ca="1" si="40"/>
        <v>46153</v>
      </c>
      <c r="AI892" s="272"/>
      <c r="AJ892" s="222"/>
      <c r="AK892" s="222"/>
    </row>
    <row r="893" spans="1:37" s="570" customFormat="1" ht="23.25" customHeight="1">
      <c r="A893" s="558">
        <v>796</v>
      </c>
      <c r="B893" s="559">
        <v>10</v>
      </c>
      <c r="C893" s="571" t="s">
        <v>1766</v>
      </c>
      <c r="D893" s="557" t="s">
        <v>1767</v>
      </c>
      <c r="E893" s="572" t="s">
        <v>1768</v>
      </c>
      <c r="F893" s="563" t="s">
        <v>989</v>
      </c>
      <c r="G893" s="563" t="s">
        <v>990</v>
      </c>
      <c r="H893" s="562">
        <v>13.739015999999999</v>
      </c>
      <c r="I893" s="562">
        <v>100.546691</v>
      </c>
      <c r="J893" s="565" t="s">
        <v>890</v>
      </c>
      <c r="K893" s="564" t="s">
        <v>891</v>
      </c>
      <c r="L893" s="564" t="s">
        <v>891</v>
      </c>
      <c r="M893" s="577">
        <v>96887847</v>
      </c>
      <c r="N893" s="565" t="s">
        <v>1050</v>
      </c>
      <c r="O893" s="576" t="s">
        <v>984</v>
      </c>
      <c r="P893" s="565" t="s">
        <v>972</v>
      </c>
      <c r="Q893" s="118">
        <v>80057501</v>
      </c>
      <c r="R893" s="119" t="s">
        <v>895</v>
      </c>
      <c r="S893" s="119" t="s">
        <v>895</v>
      </c>
      <c r="T893" s="566"/>
      <c r="U893" s="566"/>
      <c r="V893" s="566"/>
      <c r="W893" s="567"/>
      <c r="X893" s="568">
        <f t="shared" si="41"/>
        <v>0</v>
      </c>
      <c r="Y893" s="566"/>
      <c r="Z893" s="569">
        <f t="shared" si="39"/>
        <v>0</v>
      </c>
      <c r="AA893" s="568"/>
      <c r="AB893" s="568"/>
      <c r="AC893" s="568"/>
      <c r="AD893" s="568"/>
      <c r="AE893" s="568"/>
      <c r="AF893" s="568"/>
      <c r="AG893" s="568"/>
      <c r="AH893" s="568">
        <f t="shared" ca="1" si="40"/>
        <v>46153</v>
      </c>
      <c r="AI893" s="569"/>
      <c r="AJ893" s="566"/>
      <c r="AK893" s="566"/>
    </row>
    <row r="894" spans="1:37" ht="23.25" hidden="1" customHeight="1">
      <c r="A894" s="111">
        <v>995</v>
      </c>
      <c r="B894" s="128" t="s">
        <v>1818</v>
      </c>
      <c r="C894" s="113" t="s">
        <v>1923</v>
      </c>
      <c r="D894" s="147" t="s">
        <v>1924</v>
      </c>
      <c r="E894" s="114" t="s">
        <v>1925</v>
      </c>
      <c r="F894" s="115" t="s">
        <v>989</v>
      </c>
      <c r="G894" s="115" t="s">
        <v>990</v>
      </c>
      <c r="H894" s="116">
        <v>13.727048999999999</v>
      </c>
      <c r="I894" s="116">
        <v>100.5445929</v>
      </c>
      <c r="J894" s="116" t="s">
        <v>890</v>
      </c>
      <c r="K894" s="117" t="s">
        <v>891</v>
      </c>
      <c r="L894" s="118" t="s">
        <v>891</v>
      </c>
      <c r="M894" s="117">
        <v>96887850</v>
      </c>
      <c r="N894" s="117" t="s">
        <v>892</v>
      </c>
      <c r="O894" s="135" t="s">
        <v>984</v>
      </c>
      <c r="P894" s="118" t="s">
        <v>894</v>
      </c>
      <c r="Q894" s="118">
        <v>80057501</v>
      </c>
      <c r="R894" s="119" t="s">
        <v>895</v>
      </c>
      <c r="S894" s="119" t="s">
        <v>895</v>
      </c>
      <c r="T894" s="222"/>
      <c r="U894" s="222"/>
      <c r="V894" s="222"/>
      <c r="W894" s="230"/>
      <c r="X894" s="331">
        <f t="shared" si="41"/>
        <v>0</v>
      </c>
      <c r="Y894" s="222"/>
      <c r="Z894" s="272">
        <f t="shared" si="39"/>
        <v>0</v>
      </c>
      <c r="AA894" s="331"/>
      <c r="AB894" s="331"/>
      <c r="AC894" s="331"/>
      <c r="AD894" s="331"/>
      <c r="AE894" s="331"/>
      <c r="AF894" s="331"/>
      <c r="AG894" s="331"/>
      <c r="AH894" s="241">
        <f t="shared" ca="1" si="40"/>
        <v>46153</v>
      </c>
      <c r="AI894" s="272"/>
      <c r="AJ894" s="222"/>
      <c r="AK894" s="222"/>
    </row>
    <row r="895" spans="1:37" ht="23.25" hidden="1" customHeight="1">
      <c r="A895" s="111">
        <v>155</v>
      </c>
      <c r="B895" s="112" t="s">
        <v>1071</v>
      </c>
      <c r="C895" s="122" t="s">
        <v>2327</v>
      </c>
      <c r="D895" s="147" t="s">
        <v>2328</v>
      </c>
      <c r="E895" s="123" t="s">
        <v>2329</v>
      </c>
      <c r="F895" s="116" t="s">
        <v>989</v>
      </c>
      <c r="G895" s="116" t="s">
        <v>990</v>
      </c>
      <c r="H895" s="117">
        <v>13.741285299999999</v>
      </c>
      <c r="I895" s="117">
        <v>100.5472508</v>
      </c>
      <c r="J895" s="116" t="s">
        <v>890</v>
      </c>
      <c r="K895" s="115" t="s">
        <v>1212</v>
      </c>
      <c r="L895" s="117" t="s">
        <v>1213</v>
      </c>
      <c r="M895" s="124">
        <v>95374181</v>
      </c>
      <c r="N895" s="121" t="s">
        <v>892</v>
      </c>
      <c r="O895" s="135" t="s">
        <v>984</v>
      </c>
      <c r="P895" s="154" t="s">
        <v>1076</v>
      </c>
      <c r="Q895" s="118">
        <v>80057501</v>
      </c>
      <c r="R895" s="119" t="s">
        <v>895</v>
      </c>
      <c r="S895" s="125" t="s">
        <v>895</v>
      </c>
      <c r="T895" s="222"/>
      <c r="U895" s="222"/>
      <c r="V895" s="222"/>
      <c r="W895" s="230"/>
      <c r="X895" s="331">
        <f t="shared" si="41"/>
        <v>0</v>
      </c>
      <c r="Y895" s="222"/>
      <c r="Z895" s="272">
        <f t="shared" si="39"/>
        <v>0</v>
      </c>
      <c r="AA895" s="331"/>
      <c r="AB895" s="331"/>
      <c r="AC895" s="331"/>
      <c r="AD895" s="331"/>
      <c r="AE895" s="331"/>
      <c r="AF895" s="331"/>
      <c r="AG895" s="331"/>
      <c r="AH895" s="241">
        <f t="shared" ca="1" si="40"/>
        <v>46153</v>
      </c>
      <c r="AI895" s="272"/>
      <c r="AJ895" s="222"/>
      <c r="AK895" s="222"/>
    </row>
    <row r="896" spans="1:37" ht="23.25" hidden="1" customHeight="1">
      <c r="A896" s="111">
        <v>149</v>
      </c>
      <c r="B896" s="112" t="s">
        <v>1071</v>
      </c>
      <c r="C896" s="122" t="s">
        <v>2491</v>
      </c>
      <c r="D896" s="147" t="s">
        <v>2492</v>
      </c>
      <c r="E896" s="123" t="s">
        <v>2493</v>
      </c>
      <c r="F896" s="116" t="s">
        <v>989</v>
      </c>
      <c r="G896" s="116" t="s">
        <v>990</v>
      </c>
      <c r="H896" s="117">
        <v>13.742626700000001</v>
      </c>
      <c r="I896" s="117">
        <v>100.5473217</v>
      </c>
      <c r="J896" s="116" t="s">
        <v>2097</v>
      </c>
      <c r="K896" s="121" t="s">
        <v>2097</v>
      </c>
      <c r="L896" s="121" t="s">
        <v>2494</v>
      </c>
      <c r="M896" s="121" t="s">
        <v>972</v>
      </c>
      <c r="N896" s="121" t="s">
        <v>972</v>
      </c>
      <c r="O896" s="135"/>
      <c r="P896" s="127" t="s">
        <v>1076</v>
      </c>
      <c r="Q896" s="129" t="s">
        <v>972</v>
      </c>
      <c r="R896" s="119" t="s">
        <v>972</v>
      </c>
      <c r="S896" s="119" t="s">
        <v>972</v>
      </c>
      <c r="T896" s="222"/>
      <c r="U896" s="222"/>
      <c r="V896" s="222"/>
      <c r="W896" s="230"/>
      <c r="X896" s="331">
        <f t="shared" si="41"/>
        <v>0</v>
      </c>
      <c r="Y896" s="222"/>
      <c r="Z896" s="272">
        <f t="shared" si="39"/>
        <v>0</v>
      </c>
      <c r="AA896" s="331"/>
      <c r="AB896" s="331"/>
      <c r="AC896" s="331"/>
      <c r="AD896" s="331"/>
      <c r="AE896" s="331"/>
      <c r="AF896" s="331"/>
      <c r="AG896" s="331"/>
      <c r="AH896" s="241">
        <f t="shared" ca="1" si="40"/>
        <v>46153</v>
      </c>
      <c r="AI896" s="272"/>
      <c r="AJ896" s="222"/>
      <c r="AK896" s="222"/>
    </row>
    <row r="897" spans="1:37" ht="23" hidden="1">
      <c r="A897" s="111">
        <v>165</v>
      </c>
      <c r="B897" s="112">
        <v>7</v>
      </c>
      <c r="C897" s="113" t="s">
        <v>2528</v>
      </c>
      <c r="D897" s="147" t="s">
        <v>2529</v>
      </c>
      <c r="E897" s="114" t="s">
        <v>2530</v>
      </c>
      <c r="F897" s="115" t="s">
        <v>989</v>
      </c>
      <c r="G897" s="115" t="s">
        <v>990</v>
      </c>
      <c r="H897" s="116">
        <v>13.742243999999999</v>
      </c>
      <c r="I897" s="116">
        <v>100.547422</v>
      </c>
      <c r="J897" s="116" t="s">
        <v>969</v>
      </c>
      <c r="K897" s="115" t="s">
        <v>1048</v>
      </c>
      <c r="L897" s="118" t="s">
        <v>2531</v>
      </c>
      <c r="M897" s="117">
        <v>96937851</v>
      </c>
      <c r="N897" s="121" t="s">
        <v>892</v>
      </c>
      <c r="O897" s="135" t="s">
        <v>984</v>
      </c>
      <c r="P897" s="140" t="s">
        <v>894</v>
      </c>
      <c r="Q897" s="125" t="s">
        <v>972</v>
      </c>
      <c r="R897" s="125" t="s">
        <v>972</v>
      </c>
      <c r="S897" s="125" t="s">
        <v>972</v>
      </c>
      <c r="T897" s="222"/>
      <c r="U897" s="222"/>
      <c r="V897" s="222"/>
      <c r="W897" s="230"/>
      <c r="X897" s="331">
        <f t="shared" si="41"/>
        <v>0</v>
      </c>
      <c r="Y897" s="222"/>
      <c r="Z897" s="272">
        <f t="shared" si="39"/>
        <v>0</v>
      </c>
      <c r="AA897" s="331"/>
      <c r="AB897" s="331"/>
      <c r="AC897" s="331"/>
      <c r="AD897" s="331"/>
      <c r="AE897" s="331"/>
      <c r="AF897" s="331"/>
      <c r="AG897" s="331"/>
      <c r="AH897" s="241">
        <f t="shared" ca="1" si="40"/>
        <v>46153</v>
      </c>
      <c r="AI897" s="272"/>
      <c r="AJ897" s="222"/>
      <c r="AK897" s="222"/>
    </row>
    <row r="898" spans="1:37" s="570" customFormat="1" ht="23">
      <c r="A898" s="558">
        <v>204</v>
      </c>
      <c r="B898" s="559" t="s">
        <v>1114</v>
      </c>
      <c r="C898" s="560" t="s">
        <v>2642</v>
      </c>
      <c r="D898" s="557" t="s">
        <v>2643</v>
      </c>
      <c r="E898" s="561" t="s">
        <v>2644</v>
      </c>
      <c r="F898" s="562" t="s">
        <v>989</v>
      </c>
      <c r="G898" s="562" t="s">
        <v>990</v>
      </c>
      <c r="H898" s="562">
        <v>13.7358505</v>
      </c>
      <c r="I898" s="562">
        <v>100.5461409</v>
      </c>
      <c r="J898" s="562" t="s">
        <v>969</v>
      </c>
      <c r="K898" s="563" t="s">
        <v>1048</v>
      </c>
      <c r="L898" s="574" t="s">
        <v>2645</v>
      </c>
      <c r="M898" s="564">
        <v>96937855</v>
      </c>
      <c r="N898" s="565" t="s">
        <v>1050</v>
      </c>
      <c r="O898" s="576" t="s">
        <v>984</v>
      </c>
      <c r="P898" s="573" t="s">
        <v>894</v>
      </c>
      <c r="Q898" s="125" t="s">
        <v>972</v>
      </c>
      <c r="R898" s="125" t="s">
        <v>972</v>
      </c>
      <c r="S898" s="125" t="s">
        <v>972</v>
      </c>
      <c r="T898" s="566"/>
      <c r="U898" s="566"/>
      <c r="V898" s="566"/>
      <c r="W898" s="567"/>
      <c r="X898" s="568">
        <f t="shared" si="41"/>
        <v>0</v>
      </c>
      <c r="Y898" s="566"/>
      <c r="Z898" s="569">
        <f t="shared" si="39"/>
        <v>0</v>
      </c>
      <c r="AA898" s="568"/>
      <c r="AB898" s="568"/>
      <c r="AC898" s="568"/>
      <c r="AD898" s="568"/>
      <c r="AE898" s="568"/>
      <c r="AF898" s="568"/>
      <c r="AG898" s="568"/>
      <c r="AH898" s="568">
        <f t="shared" ca="1" si="40"/>
        <v>46153</v>
      </c>
      <c r="AI898" s="569"/>
      <c r="AJ898" s="566"/>
      <c r="AK898" s="566"/>
    </row>
    <row r="899" spans="1:37" ht="23" hidden="1">
      <c r="A899" s="111">
        <v>245</v>
      </c>
      <c r="B899" s="112">
        <v>12</v>
      </c>
      <c r="C899" s="122" t="s">
        <v>2749</v>
      </c>
      <c r="D899" s="147" t="s">
        <v>2750</v>
      </c>
      <c r="E899" s="123" t="s">
        <v>2751</v>
      </c>
      <c r="F899" s="116" t="s">
        <v>989</v>
      </c>
      <c r="G899" s="116" t="s">
        <v>990</v>
      </c>
      <c r="H899" s="116">
        <v>13.7469109</v>
      </c>
      <c r="I899" s="116">
        <v>100.5481374</v>
      </c>
      <c r="J899" s="115" t="s">
        <v>2108</v>
      </c>
      <c r="K899" s="117" t="s">
        <v>2109</v>
      </c>
      <c r="L899" s="117" t="s">
        <v>2110</v>
      </c>
      <c r="M899" s="121" t="s">
        <v>972</v>
      </c>
      <c r="N899" s="121" t="s">
        <v>972</v>
      </c>
      <c r="O899" s="121" t="s">
        <v>984</v>
      </c>
      <c r="P899" s="117" t="s">
        <v>894</v>
      </c>
      <c r="Q899" s="125" t="s">
        <v>972</v>
      </c>
      <c r="R899" s="125" t="s">
        <v>972</v>
      </c>
      <c r="S899" s="125" t="s">
        <v>972</v>
      </c>
      <c r="T899" s="222"/>
      <c r="U899" s="222"/>
      <c r="V899" s="222"/>
      <c r="W899" s="230"/>
      <c r="X899" s="331">
        <f t="shared" si="41"/>
        <v>0</v>
      </c>
      <c r="Y899" s="222"/>
      <c r="Z899" s="272">
        <f t="shared" ref="Z899:Z962" si="42">DATEDIF(X899,Y899,"d")</f>
        <v>0</v>
      </c>
      <c r="AA899" s="331"/>
      <c r="AB899" s="331"/>
      <c r="AC899" s="331"/>
      <c r="AD899" s="331"/>
      <c r="AE899" s="331"/>
      <c r="AF899" s="331"/>
      <c r="AG899" s="331"/>
      <c r="AH899" s="241">
        <f t="shared" ref="AH899:AH962" ca="1" si="43">TODAY()</f>
        <v>46153</v>
      </c>
      <c r="AI899" s="272"/>
      <c r="AJ899" s="222"/>
      <c r="AK899" s="222"/>
    </row>
    <row r="900" spans="1:37" ht="23.25" hidden="1" customHeight="1">
      <c r="A900" s="111">
        <v>274</v>
      </c>
      <c r="B900" s="112" t="s">
        <v>1071</v>
      </c>
      <c r="C900" s="122" t="s">
        <v>2825</v>
      </c>
      <c r="D900" s="147" t="s">
        <v>2826</v>
      </c>
      <c r="E900" s="132" t="s">
        <v>2827</v>
      </c>
      <c r="F900" s="116" t="s">
        <v>989</v>
      </c>
      <c r="G900" s="116" t="s">
        <v>990</v>
      </c>
      <c r="H900" s="117">
        <v>13.735348699999999</v>
      </c>
      <c r="I900" s="117">
        <v>100.54605239999999</v>
      </c>
      <c r="J900" s="115" t="s">
        <v>2108</v>
      </c>
      <c r="K900" s="117" t="s">
        <v>2759</v>
      </c>
      <c r="L900" s="117" t="s">
        <v>2110</v>
      </c>
      <c r="M900" s="121" t="s">
        <v>972</v>
      </c>
      <c r="N900" s="121" t="s">
        <v>2828</v>
      </c>
      <c r="O900" s="121" t="s">
        <v>984</v>
      </c>
      <c r="P900" s="127" t="s">
        <v>1076</v>
      </c>
      <c r="Q900" s="129" t="s">
        <v>972</v>
      </c>
      <c r="R900" s="138" t="s">
        <v>2829</v>
      </c>
      <c r="S900" s="119" t="s">
        <v>2830</v>
      </c>
      <c r="T900" s="222"/>
      <c r="U900" s="222"/>
      <c r="V900" s="222"/>
      <c r="W900" s="230"/>
      <c r="X900" s="331">
        <f t="shared" ref="X900:X963" si="44">V900+(W900)</f>
        <v>0</v>
      </c>
      <c r="Y900" s="222"/>
      <c r="Z900" s="272">
        <f t="shared" si="42"/>
        <v>0</v>
      </c>
      <c r="AA900" s="331"/>
      <c r="AB900" s="331"/>
      <c r="AC900" s="331"/>
      <c r="AD900" s="331"/>
      <c r="AE900" s="331"/>
      <c r="AF900" s="331"/>
      <c r="AG900" s="331"/>
      <c r="AH900" s="241">
        <f t="shared" ca="1" si="43"/>
        <v>46153</v>
      </c>
      <c r="AI900" s="272"/>
      <c r="AJ900" s="222"/>
      <c r="AK900" s="222"/>
    </row>
    <row r="901" spans="1:37" ht="23" hidden="1">
      <c r="A901" s="111">
        <v>816</v>
      </c>
      <c r="B901" s="112">
        <v>5</v>
      </c>
      <c r="C901" s="113" t="s">
        <v>3421</v>
      </c>
      <c r="D901" s="147" t="s">
        <v>3422</v>
      </c>
      <c r="E901" s="114" t="s">
        <v>3423</v>
      </c>
      <c r="F901" s="115" t="s">
        <v>989</v>
      </c>
      <c r="G901" s="115" t="s">
        <v>990</v>
      </c>
      <c r="H901" s="116">
        <v>13.737425999999999</v>
      </c>
      <c r="I901" s="116">
        <v>100.54695</v>
      </c>
      <c r="J901" s="116" t="s">
        <v>890</v>
      </c>
      <c r="K901" s="115" t="s">
        <v>1212</v>
      </c>
      <c r="L901" s="117" t="s">
        <v>1213</v>
      </c>
      <c r="M901" s="117">
        <v>95374176</v>
      </c>
      <c r="N901" s="121" t="s">
        <v>1050</v>
      </c>
      <c r="O901" s="121" t="s">
        <v>984</v>
      </c>
      <c r="P901" s="118" t="s">
        <v>894</v>
      </c>
      <c r="Q901" s="118">
        <v>80057501</v>
      </c>
      <c r="R901" s="130" t="s">
        <v>972</v>
      </c>
      <c r="S901" s="125" t="s">
        <v>895</v>
      </c>
      <c r="T901" s="222"/>
      <c r="U901" s="222"/>
      <c r="V901" s="222"/>
      <c r="W901" s="230"/>
      <c r="X901" s="331">
        <f t="shared" si="44"/>
        <v>0</v>
      </c>
      <c r="Y901" s="222"/>
      <c r="Z901" s="272">
        <f t="shared" si="42"/>
        <v>0</v>
      </c>
      <c r="AA901" s="331"/>
      <c r="AB901" s="331"/>
      <c r="AC901" s="331"/>
      <c r="AD901" s="331"/>
      <c r="AE901" s="331"/>
      <c r="AF901" s="331"/>
      <c r="AG901" s="331"/>
      <c r="AH901" s="241">
        <f t="shared" ca="1" si="43"/>
        <v>46153</v>
      </c>
      <c r="AI901" s="272"/>
      <c r="AJ901" s="222"/>
      <c r="AK901" s="222"/>
    </row>
    <row r="902" spans="1:37" ht="23" hidden="1">
      <c r="A902" s="111">
        <v>576</v>
      </c>
      <c r="B902" s="112">
        <v>8</v>
      </c>
      <c r="C902" s="113" t="s">
        <v>3555</v>
      </c>
      <c r="D902" s="147" t="s">
        <v>3556</v>
      </c>
      <c r="E902" s="114" t="s">
        <v>3557</v>
      </c>
      <c r="F902" s="115" t="s">
        <v>989</v>
      </c>
      <c r="G902" s="115" t="s">
        <v>990</v>
      </c>
      <c r="H902" s="116">
        <v>13.731222000000001</v>
      </c>
      <c r="I902" s="116">
        <v>100.545311</v>
      </c>
      <c r="J902" s="116" t="s">
        <v>969</v>
      </c>
      <c r="K902" s="115" t="s">
        <v>1048</v>
      </c>
      <c r="L902" s="117" t="s">
        <v>3558</v>
      </c>
      <c r="M902" s="117">
        <v>96937887</v>
      </c>
      <c r="N902" s="121" t="s">
        <v>1050</v>
      </c>
      <c r="O902" s="121" t="s">
        <v>984</v>
      </c>
      <c r="P902" s="117" t="s">
        <v>894</v>
      </c>
      <c r="Q902" s="125" t="s">
        <v>972</v>
      </c>
      <c r="R902" s="130" t="s">
        <v>972</v>
      </c>
      <c r="S902" s="125" t="s">
        <v>972</v>
      </c>
      <c r="T902" s="222"/>
      <c r="U902" s="222"/>
      <c r="V902" s="222"/>
      <c r="W902" s="230"/>
      <c r="X902" s="331">
        <f t="shared" si="44"/>
        <v>0</v>
      </c>
      <c r="Y902" s="222"/>
      <c r="Z902" s="272">
        <f t="shared" si="42"/>
        <v>0</v>
      </c>
      <c r="AA902" s="331"/>
      <c r="AB902" s="331"/>
      <c r="AC902" s="331"/>
      <c r="AD902" s="331"/>
      <c r="AE902" s="331"/>
      <c r="AF902" s="331"/>
      <c r="AG902" s="331"/>
      <c r="AH902" s="241">
        <f t="shared" ca="1" si="43"/>
        <v>46153</v>
      </c>
      <c r="AI902" s="272"/>
      <c r="AJ902" s="222"/>
      <c r="AK902" s="222"/>
    </row>
    <row r="903" spans="1:37" ht="23" hidden="1">
      <c r="A903" s="111">
        <v>577</v>
      </c>
      <c r="B903" s="128" t="s">
        <v>1569</v>
      </c>
      <c r="C903" s="113" t="s">
        <v>3559</v>
      </c>
      <c r="D903" s="147" t="s">
        <v>3560</v>
      </c>
      <c r="E903" s="123" t="s">
        <v>3561</v>
      </c>
      <c r="F903" s="116" t="s">
        <v>989</v>
      </c>
      <c r="G903" s="116" t="s">
        <v>990</v>
      </c>
      <c r="H903" s="116">
        <v>13.7280169</v>
      </c>
      <c r="I903" s="116">
        <v>100.5447637</v>
      </c>
      <c r="J903" s="116" t="s">
        <v>969</v>
      </c>
      <c r="K903" s="115" t="s">
        <v>1048</v>
      </c>
      <c r="L903" s="118" t="s">
        <v>3562</v>
      </c>
      <c r="M903" s="117">
        <v>96937884</v>
      </c>
      <c r="N903" s="121" t="s">
        <v>892</v>
      </c>
      <c r="O903" s="121" t="s">
        <v>984</v>
      </c>
      <c r="P903" s="117" t="s">
        <v>894</v>
      </c>
      <c r="Q903" s="125" t="s">
        <v>972</v>
      </c>
      <c r="R903" s="130" t="s">
        <v>972</v>
      </c>
      <c r="S903" s="125" t="s">
        <v>972</v>
      </c>
      <c r="T903" s="222"/>
      <c r="U903" s="222"/>
      <c r="V903" s="222"/>
      <c r="W903" s="230"/>
      <c r="X903" s="331">
        <f t="shared" si="44"/>
        <v>0</v>
      </c>
      <c r="Y903" s="222"/>
      <c r="Z903" s="272">
        <f t="shared" si="42"/>
        <v>0</v>
      </c>
      <c r="AA903" s="331"/>
      <c r="AB903" s="331"/>
      <c r="AC903" s="331"/>
      <c r="AD903" s="331"/>
      <c r="AE903" s="331"/>
      <c r="AF903" s="331"/>
      <c r="AG903" s="331"/>
      <c r="AH903" s="241">
        <f t="shared" ca="1" si="43"/>
        <v>46153</v>
      </c>
      <c r="AI903" s="272"/>
      <c r="AJ903" s="222"/>
      <c r="AK903" s="222"/>
    </row>
    <row r="904" spans="1:37" ht="23" hidden="1">
      <c r="A904" s="111">
        <v>578</v>
      </c>
      <c r="B904" s="112">
        <v>9</v>
      </c>
      <c r="C904" s="122" t="s">
        <v>3563</v>
      </c>
      <c r="D904" s="147" t="s">
        <v>3564</v>
      </c>
      <c r="E904" s="114" t="s">
        <v>3565</v>
      </c>
      <c r="F904" s="115" t="s">
        <v>989</v>
      </c>
      <c r="G904" s="115" t="s">
        <v>990</v>
      </c>
      <c r="H904" s="115">
        <v>13.730316</v>
      </c>
      <c r="I904" s="115">
        <v>100.5451564</v>
      </c>
      <c r="J904" s="116" t="s">
        <v>969</v>
      </c>
      <c r="K904" s="115" t="s">
        <v>1048</v>
      </c>
      <c r="L904" s="117" t="s">
        <v>3566</v>
      </c>
      <c r="M904" s="117">
        <v>96937864</v>
      </c>
      <c r="N904" s="121" t="s">
        <v>892</v>
      </c>
      <c r="O904" s="121" t="s">
        <v>984</v>
      </c>
      <c r="P904" s="117" t="s">
        <v>894</v>
      </c>
      <c r="Q904" s="125" t="s">
        <v>972</v>
      </c>
      <c r="R904" s="125" t="s">
        <v>972</v>
      </c>
      <c r="S904" s="125" t="s">
        <v>972</v>
      </c>
      <c r="T904" s="222"/>
      <c r="U904" s="222"/>
      <c r="V904" s="222"/>
      <c r="W904" s="230"/>
      <c r="X904" s="331">
        <f t="shared" si="44"/>
        <v>0</v>
      </c>
      <c r="Y904" s="222"/>
      <c r="Z904" s="272">
        <f t="shared" si="42"/>
        <v>0</v>
      </c>
      <c r="AA904" s="331"/>
      <c r="AB904" s="331"/>
      <c r="AC904" s="331"/>
      <c r="AD904" s="331"/>
      <c r="AE904" s="331"/>
      <c r="AF904" s="331"/>
      <c r="AG904" s="331"/>
      <c r="AH904" s="241">
        <f t="shared" ca="1" si="43"/>
        <v>46153</v>
      </c>
      <c r="AI904" s="272"/>
      <c r="AJ904" s="222"/>
      <c r="AK904" s="222"/>
    </row>
    <row r="905" spans="1:37" ht="23.25" hidden="1" customHeight="1">
      <c r="A905" s="111">
        <v>1130</v>
      </c>
      <c r="B905" s="112">
        <v>5</v>
      </c>
      <c r="C905" s="122" t="s">
        <v>3972</v>
      </c>
      <c r="D905" s="147" t="s">
        <v>3973</v>
      </c>
      <c r="E905" s="114" t="s">
        <v>3974</v>
      </c>
      <c r="F905" s="115" t="s">
        <v>989</v>
      </c>
      <c r="G905" s="115" t="s">
        <v>957</v>
      </c>
      <c r="H905" s="115">
        <v>13.7492617</v>
      </c>
      <c r="I905" s="115">
        <v>100.5485233</v>
      </c>
      <c r="J905" s="116" t="s">
        <v>890</v>
      </c>
      <c r="K905" s="115" t="s">
        <v>1212</v>
      </c>
      <c r="L905" s="117" t="s">
        <v>1213</v>
      </c>
      <c r="M905" s="117">
        <v>23112103</v>
      </c>
      <c r="N905" s="121" t="s">
        <v>1050</v>
      </c>
      <c r="O905" s="121" t="s">
        <v>984</v>
      </c>
      <c r="P905" s="136" t="s">
        <v>894</v>
      </c>
      <c r="Q905" s="118">
        <v>80057501</v>
      </c>
      <c r="R905" s="130" t="s">
        <v>972</v>
      </c>
      <c r="S905" s="125" t="s">
        <v>895</v>
      </c>
      <c r="T905" s="222"/>
      <c r="U905" s="222"/>
      <c r="V905" s="222"/>
      <c r="W905" s="230"/>
      <c r="X905" s="331">
        <f t="shared" si="44"/>
        <v>0</v>
      </c>
      <c r="Y905" s="222"/>
      <c r="Z905" s="272">
        <f t="shared" si="42"/>
        <v>0</v>
      </c>
      <c r="AA905" s="331"/>
      <c r="AB905" s="331"/>
      <c r="AC905" s="331"/>
      <c r="AD905" s="331"/>
      <c r="AE905" s="331"/>
      <c r="AF905" s="331"/>
      <c r="AG905" s="331"/>
      <c r="AH905" s="241">
        <f t="shared" ca="1" si="43"/>
        <v>46153</v>
      </c>
      <c r="AI905" s="272"/>
      <c r="AJ905" s="222"/>
      <c r="AK905" s="222"/>
    </row>
    <row r="906" spans="1:37" ht="16.5" hidden="1" customHeight="1">
      <c r="A906" s="111">
        <v>927</v>
      </c>
      <c r="B906" s="112">
        <v>4</v>
      </c>
      <c r="C906" s="122" t="s">
        <v>4441</v>
      </c>
      <c r="D906" s="147" t="s">
        <v>4442</v>
      </c>
      <c r="E906" s="114" t="s">
        <v>4443</v>
      </c>
      <c r="F906" s="115" t="s">
        <v>989</v>
      </c>
      <c r="G906" s="115" t="s">
        <v>990</v>
      </c>
      <c r="H906" s="116">
        <v>13.7294894</v>
      </c>
      <c r="I906" s="116">
        <v>100.5450182</v>
      </c>
      <c r="J906" s="116" t="s">
        <v>969</v>
      </c>
      <c r="K906" s="115" t="s">
        <v>1048</v>
      </c>
      <c r="L906" s="117" t="s">
        <v>4444</v>
      </c>
      <c r="M906" s="117">
        <v>96937864</v>
      </c>
      <c r="N906" s="121" t="s">
        <v>892</v>
      </c>
      <c r="O906" s="121" t="s">
        <v>984</v>
      </c>
      <c r="P906" s="117" t="s">
        <v>894</v>
      </c>
      <c r="Q906" s="125" t="s">
        <v>972</v>
      </c>
      <c r="R906" s="125" t="s">
        <v>972</v>
      </c>
      <c r="S906" s="125" t="s">
        <v>972</v>
      </c>
      <c r="T906" s="222"/>
      <c r="U906" s="222"/>
      <c r="V906" s="222"/>
      <c r="W906" s="230"/>
      <c r="X906" s="331">
        <f t="shared" si="44"/>
        <v>0</v>
      </c>
      <c r="Y906" s="222"/>
      <c r="Z906" s="272">
        <f t="shared" si="42"/>
        <v>0</v>
      </c>
      <c r="AA906" s="331"/>
      <c r="AB906" s="331"/>
      <c r="AC906" s="331"/>
      <c r="AD906" s="331"/>
      <c r="AE906" s="331"/>
      <c r="AF906" s="331"/>
      <c r="AG906" s="331"/>
      <c r="AH906" s="241">
        <f t="shared" ca="1" si="43"/>
        <v>46153</v>
      </c>
      <c r="AI906" s="272"/>
      <c r="AJ906" s="222"/>
      <c r="AK906" s="222"/>
    </row>
    <row r="907" spans="1:37" ht="23" hidden="1">
      <c r="A907" s="111">
        <v>176</v>
      </c>
      <c r="B907" s="112" t="s">
        <v>1071</v>
      </c>
      <c r="C907" s="113" t="s">
        <v>4689</v>
      </c>
      <c r="D907" s="147" t="s">
        <v>4690</v>
      </c>
      <c r="E907" s="114" t="s">
        <v>4691</v>
      </c>
      <c r="F907" s="115" t="s">
        <v>989</v>
      </c>
      <c r="G907" s="115" t="s">
        <v>990</v>
      </c>
      <c r="H907" s="116">
        <v>13.7341722</v>
      </c>
      <c r="I907" s="116">
        <v>100.5459087</v>
      </c>
      <c r="J907" s="116" t="s">
        <v>890</v>
      </c>
      <c r="K907" s="115" t="s">
        <v>1212</v>
      </c>
      <c r="L907" s="117" t="s">
        <v>1213</v>
      </c>
      <c r="M907" s="121" t="s">
        <v>4692</v>
      </c>
      <c r="N907" s="121" t="s">
        <v>892</v>
      </c>
      <c r="O907" s="121"/>
      <c r="P907" s="127" t="s">
        <v>1076</v>
      </c>
      <c r="Q907" s="129" t="s">
        <v>972</v>
      </c>
      <c r="R907" s="119" t="s">
        <v>972</v>
      </c>
      <c r="S907" s="119" t="s">
        <v>2830</v>
      </c>
      <c r="T907" s="222"/>
      <c r="U907" s="222"/>
      <c r="V907" s="222"/>
      <c r="W907" s="230"/>
      <c r="X907" s="331">
        <f t="shared" si="44"/>
        <v>0</v>
      </c>
      <c r="Y907" s="222"/>
      <c r="Z907" s="272">
        <f t="shared" si="42"/>
        <v>0</v>
      </c>
      <c r="AA907" s="331"/>
      <c r="AB907" s="331"/>
      <c r="AC907" s="331"/>
      <c r="AD907" s="331"/>
      <c r="AE907" s="331"/>
      <c r="AF907" s="331"/>
      <c r="AG907" s="331"/>
      <c r="AH907" s="241">
        <f t="shared" ca="1" si="43"/>
        <v>46153</v>
      </c>
      <c r="AI907" s="272"/>
      <c r="AJ907" s="222"/>
      <c r="AK907" s="222"/>
    </row>
    <row r="908" spans="1:37" ht="23" hidden="1">
      <c r="A908" s="111">
        <v>1115</v>
      </c>
      <c r="B908" s="112" t="s">
        <v>1013</v>
      </c>
      <c r="C908" s="113" t="s">
        <v>4888</v>
      </c>
      <c r="D908" s="147" t="s">
        <v>4889</v>
      </c>
      <c r="E908" s="114" t="s">
        <v>4890</v>
      </c>
      <c r="F908" s="115" t="s">
        <v>989</v>
      </c>
      <c r="G908" s="115" t="s">
        <v>990</v>
      </c>
      <c r="H908" s="116">
        <v>13.732658600000001</v>
      </c>
      <c r="I908" s="116">
        <v>100.545784</v>
      </c>
      <c r="J908" s="116" t="s">
        <v>969</v>
      </c>
      <c r="K908" s="115" t="s">
        <v>1048</v>
      </c>
      <c r="L908" s="117" t="s">
        <v>4891</v>
      </c>
      <c r="M908" s="117">
        <v>96937868</v>
      </c>
      <c r="N908" s="121" t="s">
        <v>892</v>
      </c>
      <c r="O908" s="121" t="s">
        <v>984</v>
      </c>
      <c r="P908" s="117" t="s">
        <v>894</v>
      </c>
      <c r="Q908" s="125" t="s">
        <v>972</v>
      </c>
      <c r="R908" s="130" t="s">
        <v>972</v>
      </c>
      <c r="S908" s="125" t="s">
        <v>972</v>
      </c>
      <c r="T908" s="222"/>
      <c r="U908" s="222"/>
      <c r="V908" s="222"/>
      <c r="W908" s="230"/>
      <c r="X908" s="331">
        <f t="shared" si="44"/>
        <v>0</v>
      </c>
      <c r="Y908" s="222"/>
      <c r="Z908" s="272">
        <f t="shared" si="42"/>
        <v>0</v>
      </c>
      <c r="AA908" s="331"/>
      <c r="AB908" s="331"/>
      <c r="AC908" s="331"/>
      <c r="AD908" s="331"/>
      <c r="AE908" s="331"/>
      <c r="AF908" s="331"/>
      <c r="AG908" s="331"/>
      <c r="AH908" s="241">
        <f t="shared" ca="1" si="43"/>
        <v>46153</v>
      </c>
      <c r="AI908" s="272"/>
      <c r="AJ908" s="222"/>
      <c r="AK908" s="222"/>
    </row>
    <row r="909" spans="1:37" ht="23" hidden="1">
      <c r="A909" s="111">
        <v>963</v>
      </c>
      <c r="B909" s="112" t="s">
        <v>1071</v>
      </c>
      <c r="C909" s="122" t="s">
        <v>4711</v>
      </c>
      <c r="D909" s="147" t="s">
        <v>4712</v>
      </c>
      <c r="E909" s="142" t="s">
        <v>4713</v>
      </c>
      <c r="F909" s="143" t="s">
        <v>4714</v>
      </c>
      <c r="G909" s="143" t="s">
        <v>990</v>
      </c>
      <c r="H909" s="172">
        <v>13.739597</v>
      </c>
      <c r="I909" s="172">
        <v>100.546965</v>
      </c>
      <c r="J909" s="116" t="s">
        <v>890</v>
      </c>
      <c r="K909" s="115" t="s">
        <v>1212</v>
      </c>
      <c r="L909" s="117" t="s">
        <v>1213</v>
      </c>
      <c r="M909" s="121" t="s">
        <v>4715</v>
      </c>
      <c r="N909" s="121" t="s">
        <v>892</v>
      </c>
      <c r="O909" s="121"/>
      <c r="P909" s="127" t="s">
        <v>1076</v>
      </c>
      <c r="Q909" s="129" t="s">
        <v>972</v>
      </c>
      <c r="R909" s="119" t="s">
        <v>972</v>
      </c>
      <c r="S909" s="119" t="s">
        <v>2830</v>
      </c>
      <c r="T909" s="222"/>
      <c r="U909" s="222"/>
      <c r="V909" s="222"/>
      <c r="W909" s="230"/>
      <c r="X909" s="331">
        <f t="shared" si="44"/>
        <v>0</v>
      </c>
      <c r="Y909" s="222"/>
      <c r="Z909" s="272">
        <f t="shared" si="42"/>
        <v>0</v>
      </c>
      <c r="AA909" s="331"/>
      <c r="AB909" s="331"/>
      <c r="AC909" s="331"/>
      <c r="AD909" s="331"/>
      <c r="AE909" s="331"/>
      <c r="AF909" s="331"/>
      <c r="AG909" s="331"/>
      <c r="AH909" s="241">
        <f t="shared" ca="1" si="43"/>
        <v>46153</v>
      </c>
      <c r="AI909" s="272"/>
      <c r="AJ909" s="222"/>
      <c r="AK909" s="222"/>
    </row>
    <row r="910" spans="1:37" ht="23" hidden="1">
      <c r="A910" s="111">
        <v>621</v>
      </c>
      <c r="B910" s="112">
        <v>5</v>
      </c>
      <c r="C910" s="113" t="s">
        <v>4719</v>
      </c>
      <c r="D910" s="147" t="s">
        <v>4720</v>
      </c>
      <c r="E910" s="169" t="s">
        <v>4721</v>
      </c>
      <c r="F910" s="117" t="s">
        <v>4722</v>
      </c>
      <c r="G910" s="117" t="s">
        <v>2789</v>
      </c>
      <c r="H910" s="117">
        <v>13.7600801</v>
      </c>
      <c r="I910" s="117">
        <v>100.5073275</v>
      </c>
      <c r="J910" s="116" t="s">
        <v>890</v>
      </c>
      <c r="K910" s="118" t="s">
        <v>4723</v>
      </c>
      <c r="L910" s="118" t="s">
        <v>4723</v>
      </c>
      <c r="M910" s="117">
        <v>69009606</v>
      </c>
      <c r="N910" s="117" t="s">
        <v>892</v>
      </c>
      <c r="O910" s="117" t="s">
        <v>1581</v>
      </c>
      <c r="P910" s="118" t="s">
        <v>1012</v>
      </c>
      <c r="Q910" s="503" t="s">
        <v>972</v>
      </c>
      <c r="R910" s="125" t="s">
        <v>972</v>
      </c>
      <c r="S910" s="119" t="s">
        <v>895</v>
      </c>
      <c r="T910" s="222"/>
      <c r="U910" s="222"/>
      <c r="V910" s="222"/>
      <c r="W910" s="230"/>
      <c r="X910" s="331">
        <f t="shared" si="44"/>
        <v>0</v>
      </c>
      <c r="Y910" s="222"/>
      <c r="Z910" s="272">
        <f t="shared" si="42"/>
        <v>0</v>
      </c>
      <c r="AA910" s="331"/>
      <c r="AB910" s="331"/>
      <c r="AC910" s="331"/>
      <c r="AD910" s="331"/>
      <c r="AE910" s="331"/>
      <c r="AF910" s="331"/>
      <c r="AG910" s="331"/>
      <c r="AH910" s="241">
        <f t="shared" ca="1" si="43"/>
        <v>46153</v>
      </c>
      <c r="AI910" s="272"/>
      <c r="AJ910" s="222"/>
      <c r="AK910" s="222"/>
    </row>
    <row r="911" spans="1:37" ht="23" hidden="1">
      <c r="A911" s="111">
        <v>208</v>
      </c>
      <c r="B911" s="470" t="s">
        <v>1086</v>
      </c>
      <c r="C911" s="471" t="s">
        <v>1129</v>
      </c>
      <c r="D911" s="472" t="s">
        <v>1130</v>
      </c>
      <c r="E911" s="473" t="s">
        <v>1131</v>
      </c>
      <c r="F911" s="482" t="s">
        <v>1132</v>
      </c>
      <c r="G911" s="482" t="s">
        <v>1133</v>
      </c>
      <c r="H911" s="486">
        <v>13.6871759</v>
      </c>
      <c r="I911" s="486">
        <v>100.646919</v>
      </c>
      <c r="J911" s="116" t="s">
        <v>890</v>
      </c>
      <c r="K911" s="117" t="s">
        <v>891</v>
      </c>
      <c r="L911" s="117" t="s">
        <v>891</v>
      </c>
      <c r="M911" s="117">
        <v>96896054</v>
      </c>
      <c r="N911" s="117" t="s">
        <v>892</v>
      </c>
      <c r="O911" s="117" t="s">
        <v>1134</v>
      </c>
      <c r="P911" s="117" t="s">
        <v>902</v>
      </c>
      <c r="Q911" s="118">
        <v>80057501</v>
      </c>
      <c r="R911" s="119" t="s">
        <v>895</v>
      </c>
      <c r="S911" s="119" t="s">
        <v>895</v>
      </c>
      <c r="T911" s="222"/>
      <c r="U911" s="222"/>
      <c r="V911" s="222"/>
      <c r="W911" s="230"/>
      <c r="X911" s="331">
        <f t="shared" si="44"/>
        <v>0</v>
      </c>
      <c r="Y911" s="222"/>
      <c r="Z911" s="272">
        <f t="shared" si="42"/>
        <v>0</v>
      </c>
      <c r="AA911" s="331"/>
      <c r="AB911" s="331"/>
      <c r="AC911" s="331"/>
      <c r="AD911" s="331"/>
      <c r="AE911" s="331"/>
      <c r="AF911" s="331"/>
      <c r="AG911" s="331"/>
      <c r="AH911" s="241">
        <f t="shared" ca="1" si="43"/>
        <v>46153</v>
      </c>
      <c r="AI911" s="272"/>
      <c r="AJ911" s="222"/>
      <c r="AK911" s="222"/>
    </row>
    <row r="912" spans="1:37" ht="23" hidden="1">
      <c r="A912" s="111">
        <v>310</v>
      </c>
      <c r="B912" s="112">
        <v>11</v>
      </c>
      <c r="C912" s="113" t="s">
        <v>1250</v>
      </c>
      <c r="D912" s="147" t="s">
        <v>1251</v>
      </c>
      <c r="E912" s="114" t="s">
        <v>1252</v>
      </c>
      <c r="F912" s="115" t="s">
        <v>1132</v>
      </c>
      <c r="G912" s="115" t="s">
        <v>901</v>
      </c>
      <c r="H912" s="115">
        <v>13.7544372</v>
      </c>
      <c r="I912" s="115">
        <v>100.64578969999999</v>
      </c>
      <c r="J912" s="116" t="s">
        <v>890</v>
      </c>
      <c r="K912" s="117" t="s">
        <v>891</v>
      </c>
      <c r="L912" s="117" t="s">
        <v>891</v>
      </c>
      <c r="M912" s="339">
        <v>96893715</v>
      </c>
      <c r="N912" s="339" t="s">
        <v>892</v>
      </c>
      <c r="O912" s="339" t="s">
        <v>901</v>
      </c>
      <c r="P912" s="339" t="s">
        <v>902</v>
      </c>
      <c r="Q912" s="346">
        <v>80057501</v>
      </c>
      <c r="R912" s="349" t="s">
        <v>895</v>
      </c>
      <c r="S912" s="349" t="s">
        <v>895</v>
      </c>
      <c r="T912" s="342"/>
      <c r="U912" s="342"/>
      <c r="V912" s="342"/>
      <c r="W912" s="553"/>
      <c r="X912" s="331">
        <f t="shared" si="44"/>
        <v>0</v>
      </c>
      <c r="Y912" s="342"/>
      <c r="Z912" s="344">
        <f t="shared" si="42"/>
        <v>0</v>
      </c>
      <c r="AA912" s="331"/>
      <c r="AB912" s="331"/>
      <c r="AC912" s="331"/>
      <c r="AD912" s="331"/>
      <c r="AE912" s="331"/>
      <c r="AF912" s="331"/>
      <c r="AG912" s="331"/>
      <c r="AH912" s="343">
        <f t="shared" ca="1" si="43"/>
        <v>46153</v>
      </c>
      <c r="AI912" s="344"/>
      <c r="AJ912" s="342"/>
      <c r="AK912" s="342"/>
    </row>
    <row r="913" spans="1:37" ht="23.25" hidden="1" customHeight="1">
      <c r="A913" s="111">
        <v>314</v>
      </c>
      <c r="B913" s="112">
        <v>16</v>
      </c>
      <c r="C913" s="113" t="s">
        <v>1253</v>
      </c>
      <c r="D913" s="147" t="s">
        <v>1254</v>
      </c>
      <c r="E913" s="114" t="s">
        <v>1255</v>
      </c>
      <c r="F913" s="115" t="s">
        <v>1132</v>
      </c>
      <c r="G913" s="115" t="s">
        <v>1133</v>
      </c>
      <c r="H913" s="116">
        <v>13.695944000000001</v>
      </c>
      <c r="I913" s="116">
        <v>100.6475861</v>
      </c>
      <c r="J913" s="116" t="s">
        <v>890</v>
      </c>
      <c r="K913" s="117" t="s">
        <v>891</v>
      </c>
      <c r="L913" s="117" t="s">
        <v>891</v>
      </c>
      <c r="M913" s="117">
        <v>96896056</v>
      </c>
      <c r="N913" s="117" t="s">
        <v>892</v>
      </c>
      <c r="O913" s="121" t="s">
        <v>1134</v>
      </c>
      <c r="P913" s="117" t="s">
        <v>902</v>
      </c>
      <c r="Q913" s="118">
        <v>80057501</v>
      </c>
      <c r="R913" s="119" t="s">
        <v>895</v>
      </c>
      <c r="S913" s="119" t="s">
        <v>895</v>
      </c>
      <c r="T913" s="222"/>
      <c r="U913" s="222"/>
      <c r="V913" s="222"/>
      <c r="W913" s="230"/>
      <c r="X913" s="331">
        <f t="shared" si="44"/>
        <v>0</v>
      </c>
      <c r="Y913" s="222"/>
      <c r="Z913" s="272">
        <f t="shared" si="42"/>
        <v>0</v>
      </c>
      <c r="AA913" s="331"/>
      <c r="AB913" s="331"/>
      <c r="AC913" s="331"/>
      <c r="AD913" s="331"/>
      <c r="AE913" s="331"/>
      <c r="AF913" s="331"/>
      <c r="AG913" s="331"/>
      <c r="AH913" s="241">
        <f t="shared" ca="1" si="43"/>
        <v>46153</v>
      </c>
      <c r="AI913" s="272"/>
      <c r="AJ913" s="222"/>
      <c r="AK913" s="222"/>
    </row>
    <row r="914" spans="1:37" ht="23.25" hidden="1" customHeight="1">
      <c r="A914" s="111">
        <v>404</v>
      </c>
      <c r="B914" s="112">
        <v>2</v>
      </c>
      <c r="C914" s="113" t="s">
        <v>1361</v>
      </c>
      <c r="D914" s="147" t="s">
        <v>1362</v>
      </c>
      <c r="E914" s="114" t="s">
        <v>1363</v>
      </c>
      <c r="F914" s="115" t="s">
        <v>1132</v>
      </c>
      <c r="G914" s="115" t="s">
        <v>901</v>
      </c>
      <c r="H914" s="116">
        <v>13.757428000000001</v>
      </c>
      <c r="I914" s="116">
        <v>100.645821</v>
      </c>
      <c r="J914" s="116" t="s">
        <v>890</v>
      </c>
      <c r="K914" s="117" t="s">
        <v>891</v>
      </c>
      <c r="L914" s="118" t="s">
        <v>891</v>
      </c>
      <c r="M914" s="117">
        <v>96896146</v>
      </c>
      <c r="N914" s="117" t="s">
        <v>892</v>
      </c>
      <c r="O914" s="117" t="s">
        <v>1134</v>
      </c>
      <c r="P914" s="140" t="s">
        <v>902</v>
      </c>
      <c r="Q914" s="118">
        <v>80057501</v>
      </c>
      <c r="R914" s="119" t="s">
        <v>895</v>
      </c>
      <c r="S914" s="138" t="s">
        <v>895</v>
      </c>
      <c r="T914" s="222"/>
      <c r="U914" s="222"/>
      <c r="V914" s="222"/>
      <c r="W914" s="230"/>
      <c r="X914" s="331">
        <f t="shared" si="44"/>
        <v>0</v>
      </c>
      <c r="Y914" s="222"/>
      <c r="Z914" s="272">
        <f t="shared" si="42"/>
        <v>0</v>
      </c>
      <c r="AA914" s="331"/>
      <c r="AB914" s="331"/>
      <c r="AC914" s="331"/>
      <c r="AD914" s="331"/>
      <c r="AE914" s="331"/>
      <c r="AF914" s="331"/>
      <c r="AG914" s="331"/>
      <c r="AH914" s="241">
        <f t="shared" ca="1" si="43"/>
        <v>46153</v>
      </c>
      <c r="AI914" s="272"/>
      <c r="AJ914" s="222"/>
      <c r="AK914" s="222"/>
    </row>
    <row r="915" spans="1:37" ht="23" hidden="1">
      <c r="A915" s="111">
        <v>428</v>
      </c>
      <c r="B915" s="112">
        <v>13</v>
      </c>
      <c r="C915" s="113" t="s">
        <v>1382</v>
      </c>
      <c r="D915" s="147" t="s">
        <v>1383</v>
      </c>
      <c r="E915" s="114" t="s">
        <v>1384</v>
      </c>
      <c r="F915" s="115" t="s">
        <v>1132</v>
      </c>
      <c r="G915" s="115" t="s">
        <v>1030</v>
      </c>
      <c r="H915" s="116">
        <v>13.709211</v>
      </c>
      <c r="I915" s="116">
        <v>100.644454</v>
      </c>
      <c r="J915" s="116" t="s">
        <v>890</v>
      </c>
      <c r="K915" s="117" t="s">
        <v>891</v>
      </c>
      <c r="L915" s="118" t="s">
        <v>891</v>
      </c>
      <c r="M915" s="117">
        <v>96893718</v>
      </c>
      <c r="N915" s="117" t="s">
        <v>892</v>
      </c>
      <c r="O915" s="117" t="s">
        <v>1134</v>
      </c>
      <c r="P915" s="118" t="s">
        <v>902</v>
      </c>
      <c r="Q915" s="118">
        <v>80057501</v>
      </c>
      <c r="R915" s="140">
        <v>80057501</v>
      </c>
      <c r="S915" s="119" t="s">
        <v>895</v>
      </c>
      <c r="T915" s="222"/>
      <c r="U915" s="222"/>
      <c r="V915" s="222"/>
      <c r="W915" s="230"/>
      <c r="X915" s="331">
        <f t="shared" si="44"/>
        <v>0</v>
      </c>
      <c r="Y915" s="222"/>
      <c r="Z915" s="272">
        <f t="shared" si="42"/>
        <v>0</v>
      </c>
      <c r="AA915" s="331"/>
      <c r="AB915" s="331"/>
      <c r="AC915" s="331"/>
      <c r="AD915" s="331"/>
      <c r="AE915" s="331"/>
      <c r="AF915" s="331"/>
      <c r="AG915" s="331"/>
      <c r="AH915" s="241">
        <f t="shared" ca="1" si="43"/>
        <v>46153</v>
      </c>
      <c r="AI915" s="272"/>
      <c r="AJ915" s="222"/>
      <c r="AK915" s="222"/>
    </row>
    <row r="916" spans="1:37" ht="23.25" hidden="1" customHeight="1">
      <c r="A916" s="111">
        <v>439</v>
      </c>
      <c r="B916" s="112" t="s">
        <v>1114</v>
      </c>
      <c r="C916" s="113" t="s">
        <v>1395</v>
      </c>
      <c r="D916" s="147" t="s">
        <v>1396</v>
      </c>
      <c r="E916" s="114" t="s">
        <v>1397</v>
      </c>
      <c r="F916" s="115" t="s">
        <v>1132</v>
      </c>
      <c r="G916" s="115" t="s">
        <v>1030</v>
      </c>
      <c r="H916" s="116">
        <v>13.720777699999999</v>
      </c>
      <c r="I916" s="116">
        <v>100.64199840000001</v>
      </c>
      <c r="J916" s="116" t="s">
        <v>890</v>
      </c>
      <c r="K916" s="117" t="s">
        <v>891</v>
      </c>
      <c r="L916" s="117" t="s">
        <v>891</v>
      </c>
      <c r="M916" s="117">
        <v>96894298</v>
      </c>
      <c r="N916" s="117" t="s">
        <v>892</v>
      </c>
      <c r="O916" s="117" t="s">
        <v>1134</v>
      </c>
      <c r="P916" s="117" t="s">
        <v>902</v>
      </c>
      <c r="Q916" s="118">
        <v>80057501</v>
      </c>
      <c r="R916" s="119" t="s">
        <v>895</v>
      </c>
      <c r="S916" s="119" t="s">
        <v>895</v>
      </c>
      <c r="T916" s="222"/>
      <c r="U916" s="222"/>
      <c r="V916" s="222"/>
      <c r="W916" s="230"/>
      <c r="X916" s="331">
        <f t="shared" si="44"/>
        <v>0</v>
      </c>
      <c r="Y916" s="222"/>
      <c r="Z916" s="272">
        <f t="shared" si="42"/>
        <v>0</v>
      </c>
      <c r="AA916" s="331"/>
      <c r="AB916" s="331"/>
      <c r="AC916" s="331"/>
      <c r="AD916" s="331"/>
      <c r="AE916" s="331"/>
      <c r="AF916" s="331"/>
      <c r="AG916" s="331"/>
      <c r="AH916" s="241">
        <f t="shared" ca="1" si="43"/>
        <v>46153</v>
      </c>
      <c r="AI916" s="272"/>
      <c r="AJ916" s="222"/>
      <c r="AK916" s="222"/>
    </row>
    <row r="917" spans="1:37" ht="23" hidden="1">
      <c r="A917" s="111">
        <v>440</v>
      </c>
      <c r="B917" s="128">
        <v>2</v>
      </c>
      <c r="C917" s="113" t="s">
        <v>1398</v>
      </c>
      <c r="D917" s="147" t="s">
        <v>1399</v>
      </c>
      <c r="E917" s="114" t="s">
        <v>1400</v>
      </c>
      <c r="F917" s="115" t="s">
        <v>1132</v>
      </c>
      <c r="G917" s="115" t="s">
        <v>901</v>
      </c>
      <c r="H917" s="116">
        <v>13.763161159999999</v>
      </c>
      <c r="I917" s="116">
        <v>100.64582283999999</v>
      </c>
      <c r="J917" s="116" t="s">
        <v>890</v>
      </c>
      <c r="K917" s="117" t="s">
        <v>891</v>
      </c>
      <c r="L917" s="118" t="s">
        <v>891</v>
      </c>
      <c r="M917" s="117">
        <v>96894796</v>
      </c>
      <c r="N917" s="117" t="s">
        <v>892</v>
      </c>
      <c r="O917" s="117" t="s">
        <v>901</v>
      </c>
      <c r="P917" s="118" t="s">
        <v>902</v>
      </c>
      <c r="Q917" s="118">
        <v>80057501</v>
      </c>
      <c r="R917" s="119" t="s">
        <v>895</v>
      </c>
      <c r="S917" s="119" t="s">
        <v>895</v>
      </c>
      <c r="T917" s="222"/>
      <c r="U917" s="222"/>
      <c r="V917" s="222"/>
      <c r="W917" s="230"/>
      <c r="X917" s="331">
        <f t="shared" si="44"/>
        <v>0</v>
      </c>
      <c r="Y917" s="222"/>
      <c r="Z917" s="272">
        <f t="shared" si="42"/>
        <v>0</v>
      </c>
      <c r="AA917" s="331"/>
      <c r="AB917" s="331"/>
      <c r="AC917" s="331"/>
      <c r="AD917" s="331"/>
      <c r="AE917" s="331"/>
      <c r="AF917" s="331"/>
      <c r="AG917" s="331"/>
      <c r="AH917" s="241">
        <f t="shared" ca="1" si="43"/>
        <v>46153</v>
      </c>
      <c r="AI917" s="272"/>
      <c r="AJ917" s="222"/>
      <c r="AK917" s="222"/>
    </row>
    <row r="918" spans="1:37" ht="23.25" hidden="1" customHeight="1">
      <c r="A918" s="111">
        <v>441</v>
      </c>
      <c r="B918" s="112">
        <v>15</v>
      </c>
      <c r="C918" s="113" t="s">
        <v>1401</v>
      </c>
      <c r="D918" s="147" t="s">
        <v>1402</v>
      </c>
      <c r="E918" s="114" t="s">
        <v>1403</v>
      </c>
      <c r="F918" s="115" t="s">
        <v>1132</v>
      </c>
      <c r="G918" s="115" t="s">
        <v>1030</v>
      </c>
      <c r="H918" s="116">
        <v>13.731038</v>
      </c>
      <c r="I918" s="116">
        <v>100.641453</v>
      </c>
      <c r="J918" s="116" t="s">
        <v>890</v>
      </c>
      <c r="K918" s="117" t="s">
        <v>891</v>
      </c>
      <c r="L918" s="117" t="s">
        <v>891</v>
      </c>
      <c r="M918" s="117">
        <v>96896057</v>
      </c>
      <c r="N918" s="117" t="s">
        <v>892</v>
      </c>
      <c r="O918" s="117" t="s">
        <v>1134</v>
      </c>
      <c r="P918" s="117" t="s">
        <v>902</v>
      </c>
      <c r="Q918" s="118">
        <v>80057501</v>
      </c>
      <c r="R918" s="138" t="s">
        <v>895</v>
      </c>
      <c r="S918" s="119" t="s">
        <v>895</v>
      </c>
      <c r="T918" s="222"/>
      <c r="U918" s="222"/>
      <c r="V918" s="222"/>
      <c r="W918" s="230"/>
      <c r="X918" s="331">
        <f t="shared" si="44"/>
        <v>0</v>
      </c>
      <c r="Y918" s="222"/>
      <c r="Z918" s="272">
        <f t="shared" si="42"/>
        <v>0</v>
      </c>
      <c r="AA918" s="331"/>
      <c r="AB918" s="331"/>
      <c r="AC918" s="331"/>
      <c r="AD918" s="331"/>
      <c r="AE918" s="331"/>
      <c r="AF918" s="331"/>
      <c r="AG918" s="331"/>
      <c r="AH918" s="241">
        <f t="shared" ca="1" si="43"/>
        <v>46153</v>
      </c>
      <c r="AI918" s="272"/>
      <c r="AJ918" s="222"/>
      <c r="AK918" s="222"/>
    </row>
    <row r="919" spans="1:37" ht="23" hidden="1">
      <c r="A919" s="111">
        <v>601</v>
      </c>
      <c r="B919" s="112" t="s">
        <v>1553</v>
      </c>
      <c r="C919" s="113" t="s">
        <v>1554</v>
      </c>
      <c r="D919" s="147" t="s">
        <v>1555</v>
      </c>
      <c r="E919" s="114" t="s">
        <v>1556</v>
      </c>
      <c r="F919" s="115" t="s">
        <v>1132</v>
      </c>
      <c r="G919" s="115" t="s">
        <v>1133</v>
      </c>
      <c r="H919" s="116">
        <v>13.700241999999999</v>
      </c>
      <c r="I919" s="116">
        <v>100.64657099999999</v>
      </c>
      <c r="J919" s="116" t="s">
        <v>890</v>
      </c>
      <c r="K919" s="117" t="s">
        <v>891</v>
      </c>
      <c r="L919" s="129" t="s">
        <v>891</v>
      </c>
      <c r="M919" s="117">
        <v>96894790</v>
      </c>
      <c r="N919" s="117" t="s">
        <v>892</v>
      </c>
      <c r="O919" s="117" t="s">
        <v>1134</v>
      </c>
      <c r="P919" s="500" t="s">
        <v>902</v>
      </c>
      <c r="Q919" s="118">
        <v>80057501</v>
      </c>
      <c r="R919" s="119" t="s">
        <v>895</v>
      </c>
      <c r="S919" s="119" t="s">
        <v>895</v>
      </c>
      <c r="T919" s="222"/>
      <c r="U919" s="222"/>
      <c r="V919" s="222"/>
      <c r="W919" s="230"/>
      <c r="X919" s="331">
        <f t="shared" si="44"/>
        <v>0</v>
      </c>
      <c r="Y919" s="222"/>
      <c r="Z919" s="272">
        <f t="shared" si="42"/>
        <v>0</v>
      </c>
      <c r="AA919" s="331"/>
      <c r="AB919" s="331"/>
      <c r="AC919" s="331"/>
      <c r="AD919" s="331"/>
      <c r="AE919" s="331"/>
      <c r="AF919" s="331"/>
      <c r="AG919" s="331"/>
      <c r="AH919" s="241">
        <f t="shared" ca="1" si="43"/>
        <v>46153</v>
      </c>
      <c r="AI919" s="272"/>
      <c r="AJ919" s="222"/>
      <c r="AK919" s="222"/>
    </row>
    <row r="920" spans="1:37" ht="23.25" hidden="1" customHeight="1">
      <c r="A920" s="111">
        <v>604</v>
      </c>
      <c r="B920" s="112" t="s">
        <v>979</v>
      </c>
      <c r="C920" s="113" t="s">
        <v>1560</v>
      </c>
      <c r="D920" s="147" t="s">
        <v>1561</v>
      </c>
      <c r="E920" s="114" t="s">
        <v>1562</v>
      </c>
      <c r="F920" s="115" t="s">
        <v>1132</v>
      </c>
      <c r="G920" s="115" t="s">
        <v>1133</v>
      </c>
      <c r="H920" s="116">
        <v>13.686966699999999</v>
      </c>
      <c r="I920" s="116">
        <v>100.6469073</v>
      </c>
      <c r="J920" s="116" t="s">
        <v>890</v>
      </c>
      <c r="K920" s="117" t="s">
        <v>891</v>
      </c>
      <c r="L920" s="117" t="s">
        <v>891</v>
      </c>
      <c r="M920" s="117">
        <v>96896055</v>
      </c>
      <c r="N920" s="117" t="s">
        <v>892</v>
      </c>
      <c r="O920" s="121" t="s">
        <v>1134</v>
      </c>
      <c r="P920" s="117" t="s">
        <v>902</v>
      </c>
      <c r="Q920" s="118">
        <v>80057501</v>
      </c>
      <c r="R920" s="119" t="s">
        <v>895</v>
      </c>
      <c r="S920" s="119" t="s">
        <v>895</v>
      </c>
      <c r="T920" s="222"/>
      <c r="U920" s="222"/>
      <c r="V920" s="222"/>
      <c r="W920" s="230"/>
      <c r="X920" s="331">
        <f t="shared" si="44"/>
        <v>0</v>
      </c>
      <c r="Y920" s="222"/>
      <c r="Z920" s="272">
        <f t="shared" si="42"/>
        <v>0</v>
      </c>
      <c r="AA920" s="331"/>
      <c r="AB920" s="331"/>
      <c r="AC920" s="331"/>
      <c r="AD920" s="331"/>
      <c r="AE920" s="331"/>
      <c r="AF920" s="331"/>
      <c r="AG920" s="331"/>
      <c r="AH920" s="241">
        <f t="shared" ca="1" si="43"/>
        <v>46153</v>
      </c>
      <c r="AI920" s="272"/>
      <c r="AJ920" s="222"/>
      <c r="AK920" s="222"/>
    </row>
    <row r="921" spans="1:37" ht="23.25" hidden="1" customHeight="1">
      <c r="A921" s="111">
        <v>806</v>
      </c>
      <c r="B921" s="112" t="s">
        <v>1098</v>
      </c>
      <c r="C921" s="113" t="s">
        <v>1779</v>
      </c>
      <c r="D921" s="147" t="s">
        <v>1780</v>
      </c>
      <c r="E921" s="114" t="s">
        <v>1781</v>
      </c>
      <c r="F921" s="115" t="s">
        <v>1132</v>
      </c>
      <c r="G921" s="115" t="s">
        <v>901</v>
      </c>
      <c r="H921" s="116">
        <v>13.757428000000001</v>
      </c>
      <c r="I921" s="116">
        <v>100.645821</v>
      </c>
      <c r="J921" s="116" t="s">
        <v>890</v>
      </c>
      <c r="K921" s="117" t="s">
        <v>891</v>
      </c>
      <c r="L921" s="117" t="s">
        <v>891</v>
      </c>
      <c r="M921" s="117">
        <v>96896151</v>
      </c>
      <c r="N921" s="117" t="s">
        <v>892</v>
      </c>
      <c r="O921" s="117" t="s">
        <v>1134</v>
      </c>
      <c r="P921" s="117" t="s">
        <v>902</v>
      </c>
      <c r="Q921" s="118">
        <v>80057501</v>
      </c>
      <c r="R921" s="138" t="s">
        <v>895</v>
      </c>
      <c r="S921" s="119" t="s">
        <v>895</v>
      </c>
      <c r="T921" s="222"/>
      <c r="U921" s="222"/>
      <c r="V921" s="222"/>
      <c r="W921" s="230"/>
      <c r="X921" s="331">
        <f t="shared" si="44"/>
        <v>0</v>
      </c>
      <c r="Y921" s="222"/>
      <c r="Z921" s="272">
        <f t="shared" si="42"/>
        <v>0</v>
      </c>
      <c r="AA921" s="331"/>
      <c r="AB921" s="331"/>
      <c r="AC921" s="331"/>
      <c r="AD921" s="331"/>
      <c r="AE921" s="331"/>
      <c r="AF921" s="331"/>
      <c r="AG921" s="331"/>
      <c r="AH921" s="241">
        <f t="shared" ca="1" si="43"/>
        <v>46153</v>
      </c>
      <c r="AI921" s="272"/>
      <c r="AJ921" s="222"/>
      <c r="AK921" s="222"/>
    </row>
    <row r="922" spans="1:37" ht="23" hidden="1">
      <c r="A922" s="111">
        <v>807</v>
      </c>
      <c r="B922" s="112">
        <v>5</v>
      </c>
      <c r="C922" s="113" t="s">
        <v>1782</v>
      </c>
      <c r="D922" s="147" t="s">
        <v>1783</v>
      </c>
      <c r="E922" s="114" t="s">
        <v>1784</v>
      </c>
      <c r="F922" s="115" t="s">
        <v>1132</v>
      </c>
      <c r="G922" s="115" t="s">
        <v>901</v>
      </c>
      <c r="H922" s="116">
        <v>13.7608733</v>
      </c>
      <c r="I922" s="116">
        <v>100.64539190000001</v>
      </c>
      <c r="J922" s="116" t="s">
        <v>890</v>
      </c>
      <c r="K922" s="117" t="s">
        <v>891</v>
      </c>
      <c r="L922" s="117" t="s">
        <v>891</v>
      </c>
      <c r="M922" s="117">
        <v>96894781</v>
      </c>
      <c r="N922" s="117" t="s">
        <v>892</v>
      </c>
      <c r="O922" s="117" t="s">
        <v>901</v>
      </c>
      <c r="P922" s="136" t="s">
        <v>902</v>
      </c>
      <c r="Q922" s="118">
        <v>80057501</v>
      </c>
      <c r="R922" s="119" t="s">
        <v>895</v>
      </c>
      <c r="S922" s="138" t="s">
        <v>895</v>
      </c>
      <c r="T922" s="222"/>
      <c r="U922" s="222"/>
      <c r="V922" s="222"/>
      <c r="W922" s="230"/>
      <c r="X922" s="331">
        <f t="shared" si="44"/>
        <v>0</v>
      </c>
      <c r="Y922" s="222"/>
      <c r="Z922" s="272">
        <f t="shared" si="42"/>
        <v>0</v>
      </c>
      <c r="AA922" s="331"/>
      <c r="AB922" s="331"/>
      <c r="AC922" s="331"/>
      <c r="AD922" s="331"/>
      <c r="AE922" s="331"/>
      <c r="AF922" s="331"/>
      <c r="AG922" s="331"/>
      <c r="AH922" s="241">
        <f t="shared" ca="1" si="43"/>
        <v>46153</v>
      </c>
      <c r="AI922" s="272"/>
      <c r="AJ922" s="222"/>
      <c r="AK922" s="222"/>
    </row>
    <row r="923" spans="1:37" ht="23.25" hidden="1" customHeight="1">
      <c r="A923" s="111">
        <v>854</v>
      </c>
      <c r="B923" s="112" t="s">
        <v>1082</v>
      </c>
      <c r="C923" s="122" t="s">
        <v>1829</v>
      </c>
      <c r="D923" s="147" t="s">
        <v>1830</v>
      </c>
      <c r="E923" s="123" t="s">
        <v>1831</v>
      </c>
      <c r="F923" s="116" t="s">
        <v>1132</v>
      </c>
      <c r="G923" s="116" t="s">
        <v>1133</v>
      </c>
      <c r="H923" s="116">
        <v>13.694029499999999</v>
      </c>
      <c r="I923" s="116">
        <v>100.64722089999999</v>
      </c>
      <c r="J923" s="121" t="s">
        <v>890</v>
      </c>
      <c r="K923" s="117" t="s">
        <v>891</v>
      </c>
      <c r="L923" s="117" t="s">
        <v>891</v>
      </c>
      <c r="M923" s="124">
        <v>96894495</v>
      </c>
      <c r="N923" s="121" t="s">
        <v>892</v>
      </c>
      <c r="O923" s="117" t="s">
        <v>1134</v>
      </c>
      <c r="P923" s="121" t="s">
        <v>972</v>
      </c>
      <c r="Q923" s="118">
        <v>80057501</v>
      </c>
      <c r="R923" s="138" t="s">
        <v>895</v>
      </c>
      <c r="S923" s="119" t="s">
        <v>895</v>
      </c>
      <c r="T923" s="222"/>
      <c r="U923" s="222"/>
      <c r="V923" s="222"/>
      <c r="W923" s="230"/>
      <c r="X923" s="331">
        <f t="shared" si="44"/>
        <v>0</v>
      </c>
      <c r="Y923" s="222"/>
      <c r="Z923" s="272">
        <f t="shared" si="42"/>
        <v>0</v>
      </c>
      <c r="AA923" s="331"/>
      <c r="AB923" s="331"/>
      <c r="AC923" s="331"/>
      <c r="AD923" s="331"/>
      <c r="AE923" s="331"/>
      <c r="AF923" s="331"/>
      <c r="AG923" s="331"/>
      <c r="AH923" s="241">
        <f t="shared" ca="1" si="43"/>
        <v>46153</v>
      </c>
      <c r="AI923" s="272"/>
      <c r="AJ923" s="222"/>
      <c r="AK923" s="222"/>
    </row>
    <row r="924" spans="1:37" ht="23" hidden="1">
      <c r="A924" s="111">
        <v>964</v>
      </c>
      <c r="B924" s="112" t="s">
        <v>1155</v>
      </c>
      <c r="C924" s="113" t="s">
        <v>1895</v>
      </c>
      <c r="D924" s="147" t="s">
        <v>1896</v>
      </c>
      <c r="E924" s="114" t="s">
        <v>1897</v>
      </c>
      <c r="F924" s="115" t="s">
        <v>1132</v>
      </c>
      <c r="G924" s="115" t="s">
        <v>1133</v>
      </c>
      <c r="H924" s="116">
        <v>13.6912293</v>
      </c>
      <c r="I924" s="116">
        <v>100.64698989999999</v>
      </c>
      <c r="J924" s="116" t="s">
        <v>890</v>
      </c>
      <c r="K924" s="117" t="s">
        <v>891</v>
      </c>
      <c r="L924" s="117" t="s">
        <v>891</v>
      </c>
      <c r="M924" s="117">
        <v>96894518</v>
      </c>
      <c r="N924" s="117" t="s">
        <v>892</v>
      </c>
      <c r="O924" s="136" t="s">
        <v>1134</v>
      </c>
      <c r="P924" s="136" t="s">
        <v>902</v>
      </c>
      <c r="Q924" s="118">
        <v>80057501</v>
      </c>
      <c r="R924" s="119" t="s">
        <v>895</v>
      </c>
      <c r="S924" s="119" t="s">
        <v>895</v>
      </c>
      <c r="T924" s="222"/>
      <c r="U924" s="222"/>
      <c r="V924" s="222"/>
      <c r="W924" s="230"/>
      <c r="X924" s="331">
        <f t="shared" si="44"/>
        <v>0</v>
      </c>
      <c r="Y924" s="222"/>
      <c r="Z924" s="272">
        <f t="shared" si="42"/>
        <v>0</v>
      </c>
      <c r="AA924" s="331"/>
      <c r="AB924" s="331"/>
      <c r="AC924" s="331"/>
      <c r="AD924" s="331"/>
      <c r="AE924" s="331"/>
      <c r="AF924" s="331"/>
      <c r="AG924" s="331"/>
      <c r="AH924" s="241">
        <f t="shared" ca="1" si="43"/>
        <v>46153</v>
      </c>
      <c r="AI924" s="272"/>
      <c r="AJ924" s="222"/>
      <c r="AK924" s="222"/>
    </row>
    <row r="925" spans="1:37" ht="23.25" hidden="1" customHeight="1">
      <c r="A925" s="111">
        <v>984</v>
      </c>
      <c r="B925" s="112">
        <v>15</v>
      </c>
      <c r="C925" s="113" t="s">
        <v>1914</v>
      </c>
      <c r="D925" s="147" t="s">
        <v>1915</v>
      </c>
      <c r="E925" s="114" t="s">
        <v>1916</v>
      </c>
      <c r="F925" s="115" t="s">
        <v>1132</v>
      </c>
      <c r="G925" s="115" t="s">
        <v>1133</v>
      </c>
      <c r="H925" s="116">
        <v>13.6994405</v>
      </c>
      <c r="I925" s="116">
        <v>100.64672469999999</v>
      </c>
      <c r="J925" s="116" t="s">
        <v>890</v>
      </c>
      <c r="K925" s="117" t="s">
        <v>891</v>
      </c>
      <c r="L925" s="118" t="s">
        <v>891</v>
      </c>
      <c r="M925" s="117">
        <v>96894797</v>
      </c>
      <c r="N925" s="117" t="s">
        <v>892</v>
      </c>
      <c r="O925" s="136" t="s">
        <v>1134</v>
      </c>
      <c r="P925" s="118" t="s">
        <v>902</v>
      </c>
      <c r="Q925" s="118">
        <v>80057501</v>
      </c>
      <c r="R925" s="119" t="s">
        <v>895</v>
      </c>
      <c r="S925" s="119" t="s">
        <v>895</v>
      </c>
      <c r="T925" s="222"/>
      <c r="U925" s="222"/>
      <c r="V925" s="222"/>
      <c r="W925" s="230"/>
      <c r="X925" s="331">
        <f t="shared" si="44"/>
        <v>0</v>
      </c>
      <c r="Y925" s="222"/>
      <c r="Z925" s="272">
        <f t="shared" si="42"/>
        <v>0</v>
      </c>
      <c r="AA925" s="331"/>
      <c r="AB925" s="331"/>
      <c r="AC925" s="331"/>
      <c r="AD925" s="331"/>
      <c r="AE925" s="331"/>
      <c r="AF925" s="331"/>
      <c r="AG925" s="331"/>
      <c r="AH925" s="241">
        <f t="shared" ca="1" si="43"/>
        <v>46153</v>
      </c>
      <c r="AI925" s="272"/>
      <c r="AJ925" s="222"/>
      <c r="AK925" s="222"/>
    </row>
    <row r="926" spans="1:37" ht="23.25" hidden="1" customHeight="1">
      <c r="A926" s="111">
        <v>1073</v>
      </c>
      <c r="B926" s="112" t="s">
        <v>1818</v>
      </c>
      <c r="C926" s="113" t="s">
        <v>2023</v>
      </c>
      <c r="D926" s="147" t="s">
        <v>2024</v>
      </c>
      <c r="E926" s="114" t="s">
        <v>2025</v>
      </c>
      <c r="F926" s="115" t="s">
        <v>1132</v>
      </c>
      <c r="G926" s="115" t="s">
        <v>1030</v>
      </c>
      <c r="H926" s="115">
        <v>13.7452687</v>
      </c>
      <c r="I926" s="115">
        <v>100.6433554</v>
      </c>
      <c r="J926" s="116" t="s">
        <v>890</v>
      </c>
      <c r="K926" s="117" t="s">
        <v>891</v>
      </c>
      <c r="L926" s="117" t="s">
        <v>891</v>
      </c>
      <c r="M926" s="350">
        <v>96894798</v>
      </c>
      <c r="N926" s="339" t="s">
        <v>892</v>
      </c>
      <c r="O926" s="339" t="s">
        <v>901</v>
      </c>
      <c r="P926" s="339" t="s">
        <v>902</v>
      </c>
      <c r="Q926" s="346">
        <v>80057501</v>
      </c>
      <c r="R926" s="349" t="s">
        <v>895</v>
      </c>
      <c r="S926" s="349" t="s">
        <v>895</v>
      </c>
      <c r="T926" s="342"/>
      <c r="U926" s="342"/>
      <c r="V926" s="342"/>
      <c r="W926" s="553"/>
      <c r="X926" s="331">
        <f t="shared" si="44"/>
        <v>0</v>
      </c>
      <c r="Y926" s="342"/>
      <c r="Z926" s="344">
        <f t="shared" si="42"/>
        <v>0</v>
      </c>
      <c r="AA926" s="331"/>
      <c r="AB926" s="331"/>
      <c r="AC926" s="331"/>
      <c r="AD926" s="331"/>
      <c r="AE926" s="331"/>
      <c r="AF926" s="331"/>
      <c r="AG926" s="331"/>
      <c r="AH926" s="343">
        <f t="shared" ca="1" si="43"/>
        <v>46153</v>
      </c>
      <c r="AI926" s="344"/>
      <c r="AJ926" s="342"/>
      <c r="AK926" s="342"/>
    </row>
    <row r="927" spans="1:37" ht="23" hidden="1">
      <c r="A927" s="111">
        <v>171</v>
      </c>
      <c r="B927" s="112">
        <v>10</v>
      </c>
      <c r="C927" s="113" t="s">
        <v>2545</v>
      </c>
      <c r="D927" s="147" t="s">
        <v>2546</v>
      </c>
      <c r="E927" s="114" t="s">
        <v>2547</v>
      </c>
      <c r="F927" s="115" t="s">
        <v>1132</v>
      </c>
      <c r="G927" s="115" t="s">
        <v>901</v>
      </c>
      <c r="H927" s="116">
        <v>13.760191000000001</v>
      </c>
      <c r="I927" s="116">
        <v>100.645619</v>
      </c>
      <c r="J927" s="115" t="s">
        <v>890</v>
      </c>
      <c r="K927" s="117" t="s">
        <v>2180</v>
      </c>
      <c r="L927" s="117" t="s">
        <v>2110</v>
      </c>
      <c r="M927" s="199" t="s">
        <v>972</v>
      </c>
      <c r="N927" s="199" t="s">
        <v>972</v>
      </c>
      <c r="O927" s="351" t="s">
        <v>1134</v>
      </c>
      <c r="P927" s="351" t="s">
        <v>1876</v>
      </c>
      <c r="Q927" s="340" t="s">
        <v>972</v>
      </c>
      <c r="R927" s="340" t="s">
        <v>972</v>
      </c>
      <c r="S927" s="340" t="s">
        <v>972</v>
      </c>
      <c r="T927" s="342"/>
      <c r="U927" s="342"/>
      <c r="V927" s="342"/>
      <c r="W927" s="553"/>
      <c r="X927" s="331">
        <f t="shared" si="44"/>
        <v>0</v>
      </c>
      <c r="Y927" s="342"/>
      <c r="Z927" s="344">
        <f t="shared" si="42"/>
        <v>0</v>
      </c>
      <c r="AA927" s="331"/>
      <c r="AB927" s="331"/>
      <c r="AC927" s="331"/>
      <c r="AD927" s="331"/>
      <c r="AE927" s="331"/>
      <c r="AF927" s="331"/>
      <c r="AG927" s="331"/>
      <c r="AH927" s="343">
        <f t="shared" ca="1" si="43"/>
        <v>46153</v>
      </c>
      <c r="AI927" s="344"/>
      <c r="AJ927" s="342"/>
      <c r="AK927" s="342"/>
    </row>
    <row r="928" spans="1:37" ht="23" hidden="1">
      <c r="A928" s="111">
        <v>232</v>
      </c>
      <c r="B928" s="112">
        <v>8</v>
      </c>
      <c r="C928" s="122" t="s">
        <v>2718</v>
      </c>
      <c r="D928" s="147" t="s">
        <v>2719</v>
      </c>
      <c r="E928" s="123" t="s">
        <v>2720</v>
      </c>
      <c r="F928" s="116" t="s">
        <v>1132</v>
      </c>
      <c r="G928" s="116" t="s">
        <v>901</v>
      </c>
      <c r="H928" s="116">
        <v>13.753050999999999</v>
      </c>
      <c r="I928" s="116">
        <v>100.64550010000001</v>
      </c>
      <c r="J928" s="115" t="s">
        <v>2108</v>
      </c>
      <c r="K928" s="117" t="s">
        <v>2109</v>
      </c>
      <c r="L928" s="117" t="s">
        <v>2110</v>
      </c>
      <c r="M928" s="121" t="s">
        <v>972</v>
      </c>
      <c r="N928" s="121" t="s">
        <v>972</v>
      </c>
      <c r="O928" s="135" t="s">
        <v>901</v>
      </c>
      <c r="P928" s="117" t="s">
        <v>1876</v>
      </c>
      <c r="Q928" s="125" t="s">
        <v>972</v>
      </c>
      <c r="R928" s="130" t="s">
        <v>972</v>
      </c>
      <c r="S928" s="125" t="s">
        <v>972</v>
      </c>
      <c r="T928" s="222"/>
      <c r="U928" s="222"/>
      <c r="V928" s="222"/>
      <c r="W928" s="230"/>
      <c r="X928" s="331">
        <f t="shared" si="44"/>
        <v>0</v>
      </c>
      <c r="Y928" s="222"/>
      <c r="Z928" s="272">
        <f t="shared" si="42"/>
        <v>0</v>
      </c>
      <c r="AA928" s="331"/>
      <c r="AB928" s="331"/>
      <c r="AC928" s="331"/>
      <c r="AD928" s="331"/>
      <c r="AE928" s="331"/>
      <c r="AF928" s="331"/>
      <c r="AG928" s="331"/>
      <c r="AH928" s="241">
        <f t="shared" ca="1" si="43"/>
        <v>46153</v>
      </c>
      <c r="AI928" s="272"/>
      <c r="AJ928" s="222"/>
      <c r="AK928" s="222"/>
    </row>
    <row r="929" spans="1:37" ht="23" hidden="1">
      <c r="A929" s="111">
        <v>249</v>
      </c>
      <c r="B929" s="112">
        <v>12</v>
      </c>
      <c r="C929" s="122" t="s">
        <v>2763</v>
      </c>
      <c r="D929" s="147" t="s">
        <v>2764</v>
      </c>
      <c r="E929" s="123" t="s">
        <v>2765</v>
      </c>
      <c r="F929" s="116" t="s">
        <v>1132</v>
      </c>
      <c r="G929" s="116" t="s">
        <v>1030</v>
      </c>
      <c r="H929" s="116">
        <v>13.737273800000001</v>
      </c>
      <c r="I929" s="116">
        <v>100.641575</v>
      </c>
      <c r="J929" s="116" t="s">
        <v>2097</v>
      </c>
      <c r="K929" s="116" t="s">
        <v>2097</v>
      </c>
      <c r="L929" s="117" t="s">
        <v>2766</v>
      </c>
      <c r="M929" s="121" t="s">
        <v>972</v>
      </c>
      <c r="N929" s="121" t="s">
        <v>892</v>
      </c>
      <c r="O929" s="136" t="s">
        <v>1134</v>
      </c>
      <c r="P929" s="117" t="s">
        <v>902</v>
      </c>
      <c r="Q929" s="125" t="s">
        <v>972</v>
      </c>
      <c r="R929" s="130" t="s">
        <v>972</v>
      </c>
      <c r="S929" s="125" t="s">
        <v>972</v>
      </c>
      <c r="T929" s="222"/>
      <c r="U929" s="222"/>
      <c r="V929" s="222"/>
      <c r="W929" s="230"/>
      <c r="X929" s="331">
        <f t="shared" si="44"/>
        <v>0</v>
      </c>
      <c r="Y929" s="222"/>
      <c r="Z929" s="272">
        <f t="shared" si="42"/>
        <v>0</v>
      </c>
      <c r="AA929" s="331"/>
      <c r="AB929" s="331"/>
      <c r="AC929" s="331"/>
      <c r="AD929" s="331"/>
      <c r="AE929" s="331"/>
      <c r="AF929" s="331"/>
      <c r="AG929" s="331"/>
      <c r="AH929" s="241">
        <f t="shared" ca="1" si="43"/>
        <v>46153</v>
      </c>
      <c r="AI929" s="272"/>
      <c r="AJ929" s="222"/>
      <c r="AK929" s="222"/>
    </row>
    <row r="930" spans="1:37" ht="23" hidden="1">
      <c r="A930" s="111">
        <v>311</v>
      </c>
      <c r="B930" s="112">
        <v>1</v>
      </c>
      <c r="C930" s="113" t="s">
        <v>2896</v>
      </c>
      <c r="D930" s="147" t="s">
        <v>2897</v>
      </c>
      <c r="E930" s="114" t="s">
        <v>2898</v>
      </c>
      <c r="F930" s="115" t="s">
        <v>1132</v>
      </c>
      <c r="G930" s="115" t="s">
        <v>901</v>
      </c>
      <c r="H930" s="116">
        <v>13.755247000000001</v>
      </c>
      <c r="I930" s="116">
        <v>100.64587400000001</v>
      </c>
      <c r="J930" s="116" t="s">
        <v>2108</v>
      </c>
      <c r="K930" s="115" t="s">
        <v>2081</v>
      </c>
      <c r="L930" s="117" t="s">
        <v>2899</v>
      </c>
      <c r="M930" s="121" t="s">
        <v>972</v>
      </c>
      <c r="N930" s="121" t="s">
        <v>972</v>
      </c>
      <c r="O930" s="135" t="s">
        <v>901</v>
      </c>
      <c r="P930" s="136" t="s">
        <v>902</v>
      </c>
      <c r="Q930" s="125" t="s">
        <v>972</v>
      </c>
      <c r="R930" s="125" t="s">
        <v>972</v>
      </c>
      <c r="S930" s="125" t="s">
        <v>972</v>
      </c>
      <c r="T930" s="316" t="s">
        <v>5178</v>
      </c>
      <c r="U930" s="312" t="s">
        <v>5231</v>
      </c>
      <c r="V930" s="287">
        <v>45103</v>
      </c>
      <c r="W930" s="552">
        <v>4</v>
      </c>
      <c r="X930" s="331">
        <f t="shared" si="44"/>
        <v>45107</v>
      </c>
      <c r="Y930" s="321"/>
      <c r="Z930" s="318" t="e">
        <f t="shared" si="42"/>
        <v>#NUM!</v>
      </c>
      <c r="AA930" s="331"/>
      <c r="AB930" s="331"/>
      <c r="AC930" s="331"/>
      <c r="AD930" s="331"/>
      <c r="AE930" s="331"/>
      <c r="AF930" s="331"/>
      <c r="AG930" s="331"/>
      <c r="AH930" s="321">
        <f t="shared" ca="1" si="43"/>
        <v>46153</v>
      </c>
      <c r="AI930" s="322"/>
      <c r="AJ930" s="316" t="s">
        <v>5224</v>
      </c>
      <c r="AK930" s="320"/>
    </row>
    <row r="931" spans="1:37" ht="23" hidden="1">
      <c r="A931" s="111">
        <v>316</v>
      </c>
      <c r="B931" s="112" t="s">
        <v>985</v>
      </c>
      <c r="C931" s="113" t="s">
        <v>2907</v>
      </c>
      <c r="D931" s="147" t="s">
        <v>2908</v>
      </c>
      <c r="E931" s="114" t="s">
        <v>2909</v>
      </c>
      <c r="F931" s="115" t="s">
        <v>1132</v>
      </c>
      <c r="G931" s="115" t="s">
        <v>1133</v>
      </c>
      <c r="H931" s="116">
        <v>13.694486299999999</v>
      </c>
      <c r="I931" s="116">
        <v>100.6474865</v>
      </c>
      <c r="J931" s="116" t="s">
        <v>2097</v>
      </c>
      <c r="K931" s="116" t="s">
        <v>2097</v>
      </c>
      <c r="L931" s="117" t="s">
        <v>2910</v>
      </c>
      <c r="M931" s="116" t="s">
        <v>1347</v>
      </c>
      <c r="N931" s="121" t="s">
        <v>892</v>
      </c>
      <c r="O931" s="117" t="s">
        <v>1134</v>
      </c>
      <c r="P931" s="117" t="s">
        <v>902</v>
      </c>
      <c r="Q931" s="125" t="s">
        <v>972</v>
      </c>
      <c r="R931" s="130" t="s">
        <v>972</v>
      </c>
      <c r="S931" s="125" t="s">
        <v>972</v>
      </c>
      <c r="T931" s="274" t="s">
        <v>5212</v>
      </c>
      <c r="U931" s="312" t="s">
        <v>5189</v>
      </c>
      <c r="V931" s="329">
        <v>45005</v>
      </c>
      <c r="W931" s="326">
        <v>4</v>
      </c>
      <c r="X931" s="331">
        <f t="shared" si="44"/>
        <v>45009</v>
      </c>
      <c r="Y931" s="329">
        <v>45021</v>
      </c>
      <c r="Z931" s="332">
        <f t="shared" si="42"/>
        <v>12</v>
      </c>
      <c r="AA931" s="331"/>
      <c r="AB931" s="331"/>
      <c r="AC931" s="331"/>
      <c r="AD931" s="331"/>
      <c r="AE931" s="331"/>
      <c r="AF931" s="331"/>
      <c r="AG931" s="331"/>
      <c r="AH931" s="329">
        <f t="shared" ca="1" si="43"/>
        <v>46153</v>
      </c>
      <c r="AI931" s="330"/>
      <c r="AJ931" s="312" t="s">
        <v>5143</v>
      </c>
      <c r="AK931" s="312"/>
    </row>
    <row r="932" spans="1:37" ht="23" hidden="1">
      <c r="A932" s="111">
        <v>346</v>
      </c>
      <c r="B932" s="112">
        <v>8</v>
      </c>
      <c r="C932" s="113" t="s">
        <v>2980</v>
      </c>
      <c r="D932" s="147" t="s">
        <v>2981</v>
      </c>
      <c r="E932" s="114" t="s">
        <v>2982</v>
      </c>
      <c r="F932" s="115" t="s">
        <v>1132</v>
      </c>
      <c r="G932" s="115" t="s">
        <v>901</v>
      </c>
      <c r="H932" s="116">
        <v>13.747498999999999</v>
      </c>
      <c r="I932" s="116">
        <v>100.64390400000001</v>
      </c>
      <c r="J932" s="116" t="s">
        <v>2108</v>
      </c>
      <c r="K932" s="115" t="s">
        <v>2081</v>
      </c>
      <c r="L932" s="117" t="s">
        <v>2983</v>
      </c>
      <c r="M932" s="199" t="s">
        <v>972</v>
      </c>
      <c r="N932" s="199" t="s">
        <v>972</v>
      </c>
      <c r="O932" s="199" t="s">
        <v>901</v>
      </c>
      <c r="P932" s="339" t="s">
        <v>902</v>
      </c>
      <c r="Q932" s="340" t="s">
        <v>972</v>
      </c>
      <c r="R932" s="341" t="s">
        <v>972</v>
      </c>
      <c r="S932" s="340" t="s">
        <v>972</v>
      </c>
      <c r="T932" s="342"/>
      <c r="U932" s="342"/>
      <c r="V932" s="342"/>
      <c r="W932" s="553"/>
      <c r="X932" s="331">
        <f t="shared" si="44"/>
        <v>0</v>
      </c>
      <c r="Y932" s="342"/>
      <c r="Z932" s="344">
        <f t="shared" si="42"/>
        <v>0</v>
      </c>
      <c r="AA932" s="331"/>
      <c r="AB932" s="331"/>
      <c r="AC932" s="331"/>
      <c r="AD932" s="331"/>
      <c r="AE932" s="331"/>
      <c r="AF932" s="331"/>
      <c r="AG932" s="331"/>
      <c r="AH932" s="343">
        <f t="shared" ca="1" si="43"/>
        <v>46153</v>
      </c>
      <c r="AI932" s="344"/>
      <c r="AJ932" s="342"/>
      <c r="AK932" s="342"/>
    </row>
    <row r="933" spans="1:37" ht="23.25" hidden="1" customHeight="1">
      <c r="A933" s="111">
        <v>871</v>
      </c>
      <c r="B933" s="112">
        <v>2</v>
      </c>
      <c r="C933" s="113" t="s">
        <v>3601</v>
      </c>
      <c r="D933" s="147" t="s">
        <v>3602</v>
      </c>
      <c r="E933" s="114" t="s">
        <v>3603</v>
      </c>
      <c r="F933" s="115" t="s">
        <v>1132</v>
      </c>
      <c r="G933" s="115" t="s">
        <v>1030</v>
      </c>
      <c r="H933" s="116">
        <v>13.7285144</v>
      </c>
      <c r="I933" s="116">
        <v>100.64166659999999</v>
      </c>
      <c r="J933" s="115" t="s">
        <v>890</v>
      </c>
      <c r="K933" s="115" t="s">
        <v>2180</v>
      </c>
      <c r="L933" s="118" t="s">
        <v>2180</v>
      </c>
      <c r="M933" s="121">
        <v>95810610</v>
      </c>
      <c r="N933" s="121" t="s">
        <v>892</v>
      </c>
      <c r="O933" s="117" t="s">
        <v>1134</v>
      </c>
      <c r="P933" s="118" t="s">
        <v>1876</v>
      </c>
      <c r="Q933" s="125" t="s">
        <v>972</v>
      </c>
      <c r="R933" s="119"/>
      <c r="S933" s="119" t="s">
        <v>895</v>
      </c>
      <c r="T933" s="222"/>
      <c r="U933" s="222"/>
      <c r="V933" s="222"/>
      <c r="W933" s="230"/>
      <c r="X933" s="331">
        <f t="shared" si="44"/>
        <v>0</v>
      </c>
      <c r="Y933" s="222"/>
      <c r="Z933" s="272">
        <f t="shared" si="42"/>
        <v>0</v>
      </c>
      <c r="AA933" s="331"/>
      <c r="AB933" s="331"/>
      <c r="AC933" s="331"/>
      <c r="AD933" s="331"/>
      <c r="AE933" s="331"/>
      <c r="AF933" s="331"/>
      <c r="AG933" s="331"/>
      <c r="AH933" s="241">
        <f t="shared" ca="1" si="43"/>
        <v>46153</v>
      </c>
      <c r="AI933" s="272"/>
      <c r="AJ933" s="222"/>
      <c r="AK933" s="222"/>
    </row>
    <row r="934" spans="1:37" s="345" customFormat="1" ht="23" hidden="1">
      <c r="A934" s="111">
        <v>597</v>
      </c>
      <c r="B934" s="112">
        <v>2</v>
      </c>
      <c r="C934" s="122" t="s">
        <v>3615</v>
      </c>
      <c r="D934" s="147" t="s">
        <v>3616</v>
      </c>
      <c r="E934" s="123" t="s">
        <v>3617</v>
      </c>
      <c r="F934" s="115" t="s">
        <v>1132</v>
      </c>
      <c r="G934" s="115" t="s">
        <v>1133</v>
      </c>
      <c r="H934" s="116">
        <v>13.684632000000001</v>
      </c>
      <c r="I934" s="116">
        <v>100.646632</v>
      </c>
      <c r="J934" s="115" t="s">
        <v>2108</v>
      </c>
      <c r="K934" s="117" t="s">
        <v>2109</v>
      </c>
      <c r="L934" s="117" t="s">
        <v>2110</v>
      </c>
      <c r="M934" s="121" t="s">
        <v>972</v>
      </c>
      <c r="N934" s="121" t="s">
        <v>972</v>
      </c>
      <c r="O934" s="117" t="s">
        <v>1134</v>
      </c>
      <c r="P934" s="117" t="s">
        <v>1876</v>
      </c>
      <c r="Q934" s="125" t="s">
        <v>972</v>
      </c>
      <c r="R934" s="125" t="s">
        <v>972</v>
      </c>
      <c r="S934" s="125" t="s">
        <v>972</v>
      </c>
      <c r="T934" s="222"/>
      <c r="U934" s="222"/>
      <c r="V934" s="222"/>
      <c r="W934" s="230"/>
      <c r="X934" s="331">
        <f t="shared" si="44"/>
        <v>0</v>
      </c>
      <c r="Y934" s="222"/>
      <c r="Z934" s="272">
        <f t="shared" si="42"/>
        <v>0</v>
      </c>
      <c r="AA934" s="331"/>
      <c r="AB934" s="331"/>
      <c r="AC934" s="331"/>
      <c r="AD934" s="331"/>
      <c r="AE934" s="331"/>
      <c r="AF934" s="331"/>
      <c r="AG934" s="331"/>
      <c r="AH934" s="241">
        <f t="shared" ca="1" si="43"/>
        <v>46153</v>
      </c>
      <c r="AI934" s="272"/>
      <c r="AJ934" s="222"/>
      <c r="AK934" s="222"/>
    </row>
    <row r="935" spans="1:37" ht="23" hidden="1">
      <c r="A935" s="111">
        <v>598</v>
      </c>
      <c r="B935" s="112">
        <v>3</v>
      </c>
      <c r="C935" s="122" t="s">
        <v>3618</v>
      </c>
      <c r="D935" s="147" t="s">
        <v>3619</v>
      </c>
      <c r="E935" s="123" t="s">
        <v>3620</v>
      </c>
      <c r="F935" s="115" t="s">
        <v>1132</v>
      </c>
      <c r="G935" s="115" t="s">
        <v>1133</v>
      </c>
      <c r="H935" s="116">
        <v>13.6846663</v>
      </c>
      <c r="I935" s="116">
        <v>100.6464593</v>
      </c>
      <c r="J935" s="115" t="s">
        <v>2108</v>
      </c>
      <c r="K935" s="117" t="s">
        <v>2109</v>
      </c>
      <c r="L935" s="117" t="s">
        <v>2110</v>
      </c>
      <c r="M935" s="121" t="s">
        <v>972</v>
      </c>
      <c r="N935" s="121" t="s">
        <v>972</v>
      </c>
      <c r="O935" s="117" t="s">
        <v>1134</v>
      </c>
      <c r="P935" s="117" t="s">
        <v>1876</v>
      </c>
      <c r="Q935" s="125" t="s">
        <v>972</v>
      </c>
      <c r="R935" s="125" t="s">
        <v>972</v>
      </c>
      <c r="S935" s="125" t="s">
        <v>972</v>
      </c>
      <c r="T935" s="222"/>
      <c r="U935" s="222"/>
      <c r="V935" s="222"/>
      <c r="W935" s="230"/>
      <c r="X935" s="331">
        <f t="shared" si="44"/>
        <v>0</v>
      </c>
      <c r="Y935" s="222"/>
      <c r="Z935" s="272">
        <f t="shared" si="42"/>
        <v>0</v>
      </c>
      <c r="AA935" s="331"/>
      <c r="AB935" s="331"/>
      <c r="AC935" s="331"/>
      <c r="AD935" s="331"/>
      <c r="AE935" s="331"/>
      <c r="AF935" s="331"/>
      <c r="AG935" s="331"/>
      <c r="AH935" s="241">
        <f t="shared" ca="1" si="43"/>
        <v>46153</v>
      </c>
      <c r="AI935" s="272"/>
      <c r="AJ935" s="222"/>
      <c r="AK935" s="222"/>
    </row>
    <row r="936" spans="1:37" ht="23.25" hidden="1" customHeight="1">
      <c r="A936" s="111">
        <v>599</v>
      </c>
      <c r="B936" s="112" t="s">
        <v>919</v>
      </c>
      <c r="C936" s="122" t="s">
        <v>3621</v>
      </c>
      <c r="D936" s="147" t="s">
        <v>3622</v>
      </c>
      <c r="E936" s="114" t="s">
        <v>3623</v>
      </c>
      <c r="F936" s="115" t="s">
        <v>1132</v>
      </c>
      <c r="G936" s="115" t="s">
        <v>1133</v>
      </c>
      <c r="H936" s="116">
        <v>13.68853</v>
      </c>
      <c r="I936" s="116">
        <v>100.647026</v>
      </c>
      <c r="J936" s="116" t="s">
        <v>2097</v>
      </c>
      <c r="K936" s="116" t="s">
        <v>2097</v>
      </c>
      <c r="L936" s="117" t="s">
        <v>3624</v>
      </c>
      <c r="M936" s="116" t="s">
        <v>1347</v>
      </c>
      <c r="N936" s="121" t="s">
        <v>892</v>
      </c>
      <c r="O936" s="117" t="s">
        <v>1134</v>
      </c>
      <c r="P936" s="136" t="s">
        <v>902</v>
      </c>
      <c r="Q936" s="125" t="s">
        <v>972</v>
      </c>
      <c r="R936" s="125" t="s">
        <v>972</v>
      </c>
      <c r="S936" s="125" t="s">
        <v>972</v>
      </c>
      <c r="T936" s="222"/>
      <c r="U936" s="222"/>
      <c r="V936" s="222"/>
      <c r="W936" s="230"/>
      <c r="X936" s="331">
        <f t="shared" si="44"/>
        <v>0</v>
      </c>
      <c r="Y936" s="222"/>
      <c r="Z936" s="272">
        <f t="shared" si="42"/>
        <v>0</v>
      </c>
      <c r="AA936" s="331"/>
      <c r="AB936" s="331"/>
      <c r="AC936" s="331"/>
      <c r="AD936" s="331"/>
      <c r="AE936" s="331"/>
      <c r="AF936" s="331"/>
      <c r="AG936" s="331"/>
      <c r="AH936" s="241">
        <f t="shared" ca="1" si="43"/>
        <v>46153</v>
      </c>
      <c r="AI936" s="272"/>
      <c r="AJ936" s="222"/>
      <c r="AK936" s="222"/>
    </row>
    <row r="937" spans="1:37" ht="23" hidden="1">
      <c r="A937" s="111">
        <v>600</v>
      </c>
      <c r="B937" s="112" t="s">
        <v>1459</v>
      </c>
      <c r="C937" s="113" t="s">
        <v>3625</v>
      </c>
      <c r="D937" s="147" t="s">
        <v>3626</v>
      </c>
      <c r="E937" s="114" t="s">
        <v>3627</v>
      </c>
      <c r="F937" s="115" t="s">
        <v>1132</v>
      </c>
      <c r="G937" s="115" t="s">
        <v>1133</v>
      </c>
      <c r="H937" s="116">
        <v>13.6882564</v>
      </c>
      <c r="I937" s="116">
        <v>100.647004</v>
      </c>
      <c r="J937" s="116" t="s">
        <v>969</v>
      </c>
      <c r="K937" s="115" t="s">
        <v>2081</v>
      </c>
      <c r="L937" s="117" t="s">
        <v>3628</v>
      </c>
      <c r="M937" s="121">
        <v>96627331</v>
      </c>
      <c r="N937" s="121" t="s">
        <v>892</v>
      </c>
      <c r="O937" s="121" t="s">
        <v>1134</v>
      </c>
      <c r="P937" s="136" t="s">
        <v>902</v>
      </c>
      <c r="Q937" s="125" t="s">
        <v>972</v>
      </c>
      <c r="R937" s="130" t="s">
        <v>972</v>
      </c>
      <c r="S937" s="125" t="s">
        <v>972</v>
      </c>
      <c r="T937" s="222"/>
      <c r="U937" s="222"/>
      <c r="V937" s="222"/>
      <c r="W937" s="230"/>
      <c r="X937" s="331">
        <f t="shared" si="44"/>
        <v>0</v>
      </c>
      <c r="Y937" s="222"/>
      <c r="Z937" s="272">
        <f t="shared" si="42"/>
        <v>0</v>
      </c>
      <c r="AA937" s="331"/>
      <c r="AB937" s="331"/>
      <c r="AC937" s="331"/>
      <c r="AD937" s="331"/>
      <c r="AE937" s="331"/>
      <c r="AF937" s="331"/>
      <c r="AG937" s="331"/>
      <c r="AH937" s="241">
        <f t="shared" ca="1" si="43"/>
        <v>46153</v>
      </c>
      <c r="AI937" s="272"/>
      <c r="AJ937" s="222"/>
      <c r="AK937" s="222"/>
    </row>
    <row r="938" spans="1:37" ht="14.5" hidden="1">
      <c r="A938" s="111">
        <v>617</v>
      </c>
      <c r="B938" s="112">
        <v>14</v>
      </c>
      <c r="C938" s="122" t="s">
        <v>3668</v>
      </c>
      <c r="D938" s="160" t="s">
        <v>3669</v>
      </c>
      <c r="E938" s="156" t="s">
        <v>3670</v>
      </c>
      <c r="F938" s="117" t="s">
        <v>1132</v>
      </c>
      <c r="G938" s="148" t="s">
        <v>901</v>
      </c>
      <c r="H938" s="117" t="s">
        <v>3671</v>
      </c>
      <c r="I938" s="117">
        <v>100.645647</v>
      </c>
      <c r="J938" s="117" t="s">
        <v>2097</v>
      </c>
      <c r="K938" s="121" t="s">
        <v>2097</v>
      </c>
      <c r="L938" s="117" t="s">
        <v>3672</v>
      </c>
      <c r="M938" s="117" t="s">
        <v>1347</v>
      </c>
      <c r="N938" s="117" t="s">
        <v>1347</v>
      </c>
      <c r="O938" s="117" t="s">
        <v>1134</v>
      </c>
      <c r="P938" s="117"/>
      <c r="Q938" s="119"/>
      <c r="R938" s="119"/>
      <c r="S938" s="119"/>
      <c r="T938" s="222"/>
      <c r="U938" s="222"/>
      <c r="V938" s="222"/>
      <c r="W938" s="230"/>
      <c r="X938" s="331">
        <f t="shared" si="44"/>
        <v>0</v>
      </c>
      <c r="Y938" s="222"/>
      <c r="Z938" s="272">
        <f t="shared" si="42"/>
        <v>0</v>
      </c>
      <c r="AA938" s="331"/>
      <c r="AB938" s="331"/>
      <c r="AC938" s="331"/>
      <c r="AD938" s="331"/>
      <c r="AE938" s="331"/>
      <c r="AF938" s="331"/>
      <c r="AG938" s="331"/>
      <c r="AH938" s="241">
        <f t="shared" ca="1" si="43"/>
        <v>46153</v>
      </c>
      <c r="AI938" s="272"/>
      <c r="AJ938" s="222"/>
      <c r="AK938" s="222"/>
    </row>
    <row r="939" spans="1:37" ht="23" hidden="1">
      <c r="A939" s="111">
        <v>831</v>
      </c>
      <c r="B939" s="112">
        <v>3</v>
      </c>
      <c r="C939" s="122" t="s">
        <v>4168</v>
      </c>
      <c r="D939" s="147" t="s">
        <v>4169</v>
      </c>
      <c r="E939" s="123" t="s">
        <v>4170</v>
      </c>
      <c r="F939" s="115" t="s">
        <v>1132</v>
      </c>
      <c r="G939" s="115" t="s">
        <v>901</v>
      </c>
      <c r="H939" s="116">
        <v>13.758295499999999</v>
      </c>
      <c r="I939" s="116">
        <v>100.6458068</v>
      </c>
      <c r="J939" s="116" t="s">
        <v>2108</v>
      </c>
      <c r="K939" s="115" t="s">
        <v>2081</v>
      </c>
      <c r="L939" s="117" t="s">
        <v>4171</v>
      </c>
      <c r="M939" s="121" t="s">
        <v>972</v>
      </c>
      <c r="N939" s="121" t="s">
        <v>972</v>
      </c>
      <c r="O939" s="121" t="s">
        <v>1134</v>
      </c>
      <c r="P939" s="136" t="s">
        <v>902</v>
      </c>
      <c r="Q939" s="125" t="s">
        <v>972</v>
      </c>
      <c r="R939" s="125" t="s">
        <v>972</v>
      </c>
      <c r="S939" s="125" t="s">
        <v>972</v>
      </c>
      <c r="T939" s="222"/>
      <c r="U939" s="222"/>
      <c r="V939" s="222"/>
      <c r="W939" s="230"/>
      <c r="X939" s="331">
        <f t="shared" si="44"/>
        <v>0</v>
      </c>
      <c r="Y939" s="222"/>
      <c r="Z939" s="272">
        <f t="shared" si="42"/>
        <v>0</v>
      </c>
      <c r="AA939" s="331"/>
      <c r="AB939" s="331"/>
      <c r="AC939" s="331"/>
      <c r="AD939" s="331"/>
      <c r="AE939" s="331"/>
      <c r="AF939" s="331"/>
      <c r="AG939" s="331"/>
      <c r="AH939" s="241">
        <f t="shared" ca="1" si="43"/>
        <v>46153</v>
      </c>
      <c r="AI939" s="272"/>
      <c r="AJ939" s="222"/>
      <c r="AK939" s="222"/>
    </row>
    <row r="940" spans="1:37" ht="23" hidden="1">
      <c r="A940" s="111">
        <v>858</v>
      </c>
      <c r="B940" s="112">
        <v>12</v>
      </c>
      <c r="C940" s="113" t="s">
        <v>4228</v>
      </c>
      <c r="D940" s="147" t="s">
        <v>4229</v>
      </c>
      <c r="E940" s="114" t="s">
        <v>4230</v>
      </c>
      <c r="F940" s="115" t="s">
        <v>1132</v>
      </c>
      <c r="G940" s="115" t="s">
        <v>1133</v>
      </c>
      <c r="H940" s="116">
        <v>13.6975794</v>
      </c>
      <c r="I940" s="116">
        <v>100.6473962</v>
      </c>
      <c r="J940" s="116" t="s">
        <v>2108</v>
      </c>
      <c r="K940" s="115" t="s">
        <v>2081</v>
      </c>
      <c r="L940" s="117" t="s">
        <v>4231</v>
      </c>
      <c r="M940" s="121" t="s">
        <v>972</v>
      </c>
      <c r="N940" s="121" t="s">
        <v>972</v>
      </c>
      <c r="O940" s="121" t="s">
        <v>1134</v>
      </c>
      <c r="P940" s="136" t="s">
        <v>902</v>
      </c>
      <c r="Q940" s="125" t="s">
        <v>972</v>
      </c>
      <c r="R940" s="125" t="s">
        <v>972</v>
      </c>
      <c r="S940" s="125" t="s">
        <v>972</v>
      </c>
      <c r="T940" s="222"/>
      <c r="U940" s="222"/>
      <c r="V940" s="222"/>
      <c r="W940" s="230"/>
      <c r="X940" s="331">
        <f t="shared" si="44"/>
        <v>0</v>
      </c>
      <c r="Y940" s="222"/>
      <c r="Z940" s="272">
        <f t="shared" si="42"/>
        <v>0</v>
      </c>
      <c r="AA940" s="331"/>
      <c r="AB940" s="331"/>
      <c r="AC940" s="331"/>
      <c r="AD940" s="331"/>
      <c r="AE940" s="331"/>
      <c r="AF940" s="331"/>
      <c r="AG940" s="331"/>
      <c r="AH940" s="241">
        <f t="shared" ca="1" si="43"/>
        <v>46153</v>
      </c>
      <c r="AI940" s="272"/>
      <c r="AJ940" s="222"/>
      <c r="AK940" s="222"/>
    </row>
    <row r="941" spans="1:37" ht="23" hidden="1">
      <c r="A941" s="111">
        <v>859</v>
      </c>
      <c r="B941" s="112">
        <v>13</v>
      </c>
      <c r="C941" s="113" t="s">
        <v>4232</v>
      </c>
      <c r="D941" s="147" t="s">
        <v>4233</v>
      </c>
      <c r="E941" s="114" t="s">
        <v>4234</v>
      </c>
      <c r="F941" s="115" t="s">
        <v>1132</v>
      </c>
      <c r="G941" s="115" t="s">
        <v>1133</v>
      </c>
      <c r="H941" s="116">
        <v>13.697399000000001</v>
      </c>
      <c r="I941" s="116">
        <v>100.647434</v>
      </c>
      <c r="J941" s="116" t="s">
        <v>2108</v>
      </c>
      <c r="K941" s="115" t="s">
        <v>2081</v>
      </c>
      <c r="L941" s="117" t="s">
        <v>4231</v>
      </c>
      <c r="M941" s="121" t="s">
        <v>972</v>
      </c>
      <c r="N941" s="121" t="s">
        <v>972</v>
      </c>
      <c r="O941" s="121" t="s">
        <v>1134</v>
      </c>
      <c r="P941" s="117" t="s">
        <v>902</v>
      </c>
      <c r="Q941" s="125" t="s">
        <v>972</v>
      </c>
      <c r="R941" s="125" t="s">
        <v>972</v>
      </c>
      <c r="S941" s="125" t="s">
        <v>972</v>
      </c>
      <c r="T941" s="222"/>
      <c r="U941" s="222"/>
      <c r="V941" s="222"/>
      <c r="W941" s="230"/>
      <c r="X941" s="331">
        <f t="shared" si="44"/>
        <v>0</v>
      </c>
      <c r="Y941" s="222"/>
      <c r="Z941" s="272">
        <f t="shared" si="42"/>
        <v>0</v>
      </c>
      <c r="AA941" s="331"/>
      <c r="AB941" s="331"/>
      <c r="AC941" s="331"/>
      <c r="AD941" s="331"/>
      <c r="AE941" s="331"/>
      <c r="AF941" s="331"/>
      <c r="AG941" s="331"/>
      <c r="AH941" s="241">
        <f t="shared" ca="1" si="43"/>
        <v>46153</v>
      </c>
      <c r="AI941" s="272"/>
      <c r="AJ941" s="222"/>
      <c r="AK941" s="222"/>
    </row>
    <row r="942" spans="1:37" ht="23" hidden="1">
      <c r="A942" s="111">
        <v>977</v>
      </c>
      <c r="B942" s="112">
        <v>9</v>
      </c>
      <c r="C942" s="122" t="s">
        <v>4572</v>
      </c>
      <c r="D942" s="147" t="s">
        <v>4573</v>
      </c>
      <c r="E942" s="114" t="s">
        <v>4574</v>
      </c>
      <c r="F942" s="115" t="s">
        <v>1132</v>
      </c>
      <c r="G942" s="115" t="s">
        <v>901</v>
      </c>
      <c r="H942" s="116">
        <v>13.747278700000001</v>
      </c>
      <c r="I942" s="116">
        <v>100.643798</v>
      </c>
      <c r="J942" s="115" t="s">
        <v>2108</v>
      </c>
      <c r="K942" s="117" t="s">
        <v>2109</v>
      </c>
      <c r="L942" s="117" t="s">
        <v>2110</v>
      </c>
      <c r="M942" s="121" t="s">
        <v>972</v>
      </c>
      <c r="N942" s="121" t="s">
        <v>972</v>
      </c>
      <c r="O942" s="117" t="s">
        <v>901</v>
      </c>
      <c r="P942" s="136" t="s">
        <v>902</v>
      </c>
      <c r="Q942" s="125" t="s">
        <v>972</v>
      </c>
      <c r="R942" s="130" t="s">
        <v>972</v>
      </c>
      <c r="S942" s="125" t="s">
        <v>972</v>
      </c>
      <c r="T942" s="222"/>
      <c r="U942" s="222"/>
      <c r="V942" s="222"/>
      <c r="W942" s="230"/>
      <c r="X942" s="331">
        <f t="shared" si="44"/>
        <v>0</v>
      </c>
      <c r="Y942" s="222"/>
      <c r="Z942" s="272">
        <f t="shared" si="42"/>
        <v>0</v>
      </c>
      <c r="AA942" s="331"/>
      <c r="AB942" s="331"/>
      <c r="AC942" s="331"/>
      <c r="AD942" s="331"/>
      <c r="AE942" s="331"/>
      <c r="AF942" s="331"/>
      <c r="AG942" s="331"/>
      <c r="AH942" s="241">
        <f t="shared" ca="1" si="43"/>
        <v>46153</v>
      </c>
      <c r="AI942" s="272"/>
      <c r="AJ942" s="222"/>
      <c r="AK942" s="222"/>
    </row>
    <row r="943" spans="1:37" ht="23.25" hidden="1" customHeight="1">
      <c r="A943" s="111">
        <v>1184</v>
      </c>
      <c r="B943" s="150" t="s">
        <v>2209</v>
      </c>
      <c r="C943" s="150" t="s">
        <v>5176</v>
      </c>
      <c r="D943" s="150" t="s">
        <v>5081</v>
      </c>
      <c r="E943" s="152" t="s">
        <v>5082</v>
      </c>
      <c r="F943" s="150" t="s">
        <v>1132</v>
      </c>
      <c r="G943" s="153" t="s">
        <v>901</v>
      </c>
      <c r="H943" s="137">
        <v>13.747949999999999</v>
      </c>
      <c r="I943" s="137">
        <v>100.64400500000001</v>
      </c>
      <c r="J943" s="117" t="s">
        <v>890</v>
      </c>
      <c r="K943" s="117" t="s">
        <v>891</v>
      </c>
      <c r="L943" s="117" t="s">
        <v>891</v>
      </c>
      <c r="M943" s="117">
        <v>97156146</v>
      </c>
      <c r="N943" s="117" t="s">
        <v>892</v>
      </c>
      <c r="O943" s="117" t="s">
        <v>5074</v>
      </c>
      <c r="P943" s="117" t="s">
        <v>5074</v>
      </c>
      <c r="Q943" s="119"/>
      <c r="R943" s="138"/>
      <c r="S943" s="119"/>
      <c r="T943" s="222"/>
      <c r="U943" s="222"/>
      <c r="V943" s="222"/>
      <c r="W943" s="230"/>
      <c r="X943" s="331">
        <f t="shared" si="44"/>
        <v>0</v>
      </c>
      <c r="Y943" s="222"/>
      <c r="Z943" s="272">
        <f t="shared" si="42"/>
        <v>0</v>
      </c>
      <c r="AA943" s="331"/>
      <c r="AB943" s="331"/>
      <c r="AC943" s="331"/>
      <c r="AD943" s="331"/>
      <c r="AE943" s="331"/>
      <c r="AF943" s="331"/>
      <c r="AG943" s="331"/>
      <c r="AH943" s="241">
        <f t="shared" ca="1" si="43"/>
        <v>46153</v>
      </c>
      <c r="AI943" s="272"/>
      <c r="AJ943" s="222"/>
      <c r="AK943" s="222"/>
    </row>
    <row r="944" spans="1:37" ht="23" hidden="1">
      <c r="A944" s="111">
        <v>865</v>
      </c>
      <c r="B944" s="112">
        <v>11</v>
      </c>
      <c r="C944" s="113" t="s">
        <v>3577</v>
      </c>
      <c r="D944" s="147" t="s">
        <v>3578</v>
      </c>
      <c r="E944" s="123" t="s">
        <v>3579</v>
      </c>
      <c r="F944" s="116" t="s">
        <v>3580</v>
      </c>
      <c r="G944" s="116" t="s">
        <v>901</v>
      </c>
      <c r="H944" s="116">
        <v>13.768568800000001</v>
      </c>
      <c r="I944" s="116">
        <v>100.65720690000001</v>
      </c>
      <c r="J944" s="116" t="s">
        <v>890</v>
      </c>
      <c r="K944" s="117" t="s">
        <v>891</v>
      </c>
      <c r="L944" s="117" t="s">
        <v>891</v>
      </c>
      <c r="M944" s="117">
        <v>96927778</v>
      </c>
      <c r="N944" s="117" t="s">
        <v>892</v>
      </c>
      <c r="O944" s="117" t="s">
        <v>901</v>
      </c>
      <c r="P944" s="140" t="s">
        <v>902</v>
      </c>
      <c r="Q944" s="118">
        <v>80057501</v>
      </c>
      <c r="R944" s="119" t="s">
        <v>895</v>
      </c>
      <c r="S944" s="119" t="s">
        <v>895</v>
      </c>
      <c r="T944" s="305" t="s">
        <v>5212</v>
      </c>
      <c r="U944" s="312" t="s">
        <v>5231</v>
      </c>
      <c r="V944" s="331">
        <v>45103</v>
      </c>
      <c r="W944" s="326">
        <v>4</v>
      </c>
      <c r="X944" s="331">
        <f t="shared" si="44"/>
        <v>45107</v>
      </c>
      <c r="Y944" s="329">
        <v>45020</v>
      </c>
      <c r="Z944" s="332" t="e">
        <f t="shared" si="42"/>
        <v>#NUM!</v>
      </c>
      <c r="AA944" s="331"/>
      <c r="AB944" s="331"/>
      <c r="AC944" s="331"/>
      <c r="AD944" s="331"/>
      <c r="AE944" s="331"/>
      <c r="AF944" s="331"/>
      <c r="AG944" s="331"/>
      <c r="AH944" s="329">
        <f t="shared" ca="1" si="43"/>
        <v>46153</v>
      </c>
      <c r="AI944" s="330"/>
      <c r="AJ944" s="312" t="s">
        <v>5143</v>
      </c>
      <c r="AK944" s="312" t="s">
        <v>5149</v>
      </c>
    </row>
    <row r="945" spans="1:37" s="345" customFormat="1" ht="23.25" hidden="1" customHeight="1">
      <c r="A945" s="111">
        <v>1051</v>
      </c>
      <c r="B945" s="112">
        <v>12</v>
      </c>
      <c r="C945" s="113" t="s">
        <v>1997</v>
      </c>
      <c r="D945" s="147" t="s">
        <v>1998</v>
      </c>
      <c r="E945" s="114" t="s">
        <v>1999</v>
      </c>
      <c r="F945" s="115" t="s">
        <v>2000</v>
      </c>
      <c r="G945" s="115" t="s">
        <v>1000</v>
      </c>
      <c r="H945" s="116">
        <v>13.7698088</v>
      </c>
      <c r="I945" s="116">
        <v>100.5080416</v>
      </c>
      <c r="J945" s="116" t="s">
        <v>890</v>
      </c>
      <c r="K945" s="117" t="s">
        <v>891</v>
      </c>
      <c r="L945" s="117" t="s">
        <v>891</v>
      </c>
      <c r="M945" s="117">
        <v>96895449</v>
      </c>
      <c r="N945" s="117" t="s">
        <v>892</v>
      </c>
      <c r="O945" s="121" t="s">
        <v>958</v>
      </c>
      <c r="P945" s="117" t="s">
        <v>902</v>
      </c>
      <c r="Q945" s="118">
        <v>80057501</v>
      </c>
      <c r="R945" s="119" t="s">
        <v>895</v>
      </c>
      <c r="S945" s="119" t="s">
        <v>895</v>
      </c>
      <c r="T945" s="222"/>
      <c r="U945" s="222"/>
      <c r="V945" s="222"/>
      <c r="W945" s="230"/>
      <c r="X945" s="331">
        <f t="shared" si="44"/>
        <v>0</v>
      </c>
      <c r="Y945" s="222"/>
      <c r="Z945" s="272">
        <f t="shared" si="42"/>
        <v>0</v>
      </c>
      <c r="AA945" s="331"/>
      <c r="AB945" s="331"/>
      <c r="AC945" s="331"/>
      <c r="AD945" s="331"/>
      <c r="AE945" s="331"/>
      <c r="AF945" s="331"/>
      <c r="AG945" s="331"/>
      <c r="AH945" s="241">
        <f t="shared" ca="1" si="43"/>
        <v>46153</v>
      </c>
      <c r="AI945" s="272"/>
      <c r="AJ945" s="222"/>
      <c r="AK945" s="222"/>
    </row>
    <row r="946" spans="1:37" ht="23.25" hidden="1" customHeight="1">
      <c r="A946" s="111">
        <v>125</v>
      </c>
      <c r="B946" s="112" t="s">
        <v>1818</v>
      </c>
      <c r="C946" s="122" t="s">
        <v>2420</v>
      </c>
      <c r="D946" s="147" t="s">
        <v>2421</v>
      </c>
      <c r="E946" s="123" t="s">
        <v>2422</v>
      </c>
      <c r="F946" s="137" t="s">
        <v>2000</v>
      </c>
      <c r="G946" s="137" t="s">
        <v>957</v>
      </c>
      <c r="H946" s="137">
        <v>13.757234199999999</v>
      </c>
      <c r="I946" s="137">
        <v>100.5375336</v>
      </c>
      <c r="J946" s="116" t="s">
        <v>969</v>
      </c>
      <c r="K946" s="115" t="s">
        <v>1048</v>
      </c>
      <c r="L946" s="129" t="s">
        <v>2423</v>
      </c>
      <c r="M946" s="117">
        <v>96937940</v>
      </c>
      <c r="N946" s="121" t="s">
        <v>1050</v>
      </c>
      <c r="O946" s="121" t="s">
        <v>958</v>
      </c>
      <c r="P946" s="500" t="s">
        <v>902</v>
      </c>
      <c r="Q946" s="125" t="s">
        <v>972</v>
      </c>
      <c r="R946" s="125" t="s">
        <v>972</v>
      </c>
      <c r="S946" s="125" t="s">
        <v>972</v>
      </c>
      <c r="T946" s="222"/>
      <c r="U946" s="222"/>
      <c r="V946" s="222"/>
      <c r="W946" s="230"/>
      <c r="X946" s="331">
        <f t="shared" si="44"/>
        <v>0</v>
      </c>
      <c r="Y946" s="222"/>
      <c r="Z946" s="272">
        <f t="shared" si="42"/>
        <v>0</v>
      </c>
      <c r="AA946" s="331"/>
      <c r="AB946" s="331"/>
      <c r="AC946" s="331"/>
      <c r="AD946" s="331"/>
      <c r="AE946" s="331"/>
      <c r="AF946" s="331"/>
      <c r="AG946" s="331"/>
      <c r="AH946" s="241">
        <f t="shared" ca="1" si="43"/>
        <v>46153</v>
      </c>
      <c r="AI946" s="272"/>
      <c r="AJ946" s="222"/>
      <c r="AK946" s="222"/>
    </row>
    <row r="947" spans="1:37" ht="23.25" hidden="1" customHeight="1">
      <c r="A947" s="111">
        <v>693</v>
      </c>
      <c r="B947" s="112">
        <v>11</v>
      </c>
      <c r="C947" s="113" t="s">
        <v>3828</v>
      </c>
      <c r="D947" s="147" t="s">
        <v>3829</v>
      </c>
      <c r="E947" s="114" t="s">
        <v>3830</v>
      </c>
      <c r="F947" s="115" t="s">
        <v>2000</v>
      </c>
      <c r="G947" s="115" t="s">
        <v>957</v>
      </c>
      <c r="H947" s="116">
        <v>13.758893</v>
      </c>
      <c r="I947" s="116">
        <v>100.53247500000001</v>
      </c>
      <c r="J947" s="116" t="s">
        <v>969</v>
      </c>
      <c r="K947" s="115" t="s">
        <v>1048</v>
      </c>
      <c r="L947" s="117" t="s">
        <v>3831</v>
      </c>
      <c r="M947" s="117">
        <v>96930955</v>
      </c>
      <c r="N947" s="121" t="s">
        <v>1050</v>
      </c>
      <c r="O947" s="121" t="s">
        <v>958</v>
      </c>
      <c r="P947" s="117" t="s">
        <v>902</v>
      </c>
      <c r="Q947" s="125" t="s">
        <v>972</v>
      </c>
      <c r="R947" s="125" t="s">
        <v>972</v>
      </c>
      <c r="S947" s="125" t="s">
        <v>972</v>
      </c>
      <c r="T947" s="222"/>
      <c r="U947" s="222"/>
      <c r="V947" s="222"/>
      <c r="W947" s="230"/>
      <c r="X947" s="331">
        <f t="shared" si="44"/>
        <v>0</v>
      </c>
      <c r="Y947" s="222"/>
      <c r="Z947" s="272">
        <f t="shared" si="42"/>
        <v>0</v>
      </c>
      <c r="AA947" s="331"/>
      <c r="AB947" s="331"/>
      <c r="AC947" s="331"/>
      <c r="AD947" s="331"/>
      <c r="AE947" s="331"/>
      <c r="AF947" s="331"/>
      <c r="AG947" s="331"/>
      <c r="AH947" s="241">
        <f t="shared" ca="1" si="43"/>
        <v>46153</v>
      </c>
      <c r="AI947" s="272"/>
      <c r="AJ947" s="222"/>
      <c r="AK947" s="222"/>
    </row>
    <row r="948" spans="1:37" ht="23" hidden="1">
      <c r="A948" s="111">
        <v>782</v>
      </c>
      <c r="B948" s="112">
        <v>16</v>
      </c>
      <c r="C948" s="113" t="s">
        <v>4049</v>
      </c>
      <c r="D948" s="147" t="s">
        <v>4050</v>
      </c>
      <c r="E948" s="114" t="s">
        <v>4051</v>
      </c>
      <c r="F948" s="115" t="s">
        <v>2000</v>
      </c>
      <c r="G948" s="115" t="s">
        <v>957</v>
      </c>
      <c r="H948" s="115">
        <v>13.7597912</v>
      </c>
      <c r="I948" s="115">
        <v>100.5304482</v>
      </c>
      <c r="J948" s="116" t="s">
        <v>969</v>
      </c>
      <c r="K948" s="115" t="s">
        <v>1048</v>
      </c>
      <c r="L948" s="117" t="s">
        <v>4052</v>
      </c>
      <c r="M948" s="117">
        <v>96930582</v>
      </c>
      <c r="N948" s="121" t="s">
        <v>1050</v>
      </c>
      <c r="O948" s="121" t="s">
        <v>958</v>
      </c>
      <c r="P948" s="117" t="s">
        <v>902</v>
      </c>
      <c r="Q948" s="125" t="s">
        <v>972</v>
      </c>
      <c r="R948" s="130" t="s">
        <v>972</v>
      </c>
      <c r="S948" s="125" t="s">
        <v>972</v>
      </c>
      <c r="T948" s="222"/>
      <c r="U948" s="222"/>
      <c r="V948" s="222"/>
      <c r="W948" s="230"/>
      <c r="X948" s="331">
        <f t="shared" si="44"/>
        <v>0</v>
      </c>
      <c r="Y948" s="222"/>
      <c r="Z948" s="272">
        <f t="shared" si="42"/>
        <v>0</v>
      </c>
      <c r="AA948" s="331"/>
      <c r="AB948" s="331"/>
      <c r="AC948" s="331"/>
      <c r="AD948" s="331"/>
      <c r="AE948" s="331"/>
      <c r="AF948" s="331"/>
      <c r="AG948" s="331"/>
      <c r="AH948" s="241">
        <f t="shared" ca="1" si="43"/>
        <v>46153</v>
      </c>
      <c r="AI948" s="272"/>
      <c r="AJ948" s="222"/>
      <c r="AK948" s="222"/>
    </row>
    <row r="949" spans="1:37" ht="23.25" hidden="1" customHeight="1">
      <c r="A949" s="111">
        <v>1022</v>
      </c>
      <c r="B949" s="112">
        <v>14</v>
      </c>
      <c r="C949" s="122" t="s">
        <v>4663</v>
      </c>
      <c r="D949" s="147" t="s">
        <v>4664</v>
      </c>
      <c r="E949" s="114" t="s">
        <v>4665</v>
      </c>
      <c r="F949" s="115" t="s">
        <v>2000</v>
      </c>
      <c r="G949" s="115" t="s">
        <v>957</v>
      </c>
      <c r="H949" s="116">
        <v>13.757358</v>
      </c>
      <c r="I949" s="116">
        <v>100.53620600000001</v>
      </c>
      <c r="J949" s="116" t="s">
        <v>969</v>
      </c>
      <c r="K949" s="115" t="s">
        <v>1048</v>
      </c>
      <c r="L949" s="117" t="s">
        <v>4666</v>
      </c>
      <c r="M949" s="117">
        <v>96930585</v>
      </c>
      <c r="N949" s="121" t="s">
        <v>1050</v>
      </c>
      <c r="O949" s="121" t="s">
        <v>958</v>
      </c>
      <c r="P949" s="136" t="s">
        <v>902</v>
      </c>
      <c r="Q949" s="125" t="s">
        <v>972</v>
      </c>
      <c r="R949" s="125" t="s">
        <v>972</v>
      </c>
      <c r="S949" s="125" t="s">
        <v>972</v>
      </c>
      <c r="T949" s="222"/>
      <c r="U949" s="222"/>
      <c r="V949" s="222"/>
      <c r="W949" s="230"/>
      <c r="X949" s="331">
        <f t="shared" si="44"/>
        <v>0</v>
      </c>
      <c r="Y949" s="222"/>
      <c r="Z949" s="272">
        <f t="shared" si="42"/>
        <v>0</v>
      </c>
      <c r="AA949" s="331"/>
      <c r="AB949" s="331"/>
      <c r="AC949" s="331"/>
      <c r="AD949" s="331"/>
      <c r="AE949" s="331"/>
      <c r="AF949" s="331"/>
      <c r="AG949" s="331"/>
      <c r="AH949" s="241">
        <f t="shared" ca="1" si="43"/>
        <v>46153</v>
      </c>
      <c r="AI949" s="272"/>
      <c r="AJ949" s="222"/>
      <c r="AK949" s="222"/>
    </row>
    <row r="950" spans="1:37" ht="23" hidden="1">
      <c r="A950" s="111">
        <v>1033</v>
      </c>
      <c r="B950" s="112">
        <v>10</v>
      </c>
      <c r="C950" s="122" t="s">
        <v>4697</v>
      </c>
      <c r="D950" s="147" t="s">
        <v>4698</v>
      </c>
      <c r="E950" s="175" t="s">
        <v>4699</v>
      </c>
      <c r="F950" s="176" t="s">
        <v>2000</v>
      </c>
      <c r="G950" s="176" t="s">
        <v>957</v>
      </c>
      <c r="H950" s="177">
        <v>13.7564113</v>
      </c>
      <c r="I950" s="177">
        <v>100.5412161</v>
      </c>
      <c r="J950" s="116" t="s">
        <v>969</v>
      </c>
      <c r="K950" s="115" t="s">
        <v>1048</v>
      </c>
      <c r="L950" s="117" t="s">
        <v>4700</v>
      </c>
      <c r="M950" s="121">
        <v>96930587</v>
      </c>
      <c r="N950" s="121" t="s">
        <v>1050</v>
      </c>
      <c r="O950" s="121" t="s">
        <v>958</v>
      </c>
      <c r="P950" s="136" t="s">
        <v>1876</v>
      </c>
      <c r="Q950" s="125" t="s">
        <v>972</v>
      </c>
      <c r="R950" s="125" t="s">
        <v>972</v>
      </c>
      <c r="S950" s="125" t="s">
        <v>972</v>
      </c>
      <c r="T950" s="222"/>
      <c r="U950" s="222"/>
      <c r="V950" s="222"/>
      <c r="W950" s="230"/>
      <c r="X950" s="331">
        <f t="shared" si="44"/>
        <v>0</v>
      </c>
      <c r="Y950" s="222"/>
      <c r="Z950" s="272">
        <f t="shared" si="42"/>
        <v>0</v>
      </c>
      <c r="AA950" s="331"/>
      <c r="AB950" s="331"/>
      <c r="AC950" s="331"/>
      <c r="AD950" s="331"/>
      <c r="AE950" s="331"/>
      <c r="AF950" s="331"/>
      <c r="AG950" s="331"/>
      <c r="AH950" s="241">
        <f t="shared" ca="1" si="43"/>
        <v>46153</v>
      </c>
      <c r="AI950" s="272"/>
      <c r="AJ950" s="222"/>
      <c r="AK950" s="222"/>
    </row>
    <row r="951" spans="1:37" ht="23" hidden="1">
      <c r="A951" s="111">
        <v>1047</v>
      </c>
      <c r="B951" s="112">
        <v>3</v>
      </c>
      <c r="C951" s="113" t="s">
        <v>4727</v>
      </c>
      <c r="D951" s="147" t="s">
        <v>4728</v>
      </c>
      <c r="E951" s="114" t="s">
        <v>4729</v>
      </c>
      <c r="F951" s="115" t="s">
        <v>2000</v>
      </c>
      <c r="G951" s="115" t="s">
        <v>957</v>
      </c>
      <c r="H951" s="177">
        <v>13.7615465</v>
      </c>
      <c r="I951" s="177">
        <v>100.5265799</v>
      </c>
      <c r="J951" s="115" t="s">
        <v>2108</v>
      </c>
      <c r="K951" s="117" t="s">
        <v>2109</v>
      </c>
      <c r="L951" s="117" t="s">
        <v>2110</v>
      </c>
      <c r="M951" s="121" t="s">
        <v>972</v>
      </c>
      <c r="N951" s="121" t="s">
        <v>972</v>
      </c>
      <c r="O951" s="121" t="s">
        <v>958</v>
      </c>
      <c r="P951" s="136" t="s">
        <v>902</v>
      </c>
      <c r="Q951" s="125" t="s">
        <v>972</v>
      </c>
      <c r="R951" s="125" t="s">
        <v>972</v>
      </c>
      <c r="S951" s="125" t="s">
        <v>972</v>
      </c>
      <c r="T951" s="222"/>
      <c r="U951" s="222"/>
      <c r="V951" s="222"/>
      <c r="W951" s="230"/>
      <c r="X951" s="331">
        <f t="shared" si="44"/>
        <v>0</v>
      </c>
      <c r="Y951" s="222"/>
      <c r="Z951" s="272">
        <f t="shared" si="42"/>
        <v>0</v>
      </c>
      <c r="AA951" s="331"/>
      <c r="AB951" s="331"/>
      <c r="AC951" s="331"/>
      <c r="AD951" s="331"/>
      <c r="AE951" s="331"/>
      <c r="AF951" s="331"/>
      <c r="AG951" s="331"/>
      <c r="AH951" s="241">
        <f t="shared" ca="1" si="43"/>
        <v>46153</v>
      </c>
      <c r="AI951" s="272"/>
      <c r="AJ951" s="222"/>
      <c r="AK951" s="222"/>
    </row>
    <row r="952" spans="1:37" ht="23" hidden="1">
      <c r="A952" s="111">
        <v>1052</v>
      </c>
      <c r="B952" s="112">
        <v>2</v>
      </c>
      <c r="C952" s="113" t="s">
        <v>4734</v>
      </c>
      <c r="D952" s="147" t="s">
        <v>4735</v>
      </c>
      <c r="E952" s="114" t="s">
        <v>4736</v>
      </c>
      <c r="F952" s="115" t="s">
        <v>2000</v>
      </c>
      <c r="G952" s="115" t="s">
        <v>1000</v>
      </c>
      <c r="H952" s="116">
        <v>13.770363</v>
      </c>
      <c r="I952" s="116">
        <v>100.50654299999999</v>
      </c>
      <c r="J952" s="115" t="s">
        <v>2108</v>
      </c>
      <c r="K952" s="117" t="s">
        <v>2109</v>
      </c>
      <c r="L952" s="117" t="s">
        <v>2110</v>
      </c>
      <c r="M952" s="121" t="s">
        <v>972</v>
      </c>
      <c r="N952" s="121" t="s">
        <v>972</v>
      </c>
      <c r="O952" s="121" t="s">
        <v>958</v>
      </c>
      <c r="P952" s="118" t="s">
        <v>1876</v>
      </c>
      <c r="Q952" s="125" t="s">
        <v>972</v>
      </c>
      <c r="R952" s="125" t="s">
        <v>972</v>
      </c>
      <c r="S952" s="125" t="s">
        <v>972</v>
      </c>
      <c r="T952" s="222"/>
      <c r="U952" s="222"/>
      <c r="V952" s="222"/>
      <c r="W952" s="230"/>
      <c r="X952" s="331">
        <f t="shared" si="44"/>
        <v>0</v>
      </c>
      <c r="Y952" s="222"/>
      <c r="Z952" s="272">
        <f t="shared" si="42"/>
        <v>0</v>
      </c>
      <c r="AA952" s="331"/>
      <c r="AB952" s="331"/>
      <c r="AC952" s="331"/>
      <c r="AD952" s="331"/>
      <c r="AE952" s="331"/>
      <c r="AF952" s="331"/>
      <c r="AG952" s="331"/>
      <c r="AH952" s="241">
        <f t="shared" ca="1" si="43"/>
        <v>46153</v>
      </c>
      <c r="AI952" s="272"/>
      <c r="AJ952" s="222"/>
      <c r="AK952" s="222"/>
    </row>
    <row r="953" spans="1:37" s="356" customFormat="1" ht="23" hidden="1">
      <c r="A953" s="111">
        <v>1089</v>
      </c>
      <c r="B953" s="112">
        <v>7</v>
      </c>
      <c r="C953" s="113" t="s">
        <v>4821</v>
      </c>
      <c r="D953" s="147" t="s">
        <v>4822</v>
      </c>
      <c r="E953" s="114" t="s">
        <v>4823</v>
      </c>
      <c r="F953" s="115" t="s">
        <v>2000</v>
      </c>
      <c r="G953" s="115" t="s">
        <v>957</v>
      </c>
      <c r="H953" s="116">
        <v>13.759350599999999</v>
      </c>
      <c r="I953" s="116">
        <v>100.53144260000001</v>
      </c>
      <c r="J953" s="116" t="s">
        <v>969</v>
      </c>
      <c r="K953" s="116" t="s">
        <v>970</v>
      </c>
      <c r="L953" s="117" t="s">
        <v>4824</v>
      </c>
      <c r="M953" s="117">
        <v>96930582</v>
      </c>
      <c r="N953" s="121" t="s">
        <v>1050</v>
      </c>
      <c r="O953" s="121" t="s">
        <v>958</v>
      </c>
      <c r="P953" s="117" t="s">
        <v>902</v>
      </c>
      <c r="Q953" s="125" t="s">
        <v>972</v>
      </c>
      <c r="R953" s="130" t="s">
        <v>972</v>
      </c>
      <c r="S953" s="125" t="s">
        <v>972</v>
      </c>
      <c r="T953" s="222"/>
      <c r="U953" s="222"/>
      <c r="V953" s="222"/>
      <c r="W953" s="230"/>
      <c r="X953" s="331">
        <f t="shared" si="44"/>
        <v>0</v>
      </c>
      <c r="Y953" s="222"/>
      <c r="Z953" s="272">
        <f t="shared" si="42"/>
        <v>0</v>
      </c>
      <c r="AA953" s="331"/>
      <c r="AB953" s="331"/>
      <c r="AC953" s="331"/>
      <c r="AD953" s="331"/>
      <c r="AE953" s="331"/>
      <c r="AF953" s="331"/>
      <c r="AG953" s="331"/>
      <c r="AH953" s="241">
        <f t="shared" ca="1" si="43"/>
        <v>46153</v>
      </c>
      <c r="AI953" s="272"/>
      <c r="AJ953" s="222"/>
      <c r="AK953" s="222"/>
    </row>
    <row r="954" spans="1:37" ht="23.25" hidden="1" customHeight="1">
      <c r="A954" s="111">
        <v>1090</v>
      </c>
      <c r="B954" s="112">
        <v>10</v>
      </c>
      <c r="C954" s="113" t="s">
        <v>4825</v>
      </c>
      <c r="D954" s="555" t="s">
        <v>4826</v>
      </c>
      <c r="E954" s="114" t="s">
        <v>4827</v>
      </c>
      <c r="F954" s="115" t="s">
        <v>2000</v>
      </c>
      <c r="G954" s="115" t="s">
        <v>957</v>
      </c>
      <c r="H954" s="116">
        <v>13.7582024</v>
      </c>
      <c r="I954" s="116">
        <v>100.53401150000001</v>
      </c>
      <c r="J954" s="115" t="s">
        <v>2108</v>
      </c>
      <c r="K954" s="117" t="s">
        <v>2109</v>
      </c>
      <c r="L954" s="117" t="s">
        <v>2110</v>
      </c>
      <c r="M954" s="121" t="s">
        <v>972</v>
      </c>
      <c r="N954" s="121" t="s">
        <v>972</v>
      </c>
      <c r="O954" s="121" t="s">
        <v>958</v>
      </c>
      <c r="P954" s="117" t="s">
        <v>1876</v>
      </c>
      <c r="Q954" s="125" t="s">
        <v>972</v>
      </c>
      <c r="R954" s="125" t="s">
        <v>972</v>
      </c>
      <c r="S954" s="125" t="s">
        <v>972</v>
      </c>
      <c r="T954" s="222"/>
      <c r="U954" s="222"/>
      <c r="V954" s="222"/>
      <c r="W954" s="230"/>
      <c r="X954" s="331">
        <f t="shared" si="44"/>
        <v>0</v>
      </c>
      <c r="Y954" s="222"/>
      <c r="Z954" s="272">
        <f t="shared" si="42"/>
        <v>0</v>
      </c>
      <c r="AA954" s="331"/>
      <c r="AB954" s="331"/>
      <c r="AC954" s="331"/>
      <c r="AD954" s="331"/>
      <c r="AE954" s="331"/>
      <c r="AF954" s="331"/>
      <c r="AG954" s="331"/>
      <c r="AH954" s="241">
        <f t="shared" ca="1" si="43"/>
        <v>46153</v>
      </c>
      <c r="AI954" s="272"/>
      <c r="AJ954" s="222"/>
      <c r="AK954" s="222"/>
    </row>
    <row r="955" spans="1:37" ht="33" hidden="1" customHeight="1">
      <c r="A955" s="111">
        <v>1113</v>
      </c>
      <c r="B955" s="112" t="s">
        <v>1818</v>
      </c>
      <c r="C955" s="113" t="s">
        <v>4881</v>
      </c>
      <c r="D955" s="147" t="s">
        <v>4882</v>
      </c>
      <c r="E955" s="114" t="s">
        <v>4883</v>
      </c>
      <c r="F955" s="115" t="s">
        <v>2000</v>
      </c>
      <c r="G955" s="115" t="s">
        <v>957</v>
      </c>
      <c r="H955" s="116">
        <v>13.756703999999999</v>
      </c>
      <c r="I955" s="116">
        <v>100.53998900000001</v>
      </c>
      <c r="J955" s="115" t="s">
        <v>2108</v>
      </c>
      <c r="K955" s="117" t="s">
        <v>2109</v>
      </c>
      <c r="L955" s="117" t="s">
        <v>2110</v>
      </c>
      <c r="M955" s="121" t="s">
        <v>972</v>
      </c>
      <c r="N955" s="121" t="s">
        <v>972</v>
      </c>
      <c r="O955" s="121" t="s">
        <v>958</v>
      </c>
      <c r="P955" s="118" t="s">
        <v>1876</v>
      </c>
      <c r="Q955" s="125" t="s">
        <v>972</v>
      </c>
      <c r="R955" s="125" t="s">
        <v>972</v>
      </c>
      <c r="S955" s="125" t="s">
        <v>972</v>
      </c>
      <c r="T955" s="222"/>
      <c r="U955" s="222"/>
      <c r="V955" s="222"/>
      <c r="W955" s="230"/>
      <c r="X955" s="331">
        <f t="shared" si="44"/>
        <v>0</v>
      </c>
      <c r="Y955" s="222"/>
      <c r="Z955" s="272">
        <f t="shared" si="42"/>
        <v>0</v>
      </c>
      <c r="AA955" s="331"/>
      <c r="AB955" s="331"/>
      <c r="AC955" s="331"/>
      <c r="AD955" s="331"/>
      <c r="AE955" s="331"/>
      <c r="AF955" s="331"/>
      <c r="AG955" s="331"/>
      <c r="AH955" s="241">
        <f t="shared" ca="1" si="43"/>
        <v>46153</v>
      </c>
      <c r="AI955" s="272"/>
      <c r="AJ955" s="222"/>
      <c r="AK955" s="222"/>
    </row>
    <row r="956" spans="1:37" ht="23.25" hidden="1" customHeight="1">
      <c r="A956" s="111">
        <v>25</v>
      </c>
      <c r="B956" s="112">
        <v>15</v>
      </c>
      <c r="C956" s="113" t="s">
        <v>937</v>
      </c>
      <c r="D956" s="147" t="s">
        <v>938</v>
      </c>
      <c r="E956" s="114" t="s">
        <v>939</v>
      </c>
      <c r="F956" s="115" t="s">
        <v>940</v>
      </c>
      <c r="G956" s="115" t="s">
        <v>889</v>
      </c>
      <c r="H956" s="116">
        <v>13.73123</v>
      </c>
      <c r="I956" s="116">
        <v>100.505484</v>
      </c>
      <c r="J956" s="116" t="s">
        <v>890</v>
      </c>
      <c r="K956" s="117" t="s">
        <v>891</v>
      </c>
      <c r="L956" s="118" t="s">
        <v>891</v>
      </c>
      <c r="M956" s="117">
        <v>96898530</v>
      </c>
      <c r="N956" s="117" t="s">
        <v>892</v>
      </c>
      <c r="O956" s="117" t="s">
        <v>893</v>
      </c>
      <c r="P956" s="118" t="s">
        <v>894</v>
      </c>
      <c r="Q956" s="118">
        <v>80057501</v>
      </c>
      <c r="R956" s="138" t="s">
        <v>895</v>
      </c>
      <c r="S956" s="119" t="s">
        <v>895</v>
      </c>
      <c r="T956" s="222"/>
      <c r="U956" s="222"/>
      <c r="V956" s="222"/>
      <c r="W956" s="230"/>
      <c r="X956" s="331">
        <f t="shared" si="44"/>
        <v>0</v>
      </c>
      <c r="Y956" s="222"/>
      <c r="Z956" s="272">
        <f t="shared" si="42"/>
        <v>0</v>
      </c>
      <c r="AA956" s="331"/>
      <c r="AB956" s="331"/>
      <c r="AC956" s="331"/>
      <c r="AD956" s="331"/>
      <c r="AE956" s="331"/>
      <c r="AF956" s="331"/>
      <c r="AG956" s="331"/>
      <c r="AH956" s="241">
        <f t="shared" ca="1" si="43"/>
        <v>46153</v>
      </c>
      <c r="AI956" s="272"/>
      <c r="AJ956" s="222"/>
      <c r="AK956" s="222"/>
    </row>
    <row r="957" spans="1:37" ht="23" hidden="1">
      <c r="A957" s="111">
        <v>194</v>
      </c>
      <c r="B957" s="112">
        <v>13</v>
      </c>
      <c r="C957" s="113" t="s">
        <v>1119</v>
      </c>
      <c r="D957" s="147" t="s">
        <v>1120</v>
      </c>
      <c r="E957" s="114" t="s">
        <v>1121</v>
      </c>
      <c r="F957" s="115" t="s">
        <v>1122</v>
      </c>
      <c r="G957" s="115" t="s">
        <v>893</v>
      </c>
      <c r="H957" s="116">
        <v>13.699543999999999</v>
      </c>
      <c r="I957" s="116">
        <v>100.483768</v>
      </c>
      <c r="J957" s="116" t="s">
        <v>890</v>
      </c>
      <c r="K957" s="117" t="s">
        <v>891</v>
      </c>
      <c r="L957" s="117" t="s">
        <v>891</v>
      </c>
      <c r="M957" s="117">
        <v>96898526</v>
      </c>
      <c r="N957" s="117" t="s">
        <v>892</v>
      </c>
      <c r="O957" s="117" t="s">
        <v>893</v>
      </c>
      <c r="P957" s="117" t="s">
        <v>894</v>
      </c>
      <c r="Q957" s="118">
        <v>80057501</v>
      </c>
      <c r="R957" s="119" t="s">
        <v>895</v>
      </c>
      <c r="S957" s="119" t="s">
        <v>895</v>
      </c>
      <c r="T957" s="222"/>
      <c r="U957" s="222"/>
      <c r="V957" s="222"/>
      <c r="W957" s="230"/>
      <c r="X957" s="331">
        <f t="shared" si="44"/>
        <v>0</v>
      </c>
      <c r="Y957" s="222"/>
      <c r="Z957" s="272">
        <f t="shared" si="42"/>
        <v>0</v>
      </c>
      <c r="AA957" s="331"/>
      <c r="AB957" s="331"/>
      <c r="AC957" s="331"/>
      <c r="AD957" s="331"/>
      <c r="AE957" s="331"/>
      <c r="AF957" s="331"/>
      <c r="AG957" s="331"/>
      <c r="AH957" s="241">
        <f t="shared" ca="1" si="43"/>
        <v>46153</v>
      </c>
      <c r="AI957" s="272"/>
      <c r="AJ957" s="222"/>
      <c r="AK957" s="222"/>
    </row>
    <row r="958" spans="1:37" s="345" customFormat="1" ht="23" hidden="1">
      <c r="A958" s="111">
        <v>264</v>
      </c>
      <c r="B958" s="112">
        <v>16</v>
      </c>
      <c r="C958" s="122" t="s">
        <v>2805</v>
      </c>
      <c r="D958" s="557" t="s">
        <v>2806</v>
      </c>
      <c r="E958" s="123" t="s">
        <v>2807</v>
      </c>
      <c r="F958" s="116" t="s">
        <v>1122</v>
      </c>
      <c r="G958" s="116" t="s">
        <v>893</v>
      </c>
      <c r="H958" s="116">
        <v>13.698814199999999</v>
      </c>
      <c r="I958" s="116">
        <v>100.4837093</v>
      </c>
      <c r="J958" s="115" t="s">
        <v>2108</v>
      </c>
      <c r="K958" s="117" t="s">
        <v>2109</v>
      </c>
      <c r="L958" s="117" t="s">
        <v>2110</v>
      </c>
      <c r="M958" s="121" t="s">
        <v>972</v>
      </c>
      <c r="N958" s="121" t="s">
        <v>972</v>
      </c>
      <c r="O958" s="117" t="s">
        <v>893</v>
      </c>
      <c r="P958" s="117" t="s">
        <v>1876</v>
      </c>
      <c r="Q958" s="125" t="s">
        <v>972</v>
      </c>
      <c r="R958" s="125" t="s">
        <v>972</v>
      </c>
      <c r="S958" s="125" t="s">
        <v>972</v>
      </c>
      <c r="T958" s="222"/>
      <c r="U958" s="222"/>
      <c r="V958" s="222"/>
      <c r="W958" s="230"/>
      <c r="X958" s="331">
        <f t="shared" si="44"/>
        <v>0</v>
      </c>
      <c r="Y958" s="222"/>
      <c r="Z958" s="272">
        <f t="shared" si="42"/>
        <v>0</v>
      </c>
      <c r="AA958" s="331"/>
      <c r="AB958" s="331"/>
      <c r="AC958" s="331"/>
      <c r="AD958" s="331"/>
      <c r="AE958" s="331"/>
      <c r="AF958" s="331"/>
      <c r="AG958" s="331"/>
      <c r="AH958" s="241">
        <f t="shared" ca="1" si="43"/>
        <v>46153</v>
      </c>
      <c r="AI958" s="272"/>
      <c r="AJ958" s="222"/>
      <c r="AK958" s="222"/>
    </row>
    <row r="959" spans="1:37" ht="23.25" hidden="1" customHeight="1">
      <c r="A959" s="111">
        <v>509</v>
      </c>
      <c r="B959" s="112">
        <v>9</v>
      </c>
      <c r="C959" s="113" t="s">
        <v>1463</v>
      </c>
      <c r="D959" s="147" t="s">
        <v>1464</v>
      </c>
      <c r="E959" s="114" t="s">
        <v>1465</v>
      </c>
      <c r="F959" s="115" t="s">
        <v>1466</v>
      </c>
      <c r="G959" s="115" t="s">
        <v>1000</v>
      </c>
      <c r="H959" s="116">
        <v>13.7623522</v>
      </c>
      <c r="I959" s="116">
        <v>100.5227565</v>
      </c>
      <c r="J959" s="116" t="s">
        <v>890</v>
      </c>
      <c r="K959" s="117" t="s">
        <v>891</v>
      </c>
      <c r="L959" s="117" t="s">
        <v>891</v>
      </c>
      <c r="M959" s="117">
        <v>96895450</v>
      </c>
      <c r="N959" s="117" t="s">
        <v>892</v>
      </c>
      <c r="O959" s="117" t="s">
        <v>958</v>
      </c>
      <c r="P959" s="117" t="s">
        <v>902</v>
      </c>
      <c r="Q959" s="118">
        <v>80057501</v>
      </c>
      <c r="R959" s="119" t="s">
        <v>895</v>
      </c>
      <c r="S959" s="119" t="s">
        <v>895</v>
      </c>
      <c r="T959" s="222"/>
      <c r="U959" s="222"/>
      <c r="V959" s="222"/>
      <c r="W959" s="230"/>
      <c r="X959" s="331">
        <f t="shared" si="44"/>
        <v>0</v>
      </c>
      <c r="Y959" s="222"/>
      <c r="Z959" s="272">
        <f t="shared" si="42"/>
        <v>0</v>
      </c>
      <c r="AA959" s="331"/>
      <c r="AB959" s="331"/>
      <c r="AC959" s="331"/>
      <c r="AD959" s="331"/>
      <c r="AE959" s="331"/>
      <c r="AF959" s="331"/>
      <c r="AG959" s="331"/>
      <c r="AH959" s="241">
        <f t="shared" ca="1" si="43"/>
        <v>46153</v>
      </c>
      <c r="AI959" s="272"/>
      <c r="AJ959" s="222"/>
      <c r="AK959" s="222"/>
    </row>
    <row r="960" spans="1:37" ht="23" hidden="1">
      <c r="A960" s="111">
        <v>334</v>
      </c>
      <c r="B960" s="112" t="s">
        <v>1114</v>
      </c>
      <c r="C960" s="113" t="s">
        <v>2956</v>
      </c>
      <c r="D960" s="147" t="s">
        <v>2957</v>
      </c>
      <c r="E960" s="114" t="s">
        <v>2958</v>
      </c>
      <c r="F960" s="115" t="s">
        <v>2959</v>
      </c>
      <c r="G960" s="115" t="s">
        <v>990</v>
      </c>
      <c r="H960" s="116">
        <v>13.742766</v>
      </c>
      <c r="I960" s="116">
        <v>100.516201</v>
      </c>
      <c r="J960" s="116" t="s">
        <v>969</v>
      </c>
      <c r="K960" s="116" t="s">
        <v>970</v>
      </c>
      <c r="L960" s="117" t="s">
        <v>2960</v>
      </c>
      <c r="M960" s="117">
        <v>96937691</v>
      </c>
      <c r="N960" s="121" t="s">
        <v>892</v>
      </c>
      <c r="O960" s="121" t="s">
        <v>1581</v>
      </c>
      <c r="P960" s="136" t="s">
        <v>894</v>
      </c>
      <c r="Q960" s="125" t="s">
        <v>972</v>
      </c>
      <c r="R960" s="125" t="s">
        <v>972</v>
      </c>
      <c r="S960" s="125" t="s">
        <v>972</v>
      </c>
      <c r="T960" s="222"/>
      <c r="U960" s="222"/>
      <c r="V960" s="222"/>
      <c r="W960" s="230"/>
      <c r="X960" s="331">
        <f t="shared" si="44"/>
        <v>0</v>
      </c>
      <c r="Y960" s="222"/>
      <c r="Z960" s="272">
        <f t="shared" si="42"/>
        <v>0</v>
      </c>
      <c r="AA960" s="331"/>
      <c r="AB960" s="331"/>
      <c r="AC960" s="331"/>
      <c r="AD960" s="331"/>
      <c r="AE960" s="331"/>
      <c r="AF960" s="331"/>
      <c r="AG960" s="331"/>
      <c r="AH960" s="241">
        <f t="shared" ca="1" si="43"/>
        <v>46153</v>
      </c>
      <c r="AI960" s="272"/>
      <c r="AJ960" s="222"/>
      <c r="AK960" s="222"/>
    </row>
    <row r="961" spans="1:37" s="570" customFormat="1" ht="23.25" customHeight="1">
      <c r="A961" s="558">
        <v>586</v>
      </c>
      <c r="B961" s="559">
        <v>3</v>
      </c>
      <c r="C961" s="560" t="s">
        <v>3587</v>
      </c>
      <c r="D961" s="557" t="s">
        <v>3588</v>
      </c>
      <c r="E961" s="561" t="s">
        <v>3589</v>
      </c>
      <c r="F961" s="563" t="s">
        <v>2959</v>
      </c>
      <c r="G961" s="563" t="s">
        <v>990</v>
      </c>
      <c r="H961" s="562">
        <v>13.744666</v>
      </c>
      <c r="I961" s="562">
        <v>100.5164142</v>
      </c>
      <c r="J961" s="562" t="s">
        <v>969</v>
      </c>
      <c r="K961" s="563" t="s">
        <v>1048</v>
      </c>
      <c r="L961" s="564" t="s">
        <v>3590</v>
      </c>
      <c r="M961" s="565">
        <v>96937691</v>
      </c>
      <c r="N961" s="565" t="s">
        <v>892</v>
      </c>
      <c r="O961" s="565" t="s">
        <v>1581</v>
      </c>
      <c r="P961" s="564" t="s">
        <v>1876</v>
      </c>
      <c r="Q961" s="125" t="s">
        <v>972</v>
      </c>
      <c r="R961" s="125" t="s">
        <v>972</v>
      </c>
      <c r="S961" s="125" t="s">
        <v>972</v>
      </c>
      <c r="T961" s="566"/>
      <c r="U961" s="566"/>
      <c r="V961" s="566"/>
      <c r="W961" s="567"/>
      <c r="X961" s="568">
        <f t="shared" si="44"/>
        <v>0</v>
      </c>
      <c r="Y961" s="566"/>
      <c r="Z961" s="569">
        <f t="shared" si="42"/>
        <v>0</v>
      </c>
      <c r="AA961" s="568"/>
      <c r="AB961" s="568"/>
      <c r="AC961" s="568"/>
      <c r="AD961" s="568"/>
      <c r="AE961" s="568"/>
      <c r="AF961" s="568"/>
      <c r="AG961" s="568"/>
      <c r="AH961" s="568">
        <f t="shared" ca="1" si="43"/>
        <v>46153</v>
      </c>
      <c r="AI961" s="569"/>
      <c r="AJ961" s="566"/>
      <c r="AK961" s="566"/>
    </row>
    <row r="962" spans="1:37" ht="23.25" hidden="1" customHeight="1">
      <c r="A962" s="111">
        <v>587</v>
      </c>
      <c r="B962" s="112">
        <v>7</v>
      </c>
      <c r="C962" s="113" t="s">
        <v>3591</v>
      </c>
      <c r="D962" s="147" t="s">
        <v>3592</v>
      </c>
      <c r="E962" s="114" t="s">
        <v>3593</v>
      </c>
      <c r="F962" s="115" t="s">
        <v>2959</v>
      </c>
      <c r="G962" s="115" t="s">
        <v>990</v>
      </c>
      <c r="H962" s="116">
        <v>13.744249999999999</v>
      </c>
      <c r="I962" s="116">
        <v>100.516228</v>
      </c>
      <c r="J962" s="116" t="s">
        <v>969</v>
      </c>
      <c r="K962" s="115" t="s">
        <v>1048</v>
      </c>
      <c r="L962" s="117" t="s">
        <v>3590</v>
      </c>
      <c r="M962" s="117">
        <v>96937691</v>
      </c>
      <c r="N962" s="121" t="s">
        <v>892</v>
      </c>
      <c r="O962" s="121" t="s">
        <v>1581</v>
      </c>
      <c r="P962" s="117" t="s">
        <v>1876</v>
      </c>
      <c r="Q962" s="125" t="s">
        <v>972</v>
      </c>
      <c r="R962" s="125" t="s">
        <v>972</v>
      </c>
      <c r="S962" s="125" t="s">
        <v>972</v>
      </c>
      <c r="T962" s="222"/>
      <c r="U962" s="222"/>
      <c r="V962" s="222"/>
      <c r="W962" s="230"/>
      <c r="X962" s="331">
        <f t="shared" si="44"/>
        <v>0</v>
      </c>
      <c r="Y962" s="222"/>
      <c r="Z962" s="272">
        <f t="shared" si="42"/>
        <v>0</v>
      </c>
      <c r="AA962" s="331"/>
      <c r="AB962" s="331"/>
      <c r="AC962" s="331"/>
      <c r="AD962" s="331"/>
      <c r="AE962" s="331"/>
      <c r="AF962" s="331"/>
      <c r="AG962" s="331"/>
      <c r="AH962" s="241">
        <f t="shared" ca="1" si="43"/>
        <v>46153</v>
      </c>
      <c r="AI962" s="272"/>
      <c r="AJ962" s="222"/>
      <c r="AK962" s="222"/>
    </row>
    <row r="963" spans="1:37" s="345" customFormat="1" ht="23" hidden="1">
      <c r="A963" s="111">
        <v>715</v>
      </c>
      <c r="B963" s="112">
        <v>9</v>
      </c>
      <c r="C963" s="122" t="s">
        <v>4746</v>
      </c>
      <c r="D963" s="147" t="s">
        <v>4747</v>
      </c>
      <c r="E963" s="114" t="s">
        <v>4748</v>
      </c>
      <c r="F963" s="115" t="s">
        <v>1451</v>
      </c>
      <c r="G963" s="115" t="s">
        <v>1542</v>
      </c>
      <c r="H963" s="115">
        <v>13.7221417</v>
      </c>
      <c r="I963" s="117">
        <v>100.5307966</v>
      </c>
      <c r="J963" s="116" t="s">
        <v>890</v>
      </c>
      <c r="K963" s="115" t="s">
        <v>1212</v>
      </c>
      <c r="L963" s="117" t="s">
        <v>1213</v>
      </c>
      <c r="M963" s="117">
        <v>96597238</v>
      </c>
      <c r="N963" s="121" t="s">
        <v>892</v>
      </c>
      <c r="O963" s="121" t="s">
        <v>918</v>
      </c>
      <c r="P963" s="117" t="s">
        <v>2667</v>
      </c>
      <c r="Q963" s="125" t="s">
        <v>972</v>
      </c>
      <c r="R963" s="125" t="s">
        <v>972</v>
      </c>
      <c r="S963" s="125" t="s">
        <v>4749</v>
      </c>
      <c r="T963" s="222"/>
      <c r="U963" s="222"/>
      <c r="V963" s="222"/>
      <c r="W963" s="230"/>
      <c r="X963" s="331">
        <f t="shared" si="44"/>
        <v>0</v>
      </c>
      <c r="Y963" s="222"/>
      <c r="Z963" s="272">
        <f t="shared" ref="Z963:Z1026" si="45">DATEDIF(X963,Y963,"d")</f>
        <v>0</v>
      </c>
      <c r="AA963" s="331"/>
      <c r="AB963" s="331"/>
      <c r="AC963" s="331"/>
      <c r="AD963" s="331"/>
      <c r="AE963" s="331"/>
      <c r="AF963" s="331"/>
      <c r="AG963" s="331"/>
      <c r="AH963" s="241">
        <f t="shared" ref="AH963:AH1026" ca="1" si="46">TODAY()</f>
        <v>46153</v>
      </c>
      <c r="AI963" s="272"/>
      <c r="AJ963" s="222"/>
      <c r="AK963" s="222"/>
    </row>
    <row r="964" spans="1:37" ht="23.25" hidden="1" customHeight="1">
      <c r="A964" s="111">
        <v>485</v>
      </c>
      <c r="B964" s="112">
        <v>12</v>
      </c>
      <c r="C964" s="122" t="s">
        <v>1447</v>
      </c>
      <c r="D964" s="147" t="s">
        <v>1448</v>
      </c>
      <c r="E964" s="123" t="s">
        <v>1449</v>
      </c>
      <c r="F964" s="116" t="s">
        <v>1450</v>
      </c>
      <c r="G964" s="116" t="s">
        <v>1451</v>
      </c>
      <c r="H964" s="116">
        <v>13.7235777</v>
      </c>
      <c r="I964" s="116">
        <v>100.536507</v>
      </c>
      <c r="J964" s="116" t="s">
        <v>890</v>
      </c>
      <c r="K964" s="117" t="s">
        <v>891</v>
      </c>
      <c r="L964" s="117" t="s">
        <v>891</v>
      </c>
      <c r="M964" s="117">
        <v>96898361</v>
      </c>
      <c r="N964" s="117" t="s">
        <v>892</v>
      </c>
      <c r="O964" s="121" t="s">
        <v>918</v>
      </c>
      <c r="P964" s="118" t="s">
        <v>894</v>
      </c>
      <c r="Q964" s="118">
        <v>80057501</v>
      </c>
      <c r="R964" s="138" t="s">
        <v>895</v>
      </c>
      <c r="S964" s="119" t="s">
        <v>895</v>
      </c>
      <c r="T964" s="222"/>
      <c r="U964" s="222"/>
      <c r="V964" s="222"/>
      <c r="W964" s="230"/>
      <c r="X964" s="331">
        <f t="shared" ref="X964:X1027" si="47">V964+(W964)</f>
        <v>0</v>
      </c>
      <c r="Y964" s="222"/>
      <c r="Z964" s="272">
        <f t="shared" si="45"/>
        <v>0</v>
      </c>
      <c r="AA964" s="331"/>
      <c r="AB964" s="331"/>
      <c r="AC964" s="331"/>
      <c r="AD964" s="331"/>
      <c r="AE964" s="331"/>
      <c r="AF964" s="331"/>
      <c r="AG964" s="331"/>
      <c r="AH964" s="241">
        <f t="shared" ca="1" si="46"/>
        <v>46153</v>
      </c>
      <c r="AI964" s="272"/>
      <c r="AJ964" s="222"/>
      <c r="AK964" s="222"/>
    </row>
    <row r="965" spans="1:37" ht="23.25" hidden="1" customHeight="1">
      <c r="A965" s="111">
        <v>499</v>
      </c>
      <c r="B965" s="112">
        <v>2</v>
      </c>
      <c r="C965" s="113" t="s">
        <v>1452</v>
      </c>
      <c r="D965" s="147" t="s">
        <v>1453</v>
      </c>
      <c r="E965" s="114" t="s">
        <v>1454</v>
      </c>
      <c r="F965" s="115" t="s">
        <v>1450</v>
      </c>
      <c r="G965" s="115" t="s">
        <v>1451</v>
      </c>
      <c r="H965" s="116">
        <v>13.72242</v>
      </c>
      <c r="I965" s="116">
        <v>100.532661</v>
      </c>
      <c r="J965" s="116" t="s">
        <v>890</v>
      </c>
      <c r="K965" s="117" t="s">
        <v>891</v>
      </c>
      <c r="L965" s="117" t="s">
        <v>891</v>
      </c>
      <c r="M965" s="117">
        <v>96898368</v>
      </c>
      <c r="N965" s="117" t="s">
        <v>892</v>
      </c>
      <c r="O965" s="121" t="s">
        <v>918</v>
      </c>
      <c r="P965" s="117" t="s">
        <v>894</v>
      </c>
      <c r="Q965" s="118">
        <v>80057501</v>
      </c>
      <c r="R965" s="119" t="s">
        <v>895</v>
      </c>
      <c r="S965" s="119" t="s">
        <v>895</v>
      </c>
      <c r="T965" s="222"/>
      <c r="U965" s="222"/>
      <c r="V965" s="222"/>
      <c r="W965" s="230"/>
      <c r="X965" s="331">
        <f t="shared" si="47"/>
        <v>0</v>
      </c>
      <c r="Y965" s="222"/>
      <c r="Z965" s="272">
        <f t="shared" si="45"/>
        <v>0</v>
      </c>
      <c r="AA965" s="331"/>
      <c r="AB965" s="331"/>
      <c r="AC965" s="331"/>
      <c r="AD965" s="331"/>
      <c r="AE965" s="331"/>
      <c r="AF965" s="331"/>
      <c r="AG965" s="331"/>
      <c r="AH965" s="241">
        <f t="shared" ca="1" si="46"/>
        <v>46153</v>
      </c>
      <c r="AI965" s="272"/>
      <c r="AJ965" s="222"/>
      <c r="AK965" s="222"/>
    </row>
    <row r="966" spans="1:37" ht="23" hidden="1">
      <c r="A966" s="111">
        <v>814</v>
      </c>
      <c r="B966" s="112" t="s">
        <v>1071</v>
      </c>
      <c r="C966" s="122" t="s">
        <v>1785</v>
      </c>
      <c r="D966" s="147" t="s">
        <v>1786</v>
      </c>
      <c r="E966" s="132" t="s">
        <v>1787</v>
      </c>
      <c r="F966" s="116" t="s">
        <v>1450</v>
      </c>
      <c r="G966" s="116" t="s">
        <v>1451</v>
      </c>
      <c r="H966" s="117">
        <v>13.720295200000001</v>
      </c>
      <c r="I966" s="117">
        <v>100.5254192</v>
      </c>
      <c r="J966" s="121" t="s">
        <v>890</v>
      </c>
      <c r="K966" s="121" t="s">
        <v>891</v>
      </c>
      <c r="L966" s="121" t="s">
        <v>891</v>
      </c>
      <c r="M966" s="118">
        <v>96890828</v>
      </c>
      <c r="N966" s="121" t="s">
        <v>892</v>
      </c>
      <c r="O966" s="121"/>
      <c r="P966" s="127" t="s">
        <v>1076</v>
      </c>
      <c r="Q966" s="118">
        <v>80057501</v>
      </c>
      <c r="R966" s="119" t="s">
        <v>895</v>
      </c>
      <c r="S966" s="119" t="s">
        <v>895</v>
      </c>
      <c r="T966" s="222"/>
      <c r="U966" s="222"/>
      <c r="V966" s="222"/>
      <c r="W966" s="230"/>
      <c r="X966" s="331">
        <f t="shared" si="47"/>
        <v>0</v>
      </c>
      <c r="Y966" s="222"/>
      <c r="Z966" s="272">
        <f t="shared" si="45"/>
        <v>0</v>
      </c>
      <c r="AA966" s="331"/>
      <c r="AB966" s="331"/>
      <c r="AC966" s="331"/>
      <c r="AD966" s="331"/>
      <c r="AE966" s="331"/>
      <c r="AF966" s="331"/>
      <c r="AG966" s="331"/>
      <c r="AH966" s="241">
        <f t="shared" ca="1" si="46"/>
        <v>46153</v>
      </c>
      <c r="AI966" s="272"/>
      <c r="AJ966" s="222"/>
      <c r="AK966" s="222"/>
    </row>
    <row r="967" spans="1:37" ht="23.25" hidden="1" customHeight="1">
      <c r="A967" s="111">
        <v>1009</v>
      </c>
      <c r="B967" s="112">
        <v>4</v>
      </c>
      <c r="C967" s="113" t="s">
        <v>1950</v>
      </c>
      <c r="D967" s="147" t="s">
        <v>1951</v>
      </c>
      <c r="E967" s="114" t="s">
        <v>1952</v>
      </c>
      <c r="F967" s="115" t="s">
        <v>1450</v>
      </c>
      <c r="G967" s="115" t="s">
        <v>1451</v>
      </c>
      <c r="H967" s="116">
        <v>13.721334000000001</v>
      </c>
      <c r="I967" s="116">
        <v>100.52893299999999</v>
      </c>
      <c r="J967" s="116" t="s">
        <v>890</v>
      </c>
      <c r="K967" s="117" t="s">
        <v>891</v>
      </c>
      <c r="L967" s="118" t="s">
        <v>891</v>
      </c>
      <c r="M967" s="117">
        <v>96898374</v>
      </c>
      <c r="N967" s="117" t="s">
        <v>892</v>
      </c>
      <c r="O967" s="121" t="s">
        <v>918</v>
      </c>
      <c r="P967" s="118" t="s">
        <v>894</v>
      </c>
      <c r="Q967" s="118">
        <v>80057501</v>
      </c>
      <c r="R967" s="138" t="s">
        <v>895</v>
      </c>
      <c r="S967" s="119" t="s">
        <v>895</v>
      </c>
      <c r="T967" s="222"/>
      <c r="U967" s="222"/>
      <c r="V967" s="222"/>
      <c r="W967" s="230"/>
      <c r="X967" s="331">
        <f t="shared" si="47"/>
        <v>0</v>
      </c>
      <c r="Y967" s="222"/>
      <c r="Z967" s="272">
        <f t="shared" si="45"/>
        <v>0</v>
      </c>
      <c r="AA967" s="331"/>
      <c r="AB967" s="331"/>
      <c r="AC967" s="331"/>
      <c r="AD967" s="331"/>
      <c r="AE967" s="331"/>
      <c r="AF967" s="331"/>
      <c r="AG967" s="331"/>
      <c r="AH967" s="241">
        <f t="shared" ca="1" si="46"/>
        <v>46153</v>
      </c>
      <c r="AI967" s="272"/>
      <c r="AJ967" s="222"/>
      <c r="AK967" s="222"/>
    </row>
    <row r="968" spans="1:37" ht="23" hidden="1">
      <c r="A968" s="111">
        <v>148</v>
      </c>
      <c r="B968" s="112">
        <v>11</v>
      </c>
      <c r="C968" s="113" t="s">
        <v>2487</v>
      </c>
      <c r="D968" s="147" t="s">
        <v>2488</v>
      </c>
      <c r="E968" s="114" t="s">
        <v>2489</v>
      </c>
      <c r="F968" s="115" t="s">
        <v>1450</v>
      </c>
      <c r="G968" s="115" t="s">
        <v>1451</v>
      </c>
      <c r="H968" s="117">
        <v>13.723411799999999</v>
      </c>
      <c r="I968" s="117">
        <v>100.5358545</v>
      </c>
      <c r="J968" s="116" t="s">
        <v>969</v>
      </c>
      <c r="K968" s="116" t="s">
        <v>970</v>
      </c>
      <c r="L968" s="117" t="s">
        <v>2490</v>
      </c>
      <c r="M968" s="117">
        <v>96937940</v>
      </c>
      <c r="N968" s="121" t="s">
        <v>892</v>
      </c>
      <c r="O968" s="121" t="s">
        <v>918</v>
      </c>
      <c r="P968" s="117" t="s">
        <v>894</v>
      </c>
      <c r="Q968" s="125" t="s">
        <v>972</v>
      </c>
      <c r="R968" s="130" t="s">
        <v>972</v>
      </c>
      <c r="S968" s="125" t="s">
        <v>972</v>
      </c>
      <c r="T968" s="222"/>
      <c r="U968" s="222"/>
      <c r="V968" s="222"/>
      <c r="W968" s="230"/>
      <c r="X968" s="331">
        <f t="shared" si="47"/>
        <v>0</v>
      </c>
      <c r="Y968" s="222"/>
      <c r="Z968" s="272">
        <f t="shared" si="45"/>
        <v>0</v>
      </c>
      <c r="AA968" s="331"/>
      <c r="AB968" s="331"/>
      <c r="AC968" s="331"/>
      <c r="AD968" s="331"/>
      <c r="AE968" s="331"/>
      <c r="AF968" s="331"/>
      <c r="AG968" s="331"/>
      <c r="AH968" s="241">
        <f t="shared" ca="1" si="46"/>
        <v>46153</v>
      </c>
      <c r="AI968" s="272"/>
      <c r="AJ968" s="222"/>
      <c r="AK968" s="222"/>
    </row>
    <row r="969" spans="1:37" s="356" customFormat="1" ht="23" hidden="1">
      <c r="A969" s="111">
        <v>287</v>
      </c>
      <c r="B969" s="112">
        <v>10</v>
      </c>
      <c r="C969" s="113" t="s">
        <v>2521</v>
      </c>
      <c r="D969" s="147" t="s">
        <v>2522</v>
      </c>
      <c r="E969" s="114" t="s">
        <v>2523</v>
      </c>
      <c r="F969" s="115" t="s">
        <v>1450</v>
      </c>
      <c r="G969" s="115" t="s">
        <v>1451</v>
      </c>
      <c r="H969" s="116">
        <v>13.7215699</v>
      </c>
      <c r="I969" s="116">
        <v>100.52979860000001</v>
      </c>
      <c r="J969" s="115" t="s">
        <v>890</v>
      </c>
      <c r="K969" s="117" t="s">
        <v>1212</v>
      </c>
      <c r="L969" s="117" t="s">
        <v>1213</v>
      </c>
      <c r="M969" s="121">
        <v>21037845</v>
      </c>
      <c r="N969" s="121" t="s">
        <v>892</v>
      </c>
      <c r="O969" s="121" t="s">
        <v>918</v>
      </c>
      <c r="P969" s="117" t="s">
        <v>894</v>
      </c>
      <c r="Q969" s="125" t="s">
        <v>972</v>
      </c>
      <c r="R969" s="125" t="s">
        <v>972</v>
      </c>
      <c r="S969" s="125" t="s">
        <v>895</v>
      </c>
      <c r="T969" s="222"/>
      <c r="U969" s="222"/>
      <c r="V969" s="222"/>
      <c r="W969" s="230"/>
      <c r="X969" s="331">
        <f t="shared" si="47"/>
        <v>0</v>
      </c>
      <c r="Y969" s="222"/>
      <c r="Z969" s="272">
        <f t="shared" si="45"/>
        <v>0</v>
      </c>
      <c r="AA969" s="331"/>
      <c r="AB969" s="331"/>
      <c r="AC969" s="331"/>
      <c r="AD969" s="331"/>
      <c r="AE969" s="331"/>
      <c r="AF969" s="331"/>
      <c r="AG969" s="331"/>
      <c r="AH969" s="241">
        <f t="shared" ca="1" si="46"/>
        <v>46153</v>
      </c>
      <c r="AI969" s="272"/>
      <c r="AJ969" s="222"/>
      <c r="AK969" s="222"/>
    </row>
    <row r="970" spans="1:37" ht="23" hidden="1">
      <c r="A970" s="111">
        <v>168</v>
      </c>
      <c r="B970" s="112">
        <v>8</v>
      </c>
      <c r="C970" s="122" t="s">
        <v>2536</v>
      </c>
      <c r="D970" s="147" t="s">
        <v>2537</v>
      </c>
      <c r="E970" s="123" t="s">
        <v>2538</v>
      </c>
      <c r="F970" s="116" t="s">
        <v>1450</v>
      </c>
      <c r="G970" s="116" t="s">
        <v>1451</v>
      </c>
      <c r="H970" s="116">
        <v>13.722916</v>
      </c>
      <c r="I970" s="116">
        <v>100.53432859999999</v>
      </c>
      <c r="J970" s="116" t="s">
        <v>969</v>
      </c>
      <c r="K970" s="115" t="s">
        <v>1048</v>
      </c>
      <c r="L970" s="117" t="s">
        <v>3336</v>
      </c>
      <c r="M970" s="117">
        <v>96937940</v>
      </c>
      <c r="N970" s="121" t="s">
        <v>892</v>
      </c>
      <c r="O970" s="135" t="s">
        <v>918</v>
      </c>
      <c r="P970" s="136" t="s">
        <v>894</v>
      </c>
      <c r="Q970" s="125" t="s">
        <v>972</v>
      </c>
      <c r="R970" s="125" t="s">
        <v>972</v>
      </c>
      <c r="S970" s="125" t="s">
        <v>972</v>
      </c>
      <c r="T970" s="222"/>
      <c r="U970" s="222"/>
      <c r="V970" s="222"/>
      <c r="W970" s="230"/>
      <c r="X970" s="331">
        <f t="shared" si="47"/>
        <v>0</v>
      </c>
      <c r="Y970" s="222"/>
      <c r="Z970" s="272">
        <f t="shared" si="45"/>
        <v>0</v>
      </c>
      <c r="AA970" s="331"/>
      <c r="AB970" s="331"/>
      <c r="AC970" s="331"/>
      <c r="AD970" s="331"/>
      <c r="AE970" s="331"/>
      <c r="AF970" s="331"/>
      <c r="AG970" s="331"/>
      <c r="AH970" s="241">
        <f t="shared" ca="1" si="46"/>
        <v>46153</v>
      </c>
      <c r="AI970" s="272"/>
      <c r="AJ970" s="222"/>
      <c r="AK970" s="222"/>
    </row>
    <row r="971" spans="1:37" ht="23.25" hidden="1" customHeight="1">
      <c r="A971" s="111">
        <v>213</v>
      </c>
      <c r="B971" s="112" t="s">
        <v>1114</v>
      </c>
      <c r="C971" s="113" t="s">
        <v>2663</v>
      </c>
      <c r="D971" s="147" t="s">
        <v>2664</v>
      </c>
      <c r="E971" s="114" t="s">
        <v>2665</v>
      </c>
      <c r="F971" s="115" t="s">
        <v>1450</v>
      </c>
      <c r="G971" s="115" t="s">
        <v>1451</v>
      </c>
      <c r="H971" s="116">
        <v>13.718429199999999</v>
      </c>
      <c r="I971" s="116">
        <v>100.5190705</v>
      </c>
      <c r="J971" s="116" t="s">
        <v>969</v>
      </c>
      <c r="K971" s="115" t="s">
        <v>1048</v>
      </c>
      <c r="L971" s="117" t="s">
        <v>2666</v>
      </c>
      <c r="M971" s="117">
        <v>96938019</v>
      </c>
      <c r="N971" s="121" t="s">
        <v>892</v>
      </c>
      <c r="O971" s="121" t="s">
        <v>918</v>
      </c>
      <c r="P971" s="117" t="s">
        <v>2667</v>
      </c>
      <c r="Q971" s="125" t="s">
        <v>972</v>
      </c>
      <c r="R971" s="125" t="s">
        <v>972</v>
      </c>
      <c r="S971" s="125" t="s">
        <v>972</v>
      </c>
      <c r="T971" s="222"/>
      <c r="U971" s="222"/>
      <c r="V971" s="222"/>
      <c r="W971" s="230"/>
      <c r="X971" s="331">
        <f t="shared" si="47"/>
        <v>0</v>
      </c>
      <c r="Y971" s="222"/>
      <c r="Z971" s="272">
        <f t="shared" si="45"/>
        <v>0</v>
      </c>
      <c r="AA971" s="331"/>
      <c r="AB971" s="331"/>
      <c r="AC971" s="331"/>
      <c r="AD971" s="331"/>
      <c r="AE971" s="331"/>
      <c r="AF971" s="331"/>
      <c r="AG971" s="331"/>
      <c r="AH971" s="241">
        <f t="shared" ca="1" si="46"/>
        <v>46153</v>
      </c>
      <c r="AI971" s="272"/>
      <c r="AJ971" s="222"/>
      <c r="AK971" s="222"/>
    </row>
    <row r="972" spans="1:37" ht="23" hidden="1">
      <c r="A972" s="111">
        <v>490</v>
      </c>
      <c r="B972" s="112">
        <v>13</v>
      </c>
      <c r="C972" s="113" t="s">
        <v>3333</v>
      </c>
      <c r="D972" s="147" t="s">
        <v>3334</v>
      </c>
      <c r="E972" s="114" t="s">
        <v>3335</v>
      </c>
      <c r="F972" s="115" t="s">
        <v>1450</v>
      </c>
      <c r="G972" s="115" t="s">
        <v>1451</v>
      </c>
      <c r="H972" s="116">
        <v>13.722956</v>
      </c>
      <c r="I972" s="116">
        <v>100.534781</v>
      </c>
      <c r="J972" s="116" t="s">
        <v>969</v>
      </c>
      <c r="K972" s="115" t="s">
        <v>1048</v>
      </c>
      <c r="L972" s="117" t="s">
        <v>3336</v>
      </c>
      <c r="M972" s="117">
        <v>96937940</v>
      </c>
      <c r="N972" s="121" t="s">
        <v>892</v>
      </c>
      <c r="O972" s="121" t="s">
        <v>984</v>
      </c>
      <c r="P972" s="136" t="s">
        <v>894</v>
      </c>
      <c r="Q972" s="125" t="s">
        <v>972</v>
      </c>
      <c r="R972" s="130" t="s">
        <v>972</v>
      </c>
      <c r="S972" s="125" t="s">
        <v>972</v>
      </c>
      <c r="T972" s="222"/>
      <c r="U972" s="222"/>
      <c r="V972" s="222"/>
      <c r="W972" s="230"/>
      <c r="X972" s="331">
        <f t="shared" si="47"/>
        <v>0</v>
      </c>
      <c r="Y972" s="222"/>
      <c r="Z972" s="272">
        <f t="shared" si="45"/>
        <v>0</v>
      </c>
      <c r="AA972" s="331"/>
      <c r="AB972" s="331"/>
      <c r="AC972" s="331"/>
      <c r="AD972" s="331"/>
      <c r="AE972" s="331"/>
      <c r="AF972" s="331"/>
      <c r="AG972" s="331"/>
      <c r="AH972" s="241">
        <f t="shared" ca="1" si="46"/>
        <v>46153</v>
      </c>
      <c r="AI972" s="272"/>
      <c r="AJ972" s="222"/>
      <c r="AK972" s="222"/>
    </row>
    <row r="973" spans="1:37" ht="23.25" hidden="1" customHeight="1">
      <c r="A973" s="111">
        <v>510</v>
      </c>
      <c r="B973" s="112" t="s">
        <v>1553</v>
      </c>
      <c r="C973" s="113" t="s">
        <v>3393</v>
      </c>
      <c r="D973" s="147" t="s">
        <v>3394</v>
      </c>
      <c r="E973" s="169" t="s">
        <v>3395</v>
      </c>
      <c r="F973" s="117" t="s">
        <v>1450</v>
      </c>
      <c r="G973" s="117" t="s">
        <v>1451</v>
      </c>
      <c r="H973" s="494">
        <v>13.7198045</v>
      </c>
      <c r="I973" s="494">
        <v>100.523786</v>
      </c>
      <c r="J973" s="116" t="s">
        <v>969</v>
      </c>
      <c r="K973" s="115" t="s">
        <v>1048</v>
      </c>
      <c r="L973" s="117" t="s">
        <v>3396</v>
      </c>
      <c r="M973" s="117">
        <v>96937933</v>
      </c>
      <c r="N973" s="121" t="s">
        <v>892</v>
      </c>
      <c r="O973" s="121" t="s">
        <v>918</v>
      </c>
      <c r="P973" s="136" t="s">
        <v>2667</v>
      </c>
      <c r="Q973" s="125" t="s">
        <v>972</v>
      </c>
      <c r="R973" s="130" t="s">
        <v>972</v>
      </c>
      <c r="S973" s="125" t="s">
        <v>972</v>
      </c>
      <c r="T973" s="222"/>
      <c r="U973" s="222"/>
      <c r="V973" s="222"/>
      <c r="W973" s="230"/>
      <c r="X973" s="331">
        <f t="shared" si="47"/>
        <v>0</v>
      </c>
      <c r="Y973" s="222"/>
      <c r="Z973" s="272">
        <f t="shared" si="45"/>
        <v>0</v>
      </c>
      <c r="AA973" s="331"/>
      <c r="AB973" s="331"/>
      <c r="AC973" s="331"/>
      <c r="AD973" s="331"/>
      <c r="AE973" s="331"/>
      <c r="AF973" s="331"/>
      <c r="AG973" s="331"/>
      <c r="AH973" s="241">
        <f t="shared" ca="1" si="46"/>
        <v>46153</v>
      </c>
      <c r="AI973" s="272"/>
      <c r="AJ973" s="222"/>
      <c r="AK973" s="222"/>
    </row>
    <row r="974" spans="1:37" ht="23" hidden="1">
      <c r="A974" s="111">
        <v>889</v>
      </c>
      <c r="B974" s="112">
        <v>1</v>
      </c>
      <c r="C974" s="113" t="s">
        <v>4313</v>
      </c>
      <c r="D974" s="147" t="s">
        <v>4314</v>
      </c>
      <c r="E974" s="114" t="s">
        <v>4315</v>
      </c>
      <c r="F974" s="115" t="s">
        <v>1450</v>
      </c>
      <c r="G974" s="115" t="s">
        <v>1451</v>
      </c>
      <c r="H974" s="116">
        <v>13.725852</v>
      </c>
      <c r="I974" s="116">
        <v>100.544231</v>
      </c>
      <c r="J974" s="116" t="s">
        <v>2097</v>
      </c>
      <c r="K974" s="116" t="s">
        <v>2097</v>
      </c>
      <c r="L974" s="118" t="s">
        <v>4316</v>
      </c>
      <c r="M974" s="116" t="s">
        <v>1347</v>
      </c>
      <c r="N974" s="121" t="s">
        <v>892</v>
      </c>
      <c r="O974" s="121" t="s">
        <v>984</v>
      </c>
      <c r="P974" s="118" t="s">
        <v>894</v>
      </c>
      <c r="Q974" s="125" t="s">
        <v>972</v>
      </c>
      <c r="R974" s="130" t="s">
        <v>972</v>
      </c>
      <c r="S974" s="125" t="s">
        <v>972</v>
      </c>
      <c r="T974" s="222"/>
      <c r="U974" s="222"/>
      <c r="V974" s="222"/>
      <c r="W974" s="230"/>
      <c r="X974" s="331">
        <f t="shared" si="47"/>
        <v>0</v>
      </c>
      <c r="Y974" s="222"/>
      <c r="Z974" s="272">
        <f t="shared" si="45"/>
        <v>0</v>
      </c>
      <c r="AA974" s="331"/>
      <c r="AB974" s="331"/>
      <c r="AC974" s="331"/>
      <c r="AD974" s="331"/>
      <c r="AE974" s="331"/>
      <c r="AF974" s="331"/>
      <c r="AG974" s="331"/>
      <c r="AH974" s="241">
        <f t="shared" ca="1" si="46"/>
        <v>46153</v>
      </c>
      <c r="AI974" s="272"/>
      <c r="AJ974" s="222"/>
      <c r="AK974" s="222"/>
    </row>
    <row r="975" spans="1:37" ht="23" hidden="1">
      <c r="A975" s="111">
        <v>1007</v>
      </c>
      <c r="B975" s="112" t="s">
        <v>979</v>
      </c>
      <c r="C975" s="113" t="s">
        <v>4629</v>
      </c>
      <c r="D975" s="147" t="s">
        <v>4630</v>
      </c>
      <c r="E975" s="114" t="s">
        <v>4631</v>
      </c>
      <c r="F975" s="115" t="s">
        <v>1450</v>
      </c>
      <c r="G975" s="115" t="s">
        <v>1451</v>
      </c>
      <c r="H975" s="115">
        <v>13.725437400000001</v>
      </c>
      <c r="I975" s="115">
        <v>100.54284920000001</v>
      </c>
      <c r="J975" s="116" t="s">
        <v>969</v>
      </c>
      <c r="K975" s="115" t="s">
        <v>1048</v>
      </c>
      <c r="L975" s="117" t="s">
        <v>4632</v>
      </c>
      <c r="M975" s="117">
        <v>96937924</v>
      </c>
      <c r="N975" s="121" t="s">
        <v>892</v>
      </c>
      <c r="O975" s="121" t="s">
        <v>984</v>
      </c>
      <c r="P975" s="117" t="s">
        <v>894</v>
      </c>
      <c r="Q975" s="125" t="s">
        <v>972</v>
      </c>
      <c r="R975" s="125" t="s">
        <v>972</v>
      </c>
      <c r="S975" s="125" t="s">
        <v>972</v>
      </c>
      <c r="T975" s="222"/>
      <c r="U975" s="222"/>
      <c r="V975" s="222"/>
      <c r="W975" s="230"/>
      <c r="X975" s="331">
        <f t="shared" si="47"/>
        <v>0</v>
      </c>
      <c r="Y975" s="222"/>
      <c r="Z975" s="272">
        <f t="shared" si="45"/>
        <v>0</v>
      </c>
      <c r="AA975" s="331"/>
      <c r="AB975" s="331"/>
      <c r="AC975" s="331"/>
      <c r="AD975" s="331"/>
      <c r="AE975" s="331"/>
      <c r="AF975" s="331"/>
      <c r="AG975" s="331"/>
      <c r="AH975" s="241">
        <f t="shared" ca="1" si="46"/>
        <v>46153</v>
      </c>
      <c r="AI975" s="272"/>
      <c r="AJ975" s="222"/>
      <c r="AK975" s="222"/>
    </row>
    <row r="976" spans="1:37" ht="23" hidden="1">
      <c r="A976" s="111">
        <v>1026</v>
      </c>
      <c r="B976" s="112">
        <v>16</v>
      </c>
      <c r="C976" s="122" t="s">
        <v>4674</v>
      </c>
      <c r="D976" s="147" t="s">
        <v>4675</v>
      </c>
      <c r="E976" s="123" t="s">
        <v>4676</v>
      </c>
      <c r="F976" s="116" t="s">
        <v>1450</v>
      </c>
      <c r="G976" s="116" t="s">
        <v>1451</v>
      </c>
      <c r="H976" s="116">
        <v>13.723725999999999</v>
      </c>
      <c r="I976" s="116">
        <v>100.53707540000001</v>
      </c>
      <c r="J976" s="116" t="s">
        <v>2097</v>
      </c>
      <c r="K976" s="116" t="s">
        <v>2097</v>
      </c>
      <c r="L976" s="117" t="s">
        <v>2098</v>
      </c>
      <c r="M976" s="116" t="s">
        <v>1347</v>
      </c>
      <c r="N976" s="121" t="s">
        <v>892</v>
      </c>
      <c r="O976" s="121" t="s">
        <v>984</v>
      </c>
      <c r="P976" s="117" t="s">
        <v>894</v>
      </c>
      <c r="Q976" s="125" t="s">
        <v>972</v>
      </c>
      <c r="R976" s="125" t="s">
        <v>972</v>
      </c>
      <c r="S976" s="125" t="s">
        <v>972</v>
      </c>
      <c r="T976" s="222"/>
      <c r="U976" s="222"/>
      <c r="V976" s="222"/>
      <c r="W976" s="230"/>
      <c r="X976" s="331">
        <f t="shared" si="47"/>
        <v>0</v>
      </c>
      <c r="Y976" s="222"/>
      <c r="Z976" s="272">
        <f t="shared" si="45"/>
        <v>0</v>
      </c>
      <c r="AA976" s="331"/>
      <c r="AB976" s="331"/>
      <c r="AC976" s="331"/>
      <c r="AD976" s="331"/>
      <c r="AE976" s="331"/>
      <c r="AF976" s="331"/>
      <c r="AG976" s="331"/>
      <c r="AH976" s="241">
        <f t="shared" ca="1" si="46"/>
        <v>46153</v>
      </c>
      <c r="AI976" s="272"/>
      <c r="AJ976" s="222"/>
      <c r="AK976" s="222"/>
    </row>
    <row r="977" spans="1:37" ht="23.25" hidden="1" customHeight="1">
      <c r="A977" s="111">
        <v>492</v>
      </c>
      <c r="B977" s="112" t="s">
        <v>1071</v>
      </c>
      <c r="C977" s="122" t="s">
        <v>4761</v>
      </c>
      <c r="D977" s="147" t="s">
        <v>4762</v>
      </c>
      <c r="E977" s="132" t="s">
        <v>4763</v>
      </c>
      <c r="F977" s="116" t="s">
        <v>1450</v>
      </c>
      <c r="G977" s="116" t="s">
        <v>1451</v>
      </c>
      <c r="H977" s="117">
        <v>13.721967299999999</v>
      </c>
      <c r="I977" s="117">
        <v>100.531154</v>
      </c>
      <c r="J977" s="116" t="s">
        <v>890</v>
      </c>
      <c r="K977" s="115" t="s">
        <v>1212</v>
      </c>
      <c r="L977" s="117" t="s">
        <v>1213</v>
      </c>
      <c r="M977" s="121">
        <v>3855414</v>
      </c>
      <c r="N977" s="121" t="s">
        <v>892</v>
      </c>
      <c r="O977" s="121"/>
      <c r="P977" s="127" t="s">
        <v>1076</v>
      </c>
      <c r="Q977" s="129" t="s">
        <v>972</v>
      </c>
      <c r="R977" s="138" t="s">
        <v>972</v>
      </c>
      <c r="S977" s="125" t="s">
        <v>4749</v>
      </c>
      <c r="T977" s="222"/>
      <c r="U977" s="222"/>
      <c r="V977" s="222"/>
      <c r="W977" s="230"/>
      <c r="X977" s="331">
        <f t="shared" si="47"/>
        <v>0</v>
      </c>
      <c r="Y977" s="222"/>
      <c r="Z977" s="272">
        <f t="shared" si="45"/>
        <v>0</v>
      </c>
      <c r="AA977" s="331"/>
      <c r="AB977" s="331"/>
      <c r="AC977" s="331"/>
      <c r="AD977" s="331"/>
      <c r="AE977" s="331"/>
      <c r="AF977" s="331"/>
      <c r="AG977" s="331"/>
      <c r="AH977" s="241">
        <f t="shared" ca="1" si="46"/>
        <v>46153</v>
      </c>
      <c r="AI977" s="272"/>
      <c r="AJ977" s="222"/>
      <c r="AK977" s="222"/>
    </row>
    <row r="978" spans="1:37" ht="23.25" hidden="1" customHeight="1">
      <c r="A978" s="111">
        <v>493</v>
      </c>
      <c r="B978" s="112" t="s">
        <v>1071</v>
      </c>
      <c r="C978" s="122" t="s">
        <v>4772</v>
      </c>
      <c r="D978" s="147" t="s">
        <v>4773</v>
      </c>
      <c r="E978" s="132" t="s">
        <v>4774</v>
      </c>
      <c r="F978" s="116" t="s">
        <v>1450</v>
      </c>
      <c r="G978" s="116" t="s">
        <v>1451</v>
      </c>
      <c r="H978" s="117">
        <v>13.7217061</v>
      </c>
      <c r="I978" s="117">
        <v>100.53006619999999</v>
      </c>
      <c r="J978" s="116" t="s">
        <v>890</v>
      </c>
      <c r="K978" s="115" t="s">
        <v>1212</v>
      </c>
      <c r="L978" s="117" t="s">
        <v>1213</v>
      </c>
      <c r="M978" s="121">
        <v>3697184</v>
      </c>
      <c r="N978" s="121" t="s">
        <v>892</v>
      </c>
      <c r="O978" s="121"/>
      <c r="P978" s="154" t="s">
        <v>1076</v>
      </c>
      <c r="Q978" s="129" t="s">
        <v>972</v>
      </c>
      <c r="R978" s="138" t="s">
        <v>972</v>
      </c>
      <c r="S978" s="125" t="s">
        <v>4749</v>
      </c>
      <c r="T978" s="222"/>
      <c r="U978" s="222"/>
      <c r="V978" s="222"/>
      <c r="W978" s="230"/>
      <c r="X978" s="331">
        <f t="shared" si="47"/>
        <v>0</v>
      </c>
      <c r="Y978" s="222"/>
      <c r="Z978" s="272">
        <f t="shared" si="45"/>
        <v>0</v>
      </c>
      <c r="AA978" s="331"/>
      <c r="AB978" s="331"/>
      <c r="AC978" s="331"/>
      <c r="AD978" s="331"/>
      <c r="AE978" s="331"/>
      <c r="AF978" s="331"/>
      <c r="AG978" s="331"/>
      <c r="AH978" s="241">
        <f t="shared" ca="1" si="46"/>
        <v>46153</v>
      </c>
      <c r="AI978" s="272"/>
      <c r="AJ978" s="222"/>
      <c r="AK978" s="222"/>
    </row>
    <row r="979" spans="1:37" ht="23" hidden="1">
      <c r="A979" s="111">
        <v>1074</v>
      </c>
      <c r="B979" s="112" t="s">
        <v>1459</v>
      </c>
      <c r="C979" s="122" t="s">
        <v>4781</v>
      </c>
      <c r="D979" s="147" t="s">
        <v>4782</v>
      </c>
      <c r="E979" s="123" t="s">
        <v>4783</v>
      </c>
      <c r="F979" s="116" t="s">
        <v>1450</v>
      </c>
      <c r="G979" s="116" t="s">
        <v>1451</v>
      </c>
      <c r="H979" s="116">
        <v>13.722769100000001</v>
      </c>
      <c r="I979" s="116">
        <v>100.5338352</v>
      </c>
      <c r="J979" s="116" t="s">
        <v>969</v>
      </c>
      <c r="K979" s="116" t="s">
        <v>970</v>
      </c>
      <c r="L979" s="117" t="s">
        <v>5169</v>
      </c>
      <c r="M979" s="117"/>
      <c r="N979" s="121"/>
      <c r="O979" s="121" t="s">
        <v>984</v>
      </c>
      <c r="P979" s="117" t="s">
        <v>894</v>
      </c>
      <c r="Q979" s="125" t="s">
        <v>972</v>
      </c>
      <c r="R979" s="125" t="s">
        <v>972</v>
      </c>
      <c r="S979" s="125" t="s">
        <v>972</v>
      </c>
      <c r="T979" s="222"/>
      <c r="U979" s="222"/>
      <c r="V979" s="222"/>
      <c r="W979" s="230"/>
      <c r="X979" s="331">
        <f t="shared" si="47"/>
        <v>0</v>
      </c>
      <c r="Y979" s="222"/>
      <c r="Z979" s="272">
        <f t="shared" si="45"/>
        <v>0</v>
      </c>
      <c r="AA979" s="331"/>
      <c r="AB979" s="331"/>
      <c r="AC979" s="331"/>
      <c r="AD979" s="331"/>
      <c r="AE979" s="331"/>
      <c r="AF979" s="331"/>
      <c r="AG979" s="331"/>
      <c r="AH979" s="241">
        <f t="shared" ca="1" si="46"/>
        <v>46153</v>
      </c>
      <c r="AI979" s="272"/>
      <c r="AJ979" s="222"/>
      <c r="AK979" s="222"/>
    </row>
    <row r="980" spans="1:37" ht="23.25" hidden="1" customHeight="1">
      <c r="A980" s="111">
        <v>1107</v>
      </c>
      <c r="B980" s="112">
        <v>14</v>
      </c>
      <c r="C980" s="113" t="s">
        <v>4867</v>
      </c>
      <c r="D980" s="147" t="s">
        <v>4868</v>
      </c>
      <c r="E980" s="123" t="s">
        <v>4869</v>
      </c>
      <c r="F980" s="116" t="s">
        <v>1450</v>
      </c>
      <c r="G980" s="116" t="s">
        <v>1451</v>
      </c>
      <c r="H980" s="177">
        <v>13.724530100000001</v>
      </c>
      <c r="I980" s="177">
        <v>100.5397545</v>
      </c>
      <c r="J980" s="116" t="s">
        <v>969</v>
      </c>
      <c r="K980" s="115" t="s">
        <v>1048</v>
      </c>
      <c r="L980" s="118" t="s">
        <v>4870</v>
      </c>
      <c r="M980" s="117">
        <v>96937929</v>
      </c>
      <c r="N980" s="121" t="s">
        <v>892</v>
      </c>
      <c r="O980" s="121" t="s">
        <v>984</v>
      </c>
      <c r="P980" s="118" t="s">
        <v>894</v>
      </c>
      <c r="Q980" s="125" t="s">
        <v>972</v>
      </c>
      <c r="R980" s="125" t="s">
        <v>972</v>
      </c>
      <c r="S980" s="125" t="s">
        <v>972</v>
      </c>
      <c r="T980" s="222"/>
      <c r="U980" s="222"/>
      <c r="V980" s="222"/>
      <c r="W980" s="230"/>
      <c r="X980" s="331">
        <f t="shared" si="47"/>
        <v>0</v>
      </c>
      <c r="Y980" s="222"/>
      <c r="Z980" s="272">
        <f t="shared" si="45"/>
        <v>0</v>
      </c>
      <c r="AA980" s="331"/>
      <c r="AB980" s="331"/>
      <c r="AC980" s="331"/>
      <c r="AD980" s="331"/>
      <c r="AE980" s="331"/>
      <c r="AF980" s="331"/>
      <c r="AG980" s="331"/>
      <c r="AH980" s="241">
        <f t="shared" ca="1" si="46"/>
        <v>46153</v>
      </c>
      <c r="AI980" s="272"/>
      <c r="AJ980" s="222"/>
      <c r="AK980" s="222"/>
    </row>
    <row r="981" spans="1:37" ht="23.25" hidden="1" customHeight="1">
      <c r="A981" s="111">
        <v>1108</v>
      </c>
      <c r="B981" s="112">
        <v>3</v>
      </c>
      <c r="C981" s="122" t="s">
        <v>4871</v>
      </c>
      <c r="D981" s="147" t="s">
        <v>4872</v>
      </c>
      <c r="E981" s="123" t="s">
        <v>4873</v>
      </c>
      <c r="F981" s="116" t="s">
        <v>1450</v>
      </c>
      <c r="G981" s="116" t="s">
        <v>1451</v>
      </c>
      <c r="H981" s="116">
        <v>13.722107100000001</v>
      </c>
      <c r="I981" s="116">
        <v>100.5316258</v>
      </c>
      <c r="J981" s="116" t="s">
        <v>969</v>
      </c>
      <c r="K981" s="115" t="s">
        <v>1048</v>
      </c>
      <c r="L981" s="117" t="s">
        <v>4874</v>
      </c>
      <c r="M981" s="121">
        <v>96937935</v>
      </c>
      <c r="N981" s="121" t="s">
        <v>892</v>
      </c>
      <c r="O981" s="121" t="s">
        <v>918</v>
      </c>
      <c r="P981" s="117" t="s">
        <v>894</v>
      </c>
      <c r="Q981" s="178" t="s">
        <v>972</v>
      </c>
      <c r="R981" s="178" t="s">
        <v>972</v>
      </c>
      <c r="S981" s="125" t="s">
        <v>972</v>
      </c>
      <c r="T981" s="222"/>
      <c r="U981" s="222"/>
      <c r="V981" s="222"/>
      <c r="W981" s="230"/>
      <c r="X981" s="331">
        <f t="shared" si="47"/>
        <v>0</v>
      </c>
      <c r="Y981" s="222"/>
      <c r="Z981" s="272">
        <f t="shared" si="45"/>
        <v>0</v>
      </c>
      <c r="AA981" s="331"/>
      <c r="AB981" s="331"/>
      <c r="AC981" s="331"/>
      <c r="AD981" s="331"/>
      <c r="AE981" s="331"/>
      <c r="AF981" s="331"/>
      <c r="AG981" s="331"/>
      <c r="AH981" s="241">
        <f t="shared" ca="1" si="46"/>
        <v>46153</v>
      </c>
      <c r="AI981" s="272"/>
      <c r="AJ981" s="222"/>
      <c r="AK981" s="222"/>
    </row>
    <row r="982" spans="1:37" ht="23" hidden="1">
      <c r="A982" s="111">
        <v>57</v>
      </c>
      <c r="B982" s="112" t="s">
        <v>1022</v>
      </c>
      <c r="C982" s="113" t="s">
        <v>2235</v>
      </c>
      <c r="D982" s="147" t="s">
        <v>2236</v>
      </c>
      <c r="E982" s="114" t="s">
        <v>2237</v>
      </c>
      <c r="F982" s="115" t="s">
        <v>2238</v>
      </c>
      <c r="G982" s="115" t="s">
        <v>1542</v>
      </c>
      <c r="H982" s="116">
        <v>13.7193805</v>
      </c>
      <c r="I982" s="116">
        <v>100.5212626</v>
      </c>
      <c r="J982" s="116" t="s">
        <v>969</v>
      </c>
      <c r="K982" s="115" t="s">
        <v>1048</v>
      </c>
      <c r="L982" s="117" t="s">
        <v>2239</v>
      </c>
      <c r="M982" s="117">
        <v>96938022</v>
      </c>
      <c r="N982" s="121" t="s">
        <v>892</v>
      </c>
      <c r="O982" s="121" t="s">
        <v>984</v>
      </c>
      <c r="P982" s="117" t="s">
        <v>894</v>
      </c>
      <c r="Q982" s="125" t="s">
        <v>972</v>
      </c>
      <c r="R982" s="130" t="s">
        <v>972</v>
      </c>
      <c r="S982" s="125" t="s">
        <v>972</v>
      </c>
      <c r="T982" s="222"/>
      <c r="U982" s="222"/>
      <c r="V982" s="222"/>
      <c r="W982" s="230"/>
      <c r="X982" s="331">
        <f t="shared" si="47"/>
        <v>0</v>
      </c>
      <c r="Y982" s="222"/>
      <c r="Z982" s="272">
        <f t="shared" si="45"/>
        <v>0</v>
      </c>
      <c r="AA982" s="331"/>
      <c r="AB982" s="331"/>
      <c r="AC982" s="331"/>
      <c r="AD982" s="331"/>
      <c r="AE982" s="331"/>
      <c r="AF982" s="331"/>
      <c r="AG982" s="331"/>
      <c r="AH982" s="241">
        <f t="shared" ca="1" si="46"/>
        <v>46153</v>
      </c>
      <c r="AI982" s="272"/>
      <c r="AJ982" s="222"/>
      <c r="AK982" s="222"/>
    </row>
    <row r="983" spans="1:37" ht="23" hidden="1">
      <c r="A983" s="111">
        <v>89</v>
      </c>
      <c r="B983" s="112">
        <v>4</v>
      </c>
      <c r="C983" s="122" t="s">
        <v>2330</v>
      </c>
      <c r="D983" s="147" t="s">
        <v>2331</v>
      </c>
      <c r="E983" s="132" t="s">
        <v>2332</v>
      </c>
      <c r="F983" s="116" t="s">
        <v>2238</v>
      </c>
      <c r="G983" s="116" t="s">
        <v>1542</v>
      </c>
      <c r="H983" s="117">
        <v>13.720031799999999</v>
      </c>
      <c r="I983" s="117">
        <v>100.52388759999999</v>
      </c>
      <c r="J983" s="116" t="s">
        <v>969</v>
      </c>
      <c r="K983" s="115" t="s">
        <v>1048</v>
      </c>
      <c r="L983" s="117" t="s">
        <v>2333</v>
      </c>
      <c r="M983" s="121">
        <v>96937909</v>
      </c>
      <c r="N983" s="121" t="s">
        <v>892</v>
      </c>
      <c r="O983" s="121" t="s">
        <v>984</v>
      </c>
      <c r="P983" s="117" t="s">
        <v>894</v>
      </c>
      <c r="Q983" s="125" t="s">
        <v>972</v>
      </c>
      <c r="R983" s="130" t="s">
        <v>972</v>
      </c>
      <c r="S983" s="125" t="s">
        <v>972</v>
      </c>
      <c r="T983" s="222"/>
      <c r="U983" s="222"/>
      <c r="V983" s="222"/>
      <c r="W983" s="230"/>
      <c r="X983" s="331">
        <f t="shared" si="47"/>
        <v>0</v>
      </c>
      <c r="Y983" s="222"/>
      <c r="Z983" s="272">
        <f t="shared" si="45"/>
        <v>0</v>
      </c>
      <c r="AA983" s="331"/>
      <c r="AB983" s="331"/>
      <c r="AC983" s="331"/>
      <c r="AD983" s="331"/>
      <c r="AE983" s="331"/>
      <c r="AF983" s="331"/>
      <c r="AG983" s="331"/>
      <c r="AH983" s="241">
        <f t="shared" ca="1" si="46"/>
        <v>46153</v>
      </c>
      <c r="AI983" s="272"/>
      <c r="AJ983" s="222"/>
      <c r="AK983" s="222"/>
    </row>
    <row r="984" spans="1:37" ht="23.25" hidden="1" customHeight="1">
      <c r="A984" s="111">
        <v>233</v>
      </c>
      <c r="B984" s="112" t="s">
        <v>1071</v>
      </c>
      <c r="C984" s="122" t="s">
        <v>2721</v>
      </c>
      <c r="D984" s="147" t="s">
        <v>2560</v>
      </c>
      <c r="E984" s="132" t="s">
        <v>2722</v>
      </c>
      <c r="F984" s="116" t="s">
        <v>2238</v>
      </c>
      <c r="G984" s="116" t="s">
        <v>1542</v>
      </c>
      <c r="H984" s="117">
        <v>13.7249158</v>
      </c>
      <c r="I984" s="117">
        <v>100.54010100000001</v>
      </c>
      <c r="J984" s="116" t="s">
        <v>2097</v>
      </c>
      <c r="K984" s="121" t="s">
        <v>2097</v>
      </c>
      <c r="L984" s="121" t="s">
        <v>2494</v>
      </c>
      <c r="M984" s="121" t="s">
        <v>972</v>
      </c>
      <c r="N984" s="121" t="s">
        <v>972</v>
      </c>
      <c r="O984" s="121"/>
      <c r="P984" s="154" t="s">
        <v>1076</v>
      </c>
      <c r="Q984" s="129" t="s">
        <v>972</v>
      </c>
      <c r="R984" s="119" t="s">
        <v>972</v>
      </c>
      <c r="S984" s="119" t="s">
        <v>972</v>
      </c>
      <c r="T984" s="222"/>
      <c r="U984" s="222"/>
      <c r="V984" s="222"/>
      <c r="W984" s="230"/>
      <c r="X984" s="331">
        <f t="shared" si="47"/>
        <v>0</v>
      </c>
      <c r="Y984" s="222"/>
      <c r="Z984" s="272">
        <f t="shared" si="45"/>
        <v>0</v>
      </c>
      <c r="AA984" s="331"/>
      <c r="AB984" s="331"/>
      <c r="AC984" s="331"/>
      <c r="AD984" s="331"/>
      <c r="AE984" s="331"/>
      <c r="AF984" s="331"/>
      <c r="AG984" s="331"/>
      <c r="AH984" s="241">
        <f t="shared" ca="1" si="46"/>
        <v>46153</v>
      </c>
      <c r="AI984" s="272"/>
      <c r="AJ984" s="222"/>
      <c r="AK984" s="222"/>
    </row>
    <row r="985" spans="1:37" ht="23.25" hidden="1" customHeight="1">
      <c r="A985" s="111">
        <v>387</v>
      </c>
      <c r="B985" s="128" t="s">
        <v>1569</v>
      </c>
      <c r="C985" s="113" t="s">
        <v>2771</v>
      </c>
      <c r="D985" s="147" t="s">
        <v>2772</v>
      </c>
      <c r="E985" s="114" t="s">
        <v>2773</v>
      </c>
      <c r="F985" s="115" t="s">
        <v>2238</v>
      </c>
      <c r="G985" s="115" t="s">
        <v>1542</v>
      </c>
      <c r="H985" s="116">
        <v>13.724126</v>
      </c>
      <c r="I985" s="116">
        <v>100.537437</v>
      </c>
      <c r="J985" s="116" t="s">
        <v>890</v>
      </c>
      <c r="K985" s="115" t="s">
        <v>1212</v>
      </c>
      <c r="L985" s="117" t="s">
        <v>1213</v>
      </c>
      <c r="M985" s="117">
        <v>18013534</v>
      </c>
      <c r="N985" s="121" t="s">
        <v>892</v>
      </c>
      <c r="O985" s="121" t="s">
        <v>984</v>
      </c>
      <c r="P985" s="117" t="s">
        <v>894</v>
      </c>
      <c r="Q985" s="118">
        <v>80057501</v>
      </c>
      <c r="R985" s="125" t="s">
        <v>972</v>
      </c>
      <c r="S985" s="125" t="s">
        <v>895</v>
      </c>
      <c r="T985" s="222"/>
      <c r="U985" s="222"/>
      <c r="V985" s="222"/>
      <c r="W985" s="230"/>
      <c r="X985" s="331">
        <f t="shared" si="47"/>
        <v>0</v>
      </c>
      <c r="Y985" s="222"/>
      <c r="Z985" s="272">
        <f t="shared" si="45"/>
        <v>0</v>
      </c>
      <c r="AA985" s="331"/>
      <c r="AB985" s="331"/>
      <c r="AC985" s="331"/>
      <c r="AD985" s="331"/>
      <c r="AE985" s="331"/>
      <c r="AF985" s="331"/>
      <c r="AG985" s="331"/>
      <c r="AH985" s="241">
        <f t="shared" ca="1" si="46"/>
        <v>46153</v>
      </c>
      <c r="AI985" s="272"/>
      <c r="AJ985" s="222"/>
      <c r="AK985" s="222"/>
    </row>
    <row r="986" spans="1:37" ht="23" hidden="1">
      <c r="A986" s="111">
        <v>326</v>
      </c>
      <c r="B986" s="112" t="s">
        <v>1082</v>
      </c>
      <c r="C986" s="113" t="s">
        <v>2931</v>
      </c>
      <c r="D986" s="147" t="s">
        <v>2932</v>
      </c>
      <c r="E986" s="114" t="s">
        <v>2933</v>
      </c>
      <c r="F986" s="115" t="s">
        <v>2238</v>
      </c>
      <c r="G986" s="115" t="s">
        <v>1542</v>
      </c>
      <c r="H986" s="115">
        <v>13.724573299999999</v>
      </c>
      <c r="I986" s="115">
        <v>100.5389254</v>
      </c>
      <c r="J986" s="116" t="s">
        <v>2108</v>
      </c>
      <c r="K986" s="116" t="s">
        <v>970</v>
      </c>
      <c r="L986" s="117" t="s">
        <v>2934</v>
      </c>
      <c r="M986" s="121" t="s">
        <v>972</v>
      </c>
      <c r="N986" s="121" t="s">
        <v>972</v>
      </c>
      <c r="O986" s="121" t="s">
        <v>984</v>
      </c>
      <c r="P986" s="117" t="s">
        <v>894</v>
      </c>
      <c r="Q986" s="125" t="s">
        <v>972</v>
      </c>
      <c r="R986" s="125" t="s">
        <v>972</v>
      </c>
      <c r="S986" s="125" t="s">
        <v>972</v>
      </c>
      <c r="T986" s="222"/>
      <c r="U986" s="222"/>
      <c r="V986" s="222"/>
      <c r="W986" s="230"/>
      <c r="X986" s="331">
        <f t="shared" si="47"/>
        <v>0</v>
      </c>
      <c r="Y986" s="222"/>
      <c r="Z986" s="272">
        <f t="shared" si="45"/>
        <v>0</v>
      </c>
      <c r="AA986" s="331"/>
      <c r="AB986" s="331"/>
      <c r="AC986" s="331"/>
      <c r="AD986" s="331"/>
      <c r="AE986" s="331"/>
      <c r="AF986" s="331"/>
      <c r="AG986" s="331"/>
      <c r="AH986" s="241">
        <f t="shared" ca="1" si="46"/>
        <v>46153</v>
      </c>
      <c r="AI986" s="272"/>
      <c r="AJ986" s="222"/>
      <c r="AK986" s="222"/>
    </row>
    <row r="987" spans="1:37" ht="23.25" hidden="1" customHeight="1">
      <c r="A987" s="111">
        <v>405</v>
      </c>
      <c r="B987" s="112">
        <v>5</v>
      </c>
      <c r="C987" s="122" t="s">
        <v>3119</v>
      </c>
      <c r="D987" s="147" t="s">
        <v>3120</v>
      </c>
      <c r="E987" s="114" t="s">
        <v>3121</v>
      </c>
      <c r="F987" s="115" t="s">
        <v>2238</v>
      </c>
      <c r="G987" s="115" t="s">
        <v>1542</v>
      </c>
      <c r="H987" s="115">
        <v>13.721293299999999</v>
      </c>
      <c r="I987" s="115">
        <v>100.5278613</v>
      </c>
      <c r="J987" s="115" t="s">
        <v>2108</v>
      </c>
      <c r="K987" s="117" t="s">
        <v>2109</v>
      </c>
      <c r="L987" s="117" t="s">
        <v>2110</v>
      </c>
      <c r="M987" s="121" t="s">
        <v>972</v>
      </c>
      <c r="N987" s="121" t="s">
        <v>972</v>
      </c>
      <c r="O987" s="121" t="s">
        <v>984</v>
      </c>
      <c r="P987" s="117" t="s">
        <v>894</v>
      </c>
      <c r="Q987" s="125" t="s">
        <v>972</v>
      </c>
      <c r="R987" s="125" t="s">
        <v>972</v>
      </c>
      <c r="S987" s="125" t="s">
        <v>972</v>
      </c>
      <c r="T987" s="222"/>
      <c r="U987" s="222"/>
      <c r="V987" s="222"/>
      <c r="W987" s="230"/>
      <c r="X987" s="331">
        <f t="shared" si="47"/>
        <v>0</v>
      </c>
      <c r="Y987" s="222"/>
      <c r="Z987" s="272">
        <f t="shared" si="45"/>
        <v>0</v>
      </c>
      <c r="AA987" s="331"/>
      <c r="AB987" s="331"/>
      <c r="AC987" s="331"/>
      <c r="AD987" s="331"/>
      <c r="AE987" s="331"/>
      <c r="AF987" s="331"/>
      <c r="AG987" s="331"/>
      <c r="AH987" s="241">
        <f t="shared" ca="1" si="46"/>
        <v>46153</v>
      </c>
      <c r="AI987" s="272"/>
      <c r="AJ987" s="222"/>
      <c r="AK987" s="222"/>
    </row>
    <row r="988" spans="1:37" ht="23" hidden="1">
      <c r="A988" s="111">
        <v>479</v>
      </c>
      <c r="B988" s="112">
        <v>4</v>
      </c>
      <c r="C988" s="113" t="s">
        <v>3297</v>
      </c>
      <c r="D988" s="147" t="s">
        <v>3298</v>
      </c>
      <c r="E988" s="114" t="s">
        <v>3299</v>
      </c>
      <c r="F988" s="115" t="s">
        <v>2238</v>
      </c>
      <c r="G988" s="115" t="s">
        <v>1542</v>
      </c>
      <c r="H988" s="116">
        <v>13.724417000000001</v>
      </c>
      <c r="I988" s="116">
        <v>100.53841199999999</v>
      </c>
      <c r="J988" s="115" t="s">
        <v>2097</v>
      </c>
      <c r="K988" s="115" t="s">
        <v>2097</v>
      </c>
      <c r="L988" s="117" t="s">
        <v>2132</v>
      </c>
      <c r="M988" s="121" t="s">
        <v>972</v>
      </c>
      <c r="N988" s="121" t="s">
        <v>972</v>
      </c>
      <c r="O988" s="121" t="s">
        <v>984</v>
      </c>
      <c r="P988" s="117" t="s">
        <v>894</v>
      </c>
      <c r="Q988" s="125" t="s">
        <v>972</v>
      </c>
      <c r="R988" s="130" t="s">
        <v>972</v>
      </c>
      <c r="S988" s="130" t="s">
        <v>972</v>
      </c>
      <c r="T988" s="222"/>
      <c r="U988" s="222"/>
      <c r="V988" s="222"/>
      <c r="W988" s="230"/>
      <c r="X988" s="331">
        <f t="shared" si="47"/>
        <v>0</v>
      </c>
      <c r="Y988" s="222"/>
      <c r="Z988" s="272">
        <f t="shared" si="45"/>
        <v>0</v>
      </c>
      <c r="AA988" s="331"/>
      <c r="AB988" s="331"/>
      <c r="AC988" s="331"/>
      <c r="AD988" s="331"/>
      <c r="AE988" s="331"/>
      <c r="AF988" s="331"/>
      <c r="AG988" s="331"/>
      <c r="AH988" s="241">
        <f t="shared" ca="1" si="46"/>
        <v>46153</v>
      </c>
      <c r="AI988" s="272"/>
      <c r="AJ988" s="222"/>
      <c r="AK988" s="222"/>
    </row>
    <row r="989" spans="1:37" ht="23" hidden="1">
      <c r="A989" s="111">
        <v>957</v>
      </c>
      <c r="B989" s="112" t="s">
        <v>1071</v>
      </c>
      <c r="C989" s="113" t="s">
        <v>3760</v>
      </c>
      <c r="D989" s="147" t="s">
        <v>3761</v>
      </c>
      <c r="E989" s="114" t="s">
        <v>3762</v>
      </c>
      <c r="F989" s="115" t="s">
        <v>2238</v>
      </c>
      <c r="G989" s="115" t="s">
        <v>1542</v>
      </c>
      <c r="H989" s="116">
        <v>13.720172</v>
      </c>
      <c r="I989" s="116">
        <v>100.52460600000001</v>
      </c>
      <c r="J989" s="116" t="s">
        <v>890</v>
      </c>
      <c r="K989" s="115" t="s">
        <v>1212</v>
      </c>
      <c r="L989" s="117" t="s">
        <v>1213</v>
      </c>
      <c r="M989" s="121">
        <v>18013181</v>
      </c>
      <c r="N989" s="121" t="s">
        <v>892</v>
      </c>
      <c r="O989" s="121" t="s">
        <v>984</v>
      </c>
      <c r="P989" s="127" t="s">
        <v>1076</v>
      </c>
      <c r="Q989" s="118">
        <v>80057501</v>
      </c>
      <c r="R989" s="119" t="s">
        <v>972</v>
      </c>
      <c r="S989" s="125" t="s">
        <v>895</v>
      </c>
      <c r="T989" s="222"/>
      <c r="U989" s="222"/>
      <c r="V989" s="222"/>
      <c r="W989" s="230"/>
      <c r="X989" s="331">
        <f t="shared" si="47"/>
        <v>0</v>
      </c>
      <c r="Y989" s="222"/>
      <c r="Z989" s="272">
        <f t="shared" si="45"/>
        <v>0</v>
      </c>
      <c r="AA989" s="331"/>
      <c r="AB989" s="331"/>
      <c r="AC989" s="331"/>
      <c r="AD989" s="331"/>
      <c r="AE989" s="331"/>
      <c r="AF989" s="331"/>
      <c r="AG989" s="331"/>
      <c r="AH989" s="241">
        <f t="shared" ca="1" si="46"/>
        <v>46153</v>
      </c>
      <c r="AI989" s="272"/>
      <c r="AJ989" s="222"/>
      <c r="AK989" s="222"/>
    </row>
    <row r="990" spans="1:37" ht="23" hidden="1">
      <c r="A990" s="111">
        <v>689</v>
      </c>
      <c r="B990" s="112" t="s">
        <v>1086</v>
      </c>
      <c r="C990" s="113" t="s">
        <v>3822</v>
      </c>
      <c r="D990" s="147" t="s">
        <v>3823</v>
      </c>
      <c r="E990" s="114" t="s">
        <v>3824</v>
      </c>
      <c r="F990" s="115" t="s">
        <v>2238</v>
      </c>
      <c r="G990" s="115" t="s">
        <v>1542</v>
      </c>
      <c r="H990" s="116">
        <v>13.719612</v>
      </c>
      <c r="I990" s="116">
        <v>100.522024</v>
      </c>
      <c r="J990" s="116" t="s">
        <v>969</v>
      </c>
      <c r="K990" s="115" t="s">
        <v>1048</v>
      </c>
      <c r="L990" s="117" t="s">
        <v>2239</v>
      </c>
      <c r="M990" s="117">
        <v>96938022</v>
      </c>
      <c r="N990" s="121" t="s">
        <v>892</v>
      </c>
      <c r="O990" s="121" t="s">
        <v>984</v>
      </c>
      <c r="P990" s="117" t="s">
        <v>894</v>
      </c>
      <c r="Q990" s="125" t="s">
        <v>972</v>
      </c>
      <c r="R990" s="125" t="s">
        <v>972</v>
      </c>
      <c r="S990" s="125" t="s">
        <v>972</v>
      </c>
      <c r="T990" s="222"/>
      <c r="U990" s="222"/>
      <c r="V990" s="222"/>
      <c r="W990" s="230"/>
      <c r="X990" s="331">
        <f t="shared" si="47"/>
        <v>0</v>
      </c>
      <c r="Y990" s="222"/>
      <c r="Z990" s="272">
        <f t="shared" si="45"/>
        <v>0</v>
      </c>
      <c r="AA990" s="331"/>
      <c r="AB990" s="331"/>
      <c r="AC990" s="331"/>
      <c r="AD990" s="331"/>
      <c r="AE990" s="331"/>
      <c r="AF990" s="331"/>
      <c r="AG990" s="331"/>
      <c r="AH990" s="241">
        <f t="shared" ca="1" si="46"/>
        <v>46153</v>
      </c>
      <c r="AI990" s="272"/>
      <c r="AJ990" s="222"/>
      <c r="AK990" s="222"/>
    </row>
    <row r="991" spans="1:37" s="345" customFormat="1" ht="16.5" hidden="1" customHeight="1">
      <c r="A991" s="111">
        <v>1104</v>
      </c>
      <c r="B991" s="112" t="s">
        <v>985</v>
      </c>
      <c r="C991" s="113" t="s">
        <v>3926</v>
      </c>
      <c r="D991" s="147" t="s">
        <v>3927</v>
      </c>
      <c r="E991" s="123" t="s">
        <v>3928</v>
      </c>
      <c r="F991" s="116" t="s">
        <v>2238</v>
      </c>
      <c r="G991" s="116" t="s">
        <v>1542</v>
      </c>
      <c r="H991" s="116">
        <v>13.7205739</v>
      </c>
      <c r="I991" s="116">
        <v>100.5257342</v>
      </c>
      <c r="J991" s="116" t="s">
        <v>890</v>
      </c>
      <c r="K991" s="115" t="s">
        <v>1212</v>
      </c>
      <c r="L991" s="117" t="s">
        <v>1213</v>
      </c>
      <c r="M991" s="117">
        <v>18013535</v>
      </c>
      <c r="N991" s="121" t="s">
        <v>892</v>
      </c>
      <c r="O991" s="121" t="s">
        <v>984</v>
      </c>
      <c r="P991" s="118" t="s">
        <v>894</v>
      </c>
      <c r="Q991" s="118">
        <v>80057501</v>
      </c>
      <c r="R991" s="125" t="s">
        <v>972</v>
      </c>
      <c r="S991" s="125" t="s">
        <v>895</v>
      </c>
      <c r="T991" s="222"/>
      <c r="U991" s="222"/>
      <c r="V991" s="222"/>
      <c r="W991" s="230"/>
      <c r="X991" s="331">
        <f t="shared" si="47"/>
        <v>0</v>
      </c>
      <c r="Y991" s="222"/>
      <c r="Z991" s="272">
        <f t="shared" si="45"/>
        <v>0</v>
      </c>
      <c r="AA991" s="331"/>
      <c r="AB991" s="331"/>
      <c r="AC991" s="331"/>
      <c r="AD991" s="331"/>
      <c r="AE991" s="331"/>
      <c r="AF991" s="331"/>
      <c r="AG991" s="331"/>
      <c r="AH991" s="241">
        <f t="shared" ca="1" si="46"/>
        <v>46153</v>
      </c>
      <c r="AI991" s="272"/>
      <c r="AJ991" s="222"/>
      <c r="AK991" s="222"/>
    </row>
    <row r="992" spans="1:37" ht="23" hidden="1">
      <c r="A992" s="111">
        <v>897</v>
      </c>
      <c r="B992" s="112">
        <v>15</v>
      </c>
      <c r="C992" s="113" t="s">
        <v>4340</v>
      </c>
      <c r="D992" s="147" t="s">
        <v>4341</v>
      </c>
      <c r="E992" s="114" t="s">
        <v>4342</v>
      </c>
      <c r="F992" s="115" t="s">
        <v>2238</v>
      </c>
      <c r="G992" s="115" t="s">
        <v>1542</v>
      </c>
      <c r="H992" s="116">
        <v>13.721273099999999</v>
      </c>
      <c r="I992" s="116">
        <v>100.5280032</v>
      </c>
      <c r="J992" s="116" t="s">
        <v>969</v>
      </c>
      <c r="K992" s="117" t="s">
        <v>2168</v>
      </c>
      <c r="L992" s="117" t="s">
        <v>4343</v>
      </c>
      <c r="M992" s="121" t="s">
        <v>972</v>
      </c>
      <c r="N992" s="121" t="s">
        <v>972</v>
      </c>
      <c r="O992" s="121" t="s">
        <v>984</v>
      </c>
      <c r="P992" s="136" t="s">
        <v>894</v>
      </c>
      <c r="Q992" s="125" t="s">
        <v>972</v>
      </c>
      <c r="R992" s="125" t="s">
        <v>972</v>
      </c>
      <c r="S992" s="125" t="s">
        <v>972</v>
      </c>
      <c r="T992" s="222"/>
      <c r="U992" s="222"/>
      <c r="V992" s="222"/>
      <c r="W992" s="230"/>
      <c r="X992" s="331">
        <f t="shared" si="47"/>
        <v>0</v>
      </c>
      <c r="Y992" s="222"/>
      <c r="Z992" s="272">
        <f t="shared" si="45"/>
        <v>0</v>
      </c>
      <c r="AA992" s="331"/>
      <c r="AB992" s="331"/>
      <c r="AC992" s="331"/>
      <c r="AD992" s="331"/>
      <c r="AE992" s="331"/>
      <c r="AF992" s="331"/>
      <c r="AG992" s="331"/>
      <c r="AH992" s="241">
        <f t="shared" ca="1" si="46"/>
        <v>46153</v>
      </c>
      <c r="AI992" s="272"/>
      <c r="AJ992" s="222"/>
      <c r="AK992" s="222"/>
    </row>
    <row r="993" spans="1:37" ht="23" hidden="1">
      <c r="A993" s="111">
        <v>901</v>
      </c>
      <c r="B993" s="112">
        <v>3</v>
      </c>
      <c r="C993" s="122" t="s">
        <v>4353</v>
      </c>
      <c r="D993" s="147" t="s">
        <v>4354</v>
      </c>
      <c r="E993" s="114" t="s">
        <v>4355</v>
      </c>
      <c r="F993" s="115" t="s">
        <v>2238</v>
      </c>
      <c r="G993" s="115" t="s">
        <v>1542</v>
      </c>
      <c r="H993" s="116">
        <v>13.722293000000001</v>
      </c>
      <c r="I993" s="116">
        <v>100.531611</v>
      </c>
      <c r="J993" s="116" t="s">
        <v>969</v>
      </c>
      <c r="K993" s="115" t="s">
        <v>1048</v>
      </c>
      <c r="L993" s="117" t="s">
        <v>4356</v>
      </c>
      <c r="M993" s="121">
        <v>96937913</v>
      </c>
      <c r="N993" s="121" t="s">
        <v>892</v>
      </c>
      <c r="O993" s="121" t="s">
        <v>984</v>
      </c>
      <c r="P993" s="117" t="s">
        <v>894</v>
      </c>
      <c r="Q993" s="125" t="s">
        <v>972</v>
      </c>
      <c r="R993" s="125" t="s">
        <v>972</v>
      </c>
      <c r="S993" s="130" t="s">
        <v>972</v>
      </c>
      <c r="T993" s="222"/>
      <c r="U993" s="222"/>
      <c r="V993" s="222"/>
      <c r="W993" s="230"/>
      <c r="X993" s="331">
        <f t="shared" si="47"/>
        <v>0</v>
      </c>
      <c r="Y993" s="222"/>
      <c r="Z993" s="272">
        <f t="shared" si="45"/>
        <v>0</v>
      </c>
      <c r="AA993" s="331"/>
      <c r="AB993" s="331"/>
      <c r="AC993" s="331"/>
      <c r="AD993" s="331"/>
      <c r="AE993" s="331"/>
      <c r="AF993" s="331"/>
      <c r="AG993" s="331"/>
      <c r="AH993" s="241">
        <f t="shared" ca="1" si="46"/>
        <v>46153</v>
      </c>
      <c r="AI993" s="272"/>
      <c r="AJ993" s="222"/>
      <c r="AK993" s="222"/>
    </row>
    <row r="994" spans="1:37" ht="23" hidden="1">
      <c r="A994" s="111">
        <v>1012</v>
      </c>
      <c r="B994" s="112">
        <v>3</v>
      </c>
      <c r="C994" s="113" t="s">
        <v>4633</v>
      </c>
      <c r="D994" s="147" t="s">
        <v>4634</v>
      </c>
      <c r="E994" s="114" t="s">
        <v>4635</v>
      </c>
      <c r="F994" s="115" t="s">
        <v>2238</v>
      </c>
      <c r="G994" s="115" t="s">
        <v>1542</v>
      </c>
      <c r="H994" s="116">
        <v>13.7214823</v>
      </c>
      <c r="I994" s="116">
        <v>100.52878579999999</v>
      </c>
      <c r="J994" s="116" t="s">
        <v>2108</v>
      </c>
      <c r="K994" s="116" t="s">
        <v>970</v>
      </c>
      <c r="L994" s="117" t="s">
        <v>4636</v>
      </c>
      <c r="M994" s="121" t="s">
        <v>972</v>
      </c>
      <c r="N994" s="121" t="s">
        <v>972</v>
      </c>
      <c r="O994" s="121" t="s">
        <v>984</v>
      </c>
      <c r="P994" s="117" t="s">
        <v>894</v>
      </c>
      <c r="Q994" s="125" t="s">
        <v>972</v>
      </c>
      <c r="R994" s="130" t="s">
        <v>972</v>
      </c>
      <c r="S994" s="125" t="s">
        <v>972</v>
      </c>
      <c r="T994" s="222"/>
      <c r="U994" s="222"/>
      <c r="V994" s="222"/>
      <c r="W994" s="230"/>
      <c r="X994" s="331">
        <f t="shared" si="47"/>
        <v>0</v>
      </c>
      <c r="Y994" s="222"/>
      <c r="Z994" s="272">
        <f t="shared" si="45"/>
        <v>0</v>
      </c>
      <c r="AA994" s="331"/>
      <c r="AB994" s="331"/>
      <c r="AC994" s="331"/>
      <c r="AD994" s="331"/>
      <c r="AE994" s="331"/>
      <c r="AF994" s="331"/>
      <c r="AG994" s="331"/>
      <c r="AH994" s="241">
        <f t="shared" ca="1" si="46"/>
        <v>46153</v>
      </c>
      <c r="AI994" s="272"/>
      <c r="AJ994" s="222"/>
      <c r="AK994" s="222"/>
    </row>
    <row r="995" spans="1:37" ht="23.25" hidden="1" customHeight="1">
      <c r="A995" s="111">
        <v>415</v>
      </c>
      <c r="B995" s="112">
        <v>7</v>
      </c>
      <c r="C995" s="122" t="s">
        <v>4802</v>
      </c>
      <c r="D995" s="147" t="s">
        <v>4803</v>
      </c>
      <c r="E995" s="123" t="s">
        <v>4804</v>
      </c>
      <c r="F995" s="116" t="s">
        <v>2238</v>
      </c>
      <c r="G995" s="116" t="s">
        <v>1542</v>
      </c>
      <c r="H995" s="116">
        <v>13.7186415</v>
      </c>
      <c r="I995" s="116">
        <v>100.5188174</v>
      </c>
      <c r="J995" s="116" t="s">
        <v>890</v>
      </c>
      <c r="K995" s="115" t="s">
        <v>5170</v>
      </c>
      <c r="L995" s="117" t="s">
        <v>5170</v>
      </c>
      <c r="M995" s="117"/>
      <c r="N995" s="121"/>
      <c r="O995" s="121" t="s">
        <v>984</v>
      </c>
      <c r="P995" s="117" t="s">
        <v>894</v>
      </c>
      <c r="Q995" s="125" t="s">
        <v>972</v>
      </c>
      <c r="R995" s="125" t="s">
        <v>972</v>
      </c>
      <c r="S995" s="125" t="s">
        <v>4749</v>
      </c>
      <c r="T995" s="222"/>
      <c r="U995" s="222"/>
      <c r="V995" s="222"/>
      <c r="W995" s="230"/>
      <c r="X995" s="331">
        <f t="shared" si="47"/>
        <v>0</v>
      </c>
      <c r="Y995" s="222"/>
      <c r="Z995" s="272">
        <f t="shared" si="45"/>
        <v>0</v>
      </c>
      <c r="AA995" s="331"/>
      <c r="AB995" s="331"/>
      <c r="AC995" s="331"/>
      <c r="AD995" s="331"/>
      <c r="AE995" s="331"/>
      <c r="AF995" s="331"/>
      <c r="AG995" s="331"/>
      <c r="AH995" s="241">
        <f t="shared" ca="1" si="46"/>
        <v>46153</v>
      </c>
      <c r="AI995" s="272"/>
      <c r="AJ995" s="222"/>
      <c r="AK995" s="222"/>
    </row>
    <row r="996" spans="1:37" ht="14.5" hidden="1">
      <c r="A996" s="111">
        <v>641</v>
      </c>
      <c r="B996" s="112" t="s">
        <v>1818</v>
      </c>
      <c r="C996" s="113" t="s">
        <v>3725</v>
      </c>
      <c r="D996" s="160" t="s">
        <v>3726</v>
      </c>
      <c r="E996" s="123" t="s">
        <v>5306</v>
      </c>
      <c r="F996" s="116" t="s">
        <v>5307</v>
      </c>
      <c r="G996" s="116" t="s">
        <v>1542</v>
      </c>
      <c r="H996" s="116">
        <v>13.719896</v>
      </c>
      <c r="I996" s="116">
        <v>100.522909</v>
      </c>
      <c r="J996" s="116" t="s">
        <v>5301</v>
      </c>
      <c r="K996" s="115" t="s">
        <v>5302</v>
      </c>
      <c r="L996" s="115" t="s">
        <v>5302</v>
      </c>
      <c r="M996" s="121" t="s">
        <v>972</v>
      </c>
      <c r="N996" s="121" t="s">
        <v>1347</v>
      </c>
      <c r="O996" s="121" t="s">
        <v>958</v>
      </c>
      <c r="P996" s="117" t="s">
        <v>1876</v>
      </c>
      <c r="Q996" s="125" t="s">
        <v>972</v>
      </c>
      <c r="R996" s="130" t="s">
        <v>972</v>
      </c>
      <c r="S996" s="125" t="s">
        <v>972</v>
      </c>
      <c r="T996" s="222"/>
      <c r="U996" s="222"/>
      <c r="V996" s="222"/>
      <c r="W996" s="230"/>
      <c r="X996" s="331">
        <f t="shared" si="47"/>
        <v>0</v>
      </c>
      <c r="Y996" s="222"/>
      <c r="Z996" s="272">
        <f t="shared" si="45"/>
        <v>0</v>
      </c>
      <c r="AA996" s="331"/>
      <c r="AB996" s="331"/>
      <c r="AC996" s="331"/>
      <c r="AD996" s="331"/>
      <c r="AE996" s="331"/>
      <c r="AF996" s="331"/>
      <c r="AG996" s="331"/>
      <c r="AH996" s="241">
        <f t="shared" ca="1" si="46"/>
        <v>46153</v>
      </c>
      <c r="AI996" s="272"/>
      <c r="AJ996" s="222"/>
      <c r="AK996" s="222"/>
    </row>
    <row r="997" spans="1:37" ht="23.25" hidden="1" customHeight="1">
      <c r="A997" s="111">
        <v>144</v>
      </c>
      <c r="B997" s="112" t="s">
        <v>1098</v>
      </c>
      <c r="C997" s="113" t="s">
        <v>2479</v>
      </c>
      <c r="D997" s="147" t="s">
        <v>2480</v>
      </c>
      <c r="E997" s="133" t="s">
        <v>2481</v>
      </c>
      <c r="F997" s="117" t="s">
        <v>2482</v>
      </c>
      <c r="G997" s="148" t="s">
        <v>1542</v>
      </c>
      <c r="H997" s="137">
        <v>13.724803</v>
      </c>
      <c r="I997" s="117">
        <v>100.539558</v>
      </c>
      <c r="J997" s="117" t="s">
        <v>2097</v>
      </c>
      <c r="K997" s="121" t="s">
        <v>2097</v>
      </c>
      <c r="L997" s="121" t="s">
        <v>2483</v>
      </c>
      <c r="M997" s="117" t="s">
        <v>1347</v>
      </c>
      <c r="N997" s="117" t="s">
        <v>1347</v>
      </c>
      <c r="O997" s="117" t="s">
        <v>984</v>
      </c>
      <c r="P997" s="117"/>
      <c r="Q997" s="119"/>
      <c r="R997" s="119"/>
      <c r="S997" s="119"/>
      <c r="T997" s="222"/>
      <c r="U997" s="222"/>
      <c r="V997" s="222"/>
      <c r="W997" s="230"/>
      <c r="X997" s="331">
        <f t="shared" si="47"/>
        <v>0</v>
      </c>
      <c r="Y997" s="222"/>
      <c r="Z997" s="272">
        <f t="shared" si="45"/>
        <v>0</v>
      </c>
      <c r="AA997" s="331"/>
      <c r="AB997" s="331"/>
      <c r="AC997" s="331"/>
      <c r="AD997" s="331"/>
      <c r="AE997" s="331"/>
      <c r="AF997" s="331"/>
      <c r="AG997" s="331"/>
      <c r="AH997" s="241">
        <f t="shared" ca="1" si="46"/>
        <v>46153</v>
      </c>
      <c r="AI997" s="272"/>
      <c r="AJ997" s="222"/>
      <c r="AK997" s="222"/>
    </row>
    <row r="998" spans="1:37" ht="23.25" hidden="1" customHeight="1">
      <c r="A998" s="111">
        <v>878</v>
      </c>
      <c r="B998" s="112" t="s">
        <v>1013</v>
      </c>
      <c r="C998" s="122" t="s">
        <v>3648</v>
      </c>
      <c r="D998" s="147" t="s">
        <v>3649</v>
      </c>
      <c r="E998" s="123" t="s">
        <v>3650</v>
      </c>
      <c r="F998" s="116" t="s">
        <v>3651</v>
      </c>
      <c r="G998" s="116" t="s">
        <v>1451</v>
      </c>
      <c r="H998" s="116">
        <v>13.718234900000001</v>
      </c>
      <c r="I998" s="116">
        <v>100.51974800000001</v>
      </c>
      <c r="J998" s="116" t="s">
        <v>890</v>
      </c>
      <c r="K998" s="117" t="s">
        <v>891</v>
      </c>
      <c r="L998" s="117" t="s">
        <v>891</v>
      </c>
      <c r="M998" s="117">
        <v>96929043</v>
      </c>
      <c r="N998" s="117" t="s">
        <v>892</v>
      </c>
      <c r="O998" s="117" t="s">
        <v>918</v>
      </c>
      <c r="P998" s="117" t="s">
        <v>894</v>
      </c>
      <c r="Q998" s="125" t="s">
        <v>972</v>
      </c>
      <c r="R998" s="138" t="s">
        <v>895</v>
      </c>
      <c r="S998" s="119" t="s">
        <v>895</v>
      </c>
      <c r="T998" s="222"/>
      <c r="U998" s="222"/>
      <c r="V998" s="222"/>
      <c r="W998" s="230"/>
      <c r="X998" s="331">
        <f t="shared" si="47"/>
        <v>0</v>
      </c>
      <c r="Y998" s="222"/>
      <c r="Z998" s="272">
        <f t="shared" si="45"/>
        <v>0</v>
      </c>
      <c r="AA998" s="331"/>
      <c r="AB998" s="331"/>
      <c r="AC998" s="331"/>
      <c r="AD998" s="331"/>
      <c r="AE998" s="331"/>
      <c r="AF998" s="331"/>
      <c r="AG998" s="331"/>
      <c r="AH998" s="241">
        <f t="shared" ca="1" si="46"/>
        <v>46153</v>
      </c>
      <c r="AI998" s="272"/>
      <c r="AJ998" s="222"/>
      <c r="AK998" s="222"/>
    </row>
    <row r="999" spans="1:37" ht="23" hidden="1">
      <c r="A999" s="111">
        <v>196</v>
      </c>
      <c r="B999" s="112">
        <v>15</v>
      </c>
      <c r="C999" s="113" t="s">
        <v>2615</v>
      </c>
      <c r="D999" s="147" t="s">
        <v>2616</v>
      </c>
      <c r="E999" s="114" t="s">
        <v>2617</v>
      </c>
      <c r="F999" s="115" t="s">
        <v>958</v>
      </c>
      <c r="G999" s="115" t="s">
        <v>1000</v>
      </c>
      <c r="H999" s="116">
        <v>13.776351</v>
      </c>
      <c r="I999" s="116">
        <v>100.507515</v>
      </c>
      <c r="J999" s="116" t="s">
        <v>969</v>
      </c>
      <c r="K999" s="115" t="s">
        <v>1048</v>
      </c>
      <c r="L999" s="117" t="s">
        <v>2618</v>
      </c>
      <c r="M999" s="117">
        <v>96972807</v>
      </c>
      <c r="N999" s="121" t="s">
        <v>892</v>
      </c>
      <c r="O999" s="121" t="s">
        <v>958</v>
      </c>
      <c r="P999" s="117" t="s">
        <v>952</v>
      </c>
      <c r="Q999" s="125" t="s">
        <v>972</v>
      </c>
      <c r="R999" s="125" t="s">
        <v>972</v>
      </c>
      <c r="S999" s="125" t="s">
        <v>972</v>
      </c>
      <c r="T999" s="222"/>
      <c r="U999" s="222"/>
      <c r="V999" s="222"/>
      <c r="W999" s="230"/>
      <c r="X999" s="331">
        <f t="shared" si="47"/>
        <v>0</v>
      </c>
      <c r="Y999" s="222"/>
      <c r="Z999" s="272">
        <f t="shared" si="45"/>
        <v>0</v>
      </c>
      <c r="AA999" s="331"/>
      <c r="AB999" s="331"/>
      <c r="AC999" s="331"/>
      <c r="AD999" s="331"/>
      <c r="AE999" s="331"/>
      <c r="AF999" s="331"/>
      <c r="AG999" s="331"/>
      <c r="AH999" s="241">
        <f t="shared" ca="1" si="46"/>
        <v>46153</v>
      </c>
      <c r="AI999" s="272"/>
      <c r="AJ999" s="222"/>
      <c r="AK999" s="222"/>
    </row>
    <row r="1000" spans="1:37" ht="23" hidden="1">
      <c r="A1000" s="111">
        <v>197</v>
      </c>
      <c r="B1000" s="112">
        <v>10</v>
      </c>
      <c r="C1000" s="113" t="s">
        <v>2619</v>
      </c>
      <c r="D1000" s="147" t="s">
        <v>2620</v>
      </c>
      <c r="E1000" s="114" t="s">
        <v>2621</v>
      </c>
      <c r="F1000" s="115" t="s">
        <v>958</v>
      </c>
      <c r="G1000" s="115" t="s">
        <v>1000</v>
      </c>
      <c r="H1000" s="115">
        <v>13.776350799999999</v>
      </c>
      <c r="I1000" s="115">
        <v>100.5075156</v>
      </c>
      <c r="J1000" s="116" t="s">
        <v>969</v>
      </c>
      <c r="K1000" s="115" t="s">
        <v>1048</v>
      </c>
      <c r="L1000" s="117" t="s">
        <v>2618</v>
      </c>
      <c r="M1000" s="117">
        <v>96972807</v>
      </c>
      <c r="N1000" s="121" t="s">
        <v>892</v>
      </c>
      <c r="O1000" s="121" t="s">
        <v>958</v>
      </c>
      <c r="P1000" s="117" t="s">
        <v>1876</v>
      </c>
      <c r="Q1000" s="125" t="s">
        <v>972</v>
      </c>
      <c r="R1000" s="125" t="s">
        <v>972</v>
      </c>
      <c r="S1000" s="125" t="s">
        <v>972</v>
      </c>
      <c r="T1000" s="222"/>
      <c r="U1000" s="222"/>
      <c r="V1000" s="222"/>
      <c r="W1000" s="230"/>
      <c r="X1000" s="331">
        <f t="shared" si="47"/>
        <v>0</v>
      </c>
      <c r="Y1000" s="222"/>
      <c r="Z1000" s="272">
        <f t="shared" si="45"/>
        <v>0</v>
      </c>
      <c r="AA1000" s="331"/>
      <c r="AB1000" s="331"/>
      <c r="AC1000" s="331"/>
      <c r="AD1000" s="331"/>
      <c r="AE1000" s="331"/>
      <c r="AF1000" s="331"/>
      <c r="AG1000" s="331"/>
      <c r="AH1000" s="241">
        <f t="shared" ca="1" si="46"/>
        <v>46153</v>
      </c>
      <c r="AI1000" s="272"/>
      <c r="AJ1000" s="222"/>
      <c r="AK1000" s="222"/>
    </row>
    <row r="1001" spans="1:37" ht="23.25" hidden="1" customHeight="1">
      <c r="A1001" s="111">
        <v>365</v>
      </c>
      <c r="B1001" s="112">
        <v>14</v>
      </c>
      <c r="C1001" s="113" t="s">
        <v>2760</v>
      </c>
      <c r="D1001" s="147" t="s">
        <v>2761</v>
      </c>
      <c r="E1001" s="114" t="s">
        <v>2762</v>
      </c>
      <c r="F1001" s="115" t="s">
        <v>958</v>
      </c>
      <c r="G1001" s="115" t="s">
        <v>1000</v>
      </c>
      <c r="H1001" s="116">
        <v>13.775002000000001</v>
      </c>
      <c r="I1001" s="116">
        <v>100.506839</v>
      </c>
      <c r="J1001" s="116" t="s">
        <v>890</v>
      </c>
      <c r="K1001" s="117" t="s">
        <v>2180</v>
      </c>
      <c r="L1001" s="117" t="s">
        <v>2180</v>
      </c>
      <c r="M1001" s="117">
        <v>96270124</v>
      </c>
      <c r="N1001" s="117" t="s">
        <v>892</v>
      </c>
      <c r="O1001" s="135" t="s">
        <v>958</v>
      </c>
      <c r="P1001" s="136" t="s">
        <v>1876</v>
      </c>
      <c r="Q1001" s="125" t="s">
        <v>972</v>
      </c>
      <c r="R1001" s="119" t="s">
        <v>895</v>
      </c>
      <c r="S1001" s="119" t="s">
        <v>895</v>
      </c>
      <c r="T1001" s="222"/>
      <c r="U1001" s="222"/>
      <c r="V1001" s="222"/>
      <c r="W1001" s="230"/>
      <c r="X1001" s="331">
        <f t="shared" si="47"/>
        <v>0</v>
      </c>
      <c r="Y1001" s="222"/>
      <c r="Z1001" s="272">
        <f t="shared" si="45"/>
        <v>0</v>
      </c>
      <c r="AA1001" s="331"/>
      <c r="AB1001" s="331"/>
      <c r="AC1001" s="331"/>
      <c r="AD1001" s="331"/>
      <c r="AE1001" s="331"/>
      <c r="AF1001" s="331"/>
      <c r="AG1001" s="331"/>
      <c r="AH1001" s="241">
        <f t="shared" ca="1" si="46"/>
        <v>46153</v>
      </c>
      <c r="AI1001" s="272"/>
      <c r="AJ1001" s="222"/>
      <c r="AK1001" s="222"/>
    </row>
    <row r="1002" spans="1:37" ht="23.25" hidden="1" customHeight="1">
      <c r="A1002" s="111">
        <v>275</v>
      </c>
      <c r="B1002" s="112">
        <v>4</v>
      </c>
      <c r="C1002" s="113" t="s">
        <v>2831</v>
      </c>
      <c r="D1002" s="147" t="s">
        <v>2832</v>
      </c>
      <c r="E1002" s="114" t="s">
        <v>2833</v>
      </c>
      <c r="F1002" s="115" t="s">
        <v>958</v>
      </c>
      <c r="G1002" s="115" t="s">
        <v>1000</v>
      </c>
      <c r="H1002" s="116">
        <v>13.792446999999999</v>
      </c>
      <c r="I1002" s="116">
        <v>100.51707399999999</v>
      </c>
      <c r="J1002" s="115" t="s">
        <v>2108</v>
      </c>
      <c r="K1002" s="117" t="s">
        <v>2109</v>
      </c>
      <c r="L1002" s="117" t="s">
        <v>2110</v>
      </c>
      <c r="M1002" s="121" t="s">
        <v>972</v>
      </c>
      <c r="N1002" s="121" t="s">
        <v>972</v>
      </c>
      <c r="O1002" s="135" t="s">
        <v>958</v>
      </c>
      <c r="P1002" s="136" t="s">
        <v>1876</v>
      </c>
      <c r="Q1002" s="125" t="s">
        <v>972</v>
      </c>
      <c r="R1002" s="130" t="s">
        <v>972</v>
      </c>
      <c r="S1002" s="125" t="s">
        <v>972</v>
      </c>
      <c r="T1002" s="222"/>
      <c r="U1002" s="222"/>
      <c r="V1002" s="222"/>
      <c r="W1002" s="230"/>
      <c r="X1002" s="331">
        <f t="shared" si="47"/>
        <v>0</v>
      </c>
      <c r="Y1002" s="222"/>
      <c r="Z1002" s="272">
        <f t="shared" si="45"/>
        <v>0</v>
      </c>
      <c r="AA1002" s="331"/>
      <c r="AB1002" s="331"/>
      <c r="AC1002" s="331"/>
      <c r="AD1002" s="331"/>
      <c r="AE1002" s="331"/>
      <c r="AF1002" s="331"/>
      <c r="AG1002" s="331"/>
      <c r="AH1002" s="241">
        <f t="shared" ca="1" si="46"/>
        <v>46153</v>
      </c>
      <c r="AI1002" s="272"/>
      <c r="AJ1002" s="222"/>
      <c r="AK1002" s="222"/>
    </row>
    <row r="1003" spans="1:37" ht="23.25" hidden="1" customHeight="1">
      <c r="A1003" s="111">
        <v>1053</v>
      </c>
      <c r="B1003" s="112">
        <v>5</v>
      </c>
      <c r="C1003" s="122" t="s">
        <v>4737</v>
      </c>
      <c r="D1003" s="147" t="s">
        <v>4738</v>
      </c>
      <c r="E1003" s="123" t="s">
        <v>4739</v>
      </c>
      <c r="F1003" s="116" t="s">
        <v>958</v>
      </c>
      <c r="G1003" s="116" t="s">
        <v>1000</v>
      </c>
      <c r="H1003" s="116">
        <v>13.792602</v>
      </c>
      <c r="I1003" s="116">
        <v>100.51676500000001</v>
      </c>
      <c r="J1003" s="115" t="s">
        <v>2108</v>
      </c>
      <c r="K1003" s="117" t="s">
        <v>2109</v>
      </c>
      <c r="L1003" s="117" t="s">
        <v>2110</v>
      </c>
      <c r="M1003" s="121" t="s">
        <v>972</v>
      </c>
      <c r="N1003" s="121" t="s">
        <v>972</v>
      </c>
      <c r="O1003" s="135" t="s">
        <v>958</v>
      </c>
      <c r="P1003" s="117" t="s">
        <v>1876</v>
      </c>
      <c r="Q1003" s="125" t="s">
        <v>972</v>
      </c>
      <c r="R1003" s="130" t="s">
        <v>972</v>
      </c>
      <c r="S1003" s="125" t="s">
        <v>972</v>
      </c>
      <c r="T1003" s="222"/>
      <c r="U1003" s="222"/>
      <c r="V1003" s="222"/>
      <c r="W1003" s="230"/>
      <c r="X1003" s="331">
        <f t="shared" si="47"/>
        <v>0</v>
      </c>
      <c r="Y1003" s="222"/>
      <c r="Z1003" s="272">
        <f t="shared" si="45"/>
        <v>0</v>
      </c>
      <c r="AA1003" s="331"/>
      <c r="AB1003" s="331"/>
      <c r="AC1003" s="331"/>
      <c r="AD1003" s="331"/>
      <c r="AE1003" s="331"/>
      <c r="AF1003" s="331"/>
      <c r="AG1003" s="331"/>
      <c r="AH1003" s="241">
        <f t="shared" ca="1" si="46"/>
        <v>46153</v>
      </c>
      <c r="AI1003" s="272"/>
      <c r="AJ1003" s="222"/>
      <c r="AK1003" s="222"/>
    </row>
    <row r="1004" spans="1:37" ht="23" hidden="1">
      <c r="A1004" s="111">
        <v>1054</v>
      </c>
      <c r="B1004" s="112">
        <v>8</v>
      </c>
      <c r="C1004" s="113" t="s">
        <v>4740</v>
      </c>
      <c r="D1004" s="557" t="s">
        <v>4741</v>
      </c>
      <c r="E1004" s="114" t="s">
        <v>4742</v>
      </c>
      <c r="F1004" s="115" t="s">
        <v>958</v>
      </c>
      <c r="G1004" s="115" t="s">
        <v>1000</v>
      </c>
      <c r="H1004" s="116">
        <v>13.790122200000001</v>
      </c>
      <c r="I1004" s="116">
        <v>100.51513780000001</v>
      </c>
      <c r="J1004" s="115" t="s">
        <v>2108</v>
      </c>
      <c r="K1004" s="117" t="s">
        <v>2109</v>
      </c>
      <c r="L1004" s="117" t="s">
        <v>2110</v>
      </c>
      <c r="M1004" s="121" t="s">
        <v>972</v>
      </c>
      <c r="N1004" s="121" t="s">
        <v>972</v>
      </c>
      <c r="O1004" s="135" t="s">
        <v>958</v>
      </c>
      <c r="P1004" s="136" t="s">
        <v>1876</v>
      </c>
      <c r="Q1004" s="125" t="s">
        <v>972</v>
      </c>
      <c r="R1004" s="125" t="s">
        <v>972</v>
      </c>
      <c r="S1004" s="125" t="s">
        <v>972</v>
      </c>
      <c r="T1004" s="222"/>
      <c r="U1004" s="222"/>
      <c r="V1004" s="222"/>
      <c r="W1004" s="230"/>
      <c r="X1004" s="331">
        <f t="shared" si="47"/>
        <v>0</v>
      </c>
      <c r="Y1004" s="222"/>
      <c r="Z1004" s="272">
        <f t="shared" si="45"/>
        <v>0</v>
      </c>
      <c r="AA1004" s="331"/>
      <c r="AB1004" s="331"/>
      <c r="AC1004" s="331"/>
      <c r="AD1004" s="331"/>
      <c r="AE1004" s="331"/>
      <c r="AF1004" s="331"/>
      <c r="AG1004" s="331"/>
      <c r="AH1004" s="241">
        <f t="shared" ca="1" si="46"/>
        <v>46153</v>
      </c>
      <c r="AI1004" s="272"/>
      <c r="AJ1004" s="222"/>
      <c r="AK1004" s="222"/>
    </row>
    <row r="1005" spans="1:37" ht="23" hidden="1">
      <c r="A1005" s="111">
        <v>792</v>
      </c>
      <c r="B1005" s="112">
        <v>6</v>
      </c>
      <c r="C1005" s="113" t="s">
        <v>4080</v>
      </c>
      <c r="D1005" s="147" t="s">
        <v>4081</v>
      </c>
      <c r="E1005" s="114" t="s">
        <v>4082</v>
      </c>
      <c r="F1005" s="115" t="s">
        <v>4083</v>
      </c>
      <c r="G1005" s="115" t="s">
        <v>990</v>
      </c>
      <c r="H1005" s="116">
        <v>13.734381900000001</v>
      </c>
      <c r="I1005" s="116">
        <v>100.5401018</v>
      </c>
      <c r="J1005" s="116" t="s">
        <v>969</v>
      </c>
      <c r="K1005" s="115" t="s">
        <v>1048</v>
      </c>
      <c r="L1005" s="121" t="s">
        <v>4084</v>
      </c>
      <c r="M1005" s="121">
        <v>96938097</v>
      </c>
      <c r="N1005" s="121" t="s">
        <v>892</v>
      </c>
      <c r="O1005" s="135" t="s">
        <v>984</v>
      </c>
      <c r="P1005" s="117" t="s">
        <v>894</v>
      </c>
      <c r="Q1005" s="125" t="s">
        <v>972</v>
      </c>
      <c r="R1005" s="125" t="s">
        <v>972</v>
      </c>
      <c r="S1005" s="125" t="s">
        <v>972</v>
      </c>
      <c r="T1005" s="222"/>
      <c r="U1005" s="222"/>
      <c r="V1005" s="222"/>
      <c r="W1005" s="230"/>
      <c r="X1005" s="331">
        <f t="shared" si="47"/>
        <v>0</v>
      </c>
      <c r="Y1005" s="222"/>
      <c r="Z1005" s="272">
        <f t="shared" si="45"/>
        <v>0</v>
      </c>
      <c r="AA1005" s="331"/>
      <c r="AB1005" s="331"/>
      <c r="AC1005" s="331"/>
      <c r="AD1005" s="331"/>
      <c r="AE1005" s="331"/>
      <c r="AF1005" s="331"/>
      <c r="AG1005" s="331"/>
      <c r="AH1005" s="241">
        <f t="shared" ca="1" si="46"/>
        <v>46153</v>
      </c>
      <c r="AI1005" s="272"/>
      <c r="AJ1005" s="222"/>
      <c r="AK1005" s="222"/>
    </row>
    <row r="1006" spans="1:37" ht="23.25" hidden="1" customHeight="1">
      <c r="A1006" s="111">
        <v>376</v>
      </c>
      <c r="B1006" s="112">
        <v>15</v>
      </c>
      <c r="C1006" s="113" t="s">
        <v>1320</v>
      </c>
      <c r="D1006" s="147" t="s">
        <v>1321</v>
      </c>
      <c r="E1006" s="114" t="s">
        <v>1322</v>
      </c>
      <c r="F1006" s="115" t="s">
        <v>1323</v>
      </c>
      <c r="G1006" s="115" t="s">
        <v>1081</v>
      </c>
      <c r="H1006" s="116">
        <v>13.787839</v>
      </c>
      <c r="I1006" s="116">
        <v>100.48495</v>
      </c>
      <c r="J1006" s="116" t="s">
        <v>890</v>
      </c>
      <c r="K1006" s="117" t="s">
        <v>891</v>
      </c>
      <c r="L1006" s="117" t="s">
        <v>891</v>
      </c>
      <c r="M1006" s="117">
        <v>96898362</v>
      </c>
      <c r="N1006" s="117" t="s">
        <v>892</v>
      </c>
      <c r="O1006" s="135" t="s">
        <v>984</v>
      </c>
      <c r="P1006" s="117" t="s">
        <v>894</v>
      </c>
      <c r="Q1006" s="118">
        <v>80057501</v>
      </c>
      <c r="R1006" s="138" t="s">
        <v>895</v>
      </c>
      <c r="S1006" s="119" t="s">
        <v>895</v>
      </c>
      <c r="T1006" s="222"/>
      <c r="U1006" s="222"/>
      <c r="V1006" s="222"/>
      <c r="W1006" s="230"/>
      <c r="X1006" s="331">
        <f t="shared" si="47"/>
        <v>0</v>
      </c>
      <c r="Y1006" s="222"/>
      <c r="Z1006" s="272">
        <f t="shared" si="45"/>
        <v>0</v>
      </c>
      <c r="AA1006" s="331"/>
      <c r="AB1006" s="331"/>
      <c r="AC1006" s="331"/>
      <c r="AD1006" s="331"/>
      <c r="AE1006" s="331"/>
      <c r="AF1006" s="331"/>
      <c r="AG1006" s="331"/>
      <c r="AH1006" s="241">
        <f t="shared" ca="1" si="46"/>
        <v>46153</v>
      </c>
      <c r="AI1006" s="272"/>
      <c r="AJ1006" s="222"/>
      <c r="AK1006" s="222"/>
    </row>
    <row r="1007" spans="1:37" ht="23" hidden="1">
      <c r="A1007" s="111">
        <v>1013</v>
      </c>
      <c r="B1007" s="112">
        <v>14</v>
      </c>
      <c r="C1007" s="113" t="s">
        <v>4637</v>
      </c>
      <c r="D1007" s="147" t="s">
        <v>4638</v>
      </c>
      <c r="E1007" s="114" t="s">
        <v>4639</v>
      </c>
      <c r="F1007" s="115" t="s">
        <v>1323</v>
      </c>
      <c r="G1007" s="115" t="s">
        <v>1081</v>
      </c>
      <c r="H1007" s="115">
        <v>13.7860561</v>
      </c>
      <c r="I1007" s="115">
        <v>100.4904939</v>
      </c>
      <c r="J1007" s="116" t="s">
        <v>2097</v>
      </c>
      <c r="K1007" s="116" t="s">
        <v>2097</v>
      </c>
      <c r="L1007" s="117" t="s">
        <v>2098</v>
      </c>
      <c r="M1007" s="116" t="s">
        <v>1347</v>
      </c>
      <c r="N1007" s="121" t="s">
        <v>892</v>
      </c>
      <c r="O1007" s="135" t="s">
        <v>984</v>
      </c>
      <c r="P1007" s="117" t="s">
        <v>894</v>
      </c>
      <c r="Q1007" s="125" t="s">
        <v>972</v>
      </c>
      <c r="R1007" s="125" t="s">
        <v>972</v>
      </c>
      <c r="S1007" s="130" t="s">
        <v>972</v>
      </c>
      <c r="T1007" s="222"/>
      <c r="U1007" s="222"/>
      <c r="V1007" s="222"/>
      <c r="W1007" s="230"/>
      <c r="X1007" s="331">
        <f t="shared" si="47"/>
        <v>0</v>
      </c>
      <c r="Y1007" s="222"/>
      <c r="Z1007" s="272">
        <f t="shared" si="45"/>
        <v>0</v>
      </c>
      <c r="AA1007" s="331"/>
      <c r="AB1007" s="331"/>
      <c r="AC1007" s="331"/>
      <c r="AD1007" s="331"/>
      <c r="AE1007" s="331"/>
      <c r="AF1007" s="331"/>
      <c r="AG1007" s="331"/>
      <c r="AH1007" s="241">
        <f t="shared" ca="1" si="46"/>
        <v>46153</v>
      </c>
      <c r="AI1007" s="272"/>
      <c r="AJ1007" s="222"/>
      <c r="AK1007" s="222"/>
    </row>
    <row r="1008" spans="1:37" ht="23.25" hidden="1" customHeight="1">
      <c r="A1008" s="111">
        <v>804</v>
      </c>
      <c r="B1008" s="112" t="s">
        <v>919</v>
      </c>
      <c r="C1008" s="113" t="s">
        <v>1775</v>
      </c>
      <c r="D1008" s="147" t="s">
        <v>1776</v>
      </c>
      <c r="E1008" s="114" t="s">
        <v>1777</v>
      </c>
      <c r="F1008" s="115" t="s">
        <v>1778</v>
      </c>
      <c r="G1008" s="115" t="s">
        <v>1542</v>
      </c>
      <c r="H1008" s="116">
        <v>13.725605</v>
      </c>
      <c r="I1008" s="131">
        <v>100.52589999999999</v>
      </c>
      <c r="J1008" s="116" t="s">
        <v>890</v>
      </c>
      <c r="K1008" s="117" t="s">
        <v>891</v>
      </c>
      <c r="L1008" s="117" t="s">
        <v>891</v>
      </c>
      <c r="M1008" s="117">
        <v>96898326</v>
      </c>
      <c r="N1008" s="117" t="s">
        <v>892</v>
      </c>
      <c r="O1008" s="135" t="s">
        <v>984</v>
      </c>
      <c r="P1008" s="117" t="s">
        <v>894</v>
      </c>
      <c r="Q1008" s="125" t="s">
        <v>972</v>
      </c>
      <c r="R1008" s="119" t="s">
        <v>895</v>
      </c>
      <c r="S1008" s="119" t="s">
        <v>895</v>
      </c>
      <c r="T1008" s="222"/>
      <c r="U1008" s="222"/>
      <c r="V1008" s="222"/>
      <c r="W1008" s="230"/>
      <c r="X1008" s="331">
        <f t="shared" si="47"/>
        <v>0</v>
      </c>
      <c r="Y1008" s="222"/>
      <c r="Z1008" s="272">
        <f t="shared" si="45"/>
        <v>0</v>
      </c>
      <c r="AA1008" s="331"/>
      <c r="AB1008" s="331"/>
      <c r="AC1008" s="331"/>
      <c r="AD1008" s="331"/>
      <c r="AE1008" s="331"/>
      <c r="AF1008" s="331"/>
      <c r="AG1008" s="331"/>
      <c r="AH1008" s="241">
        <f t="shared" ca="1" si="46"/>
        <v>46153</v>
      </c>
      <c r="AI1008" s="272"/>
      <c r="AJ1008" s="222"/>
      <c r="AK1008" s="222"/>
    </row>
    <row r="1009" spans="1:37" ht="23.25" hidden="1" customHeight="1">
      <c r="A1009" s="111">
        <v>24</v>
      </c>
      <c r="B1009" s="112">
        <v>6</v>
      </c>
      <c r="C1009" s="122" t="s">
        <v>2137</v>
      </c>
      <c r="D1009" s="147" t="s">
        <v>2138</v>
      </c>
      <c r="E1009" s="123" t="s">
        <v>2139</v>
      </c>
      <c r="F1009" s="116" t="s">
        <v>1778</v>
      </c>
      <c r="G1009" s="116" t="s">
        <v>1542</v>
      </c>
      <c r="H1009" s="116">
        <v>13.727519300000001</v>
      </c>
      <c r="I1009" s="116">
        <v>100.5312485</v>
      </c>
      <c r="J1009" s="116" t="s">
        <v>969</v>
      </c>
      <c r="K1009" s="115" t="s">
        <v>1048</v>
      </c>
      <c r="L1009" s="117" t="s">
        <v>2140</v>
      </c>
      <c r="M1009" s="117">
        <v>96938114</v>
      </c>
      <c r="N1009" s="121" t="s">
        <v>1050</v>
      </c>
      <c r="O1009" s="121" t="s">
        <v>984</v>
      </c>
      <c r="P1009" s="117" t="s">
        <v>894</v>
      </c>
      <c r="Q1009" s="125" t="s">
        <v>972</v>
      </c>
      <c r="R1009" s="125" t="s">
        <v>972</v>
      </c>
      <c r="S1009" s="125" t="s">
        <v>972</v>
      </c>
      <c r="T1009" s="222"/>
      <c r="U1009" s="222"/>
      <c r="V1009" s="222"/>
      <c r="W1009" s="230"/>
      <c r="X1009" s="331">
        <f t="shared" si="47"/>
        <v>0</v>
      </c>
      <c r="Y1009" s="222"/>
      <c r="Z1009" s="272">
        <f t="shared" si="45"/>
        <v>0</v>
      </c>
      <c r="AA1009" s="331"/>
      <c r="AB1009" s="331"/>
      <c r="AC1009" s="331"/>
      <c r="AD1009" s="331"/>
      <c r="AE1009" s="331"/>
      <c r="AF1009" s="331"/>
      <c r="AG1009" s="331"/>
      <c r="AH1009" s="241">
        <f t="shared" ca="1" si="46"/>
        <v>46153</v>
      </c>
      <c r="AI1009" s="272"/>
      <c r="AJ1009" s="222"/>
      <c r="AK1009" s="222"/>
    </row>
    <row r="1010" spans="1:37" ht="23.25" hidden="1" customHeight="1">
      <c r="A1010" s="111">
        <v>27</v>
      </c>
      <c r="B1010" s="112">
        <v>7</v>
      </c>
      <c r="C1010" s="113" t="s">
        <v>2144</v>
      </c>
      <c r="D1010" s="147" t="s">
        <v>2145</v>
      </c>
      <c r="E1010" s="114" t="s">
        <v>2146</v>
      </c>
      <c r="F1010" s="115" t="s">
        <v>1778</v>
      </c>
      <c r="G1010" s="115" t="s">
        <v>1542</v>
      </c>
      <c r="H1010" s="116">
        <v>13.723644</v>
      </c>
      <c r="I1010" s="116">
        <v>100.520848</v>
      </c>
      <c r="J1010" s="116" t="s">
        <v>969</v>
      </c>
      <c r="K1010" s="115" t="s">
        <v>1048</v>
      </c>
      <c r="L1010" s="117" t="s">
        <v>2147</v>
      </c>
      <c r="M1010" s="117">
        <v>96938121</v>
      </c>
      <c r="N1010" s="121" t="s">
        <v>892</v>
      </c>
      <c r="O1010" s="121" t="s">
        <v>984</v>
      </c>
      <c r="P1010" s="117" t="s">
        <v>894</v>
      </c>
      <c r="Q1010" s="125" t="s">
        <v>972</v>
      </c>
      <c r="R1010" s="125" t="s">
        <v>972</v>
      </c>
      <c r="S1010" s="125" t="s">
        <v>972</v>
      </c>
      <c r="T1010" s="222"/>
      <c r="U1010" s="222"/>
      <c r="V1010" s="222"/>
      <c r="W1010" s="230"/>
      <c r="X1010" s="331">
        <f t="shared" si="47"/>
        <v>0</v>
      </c>
      <c r="Y1010" s="222"/>
      <c r="Z1010" s="272">
        <f t="shared" si="45"/>
        <v>0</v>
      </c>
      <c r="AA1010" s="331"/>
      <c r="AB1010" s="331"/>
      <c r="AC1010" s="331"/>
      <c r="AD1010" s="331"/>
      <c r="AE1010" s="331"/>
      <c r="AF1010" s="331"/>
      <c r="AG1010" s="331"/>
      <c r="AH1010" s="241">
        <f t="shared" ca="1" si="46"/>
        <v>46153</v>
      </c>
      <c r="AI1010" s="272"/>
      <c r="AJ1010" s="222"/>
      <c r="AK1010" s="222"/>
    </row>
    <row r="1011" spans="1:37" ht="23.25" hidden="1" customHeight="1">
      <c r="A1011" s="111">
        <v>43</v>
      </c>
      <c r="B1011" s="112">
        <v>3</v>
      </c>
      <c r="C1011" s="122" t="s">
        <v>2202</v>
      </c>
      <c r="D1011" s="147" t="s">
        <v>2203</v>
      </c>
      <c r="E1011" s="123" t="s">
        <v>2204</v>
      </c>
      <c r="F1011" s="115" t="s">
        <v>1778</v>
      </c>
      <c r="G1011" s="115" t="s">
        <v>1542</v>
      </c>
      <c r="H1011" s="116">
        <v>13.7226043</v>
      </c>
      <c r="I1011" s="116">
        <v>100.51748240000001</v>
      </c>
      <c r="J1011" s="115" t="s">
        <v>2108</v>
      </c>
      <c r="K1011" s="117" t="s">
        <v>2109</v>
      </c>
      <c r="L1011" s="117" t="s">
        <v>2110</v>
      </c>
      <c r="M1011" s="121" t="s">
        <v>972</v>
      </c>
      <c r="N1011" s="121" t="s">
        <v>972</v>
      </c>
      <c r="O1011" s="121" t="s">
        <v>984</v>
      </c>
      <c r="P1011" s="118" t="s">
        <v>1876</v>
      </c>
      <c r="Q1011" s="125" t="s">
        <v>972</v>
      </c>
      <c r="R1011" s="125" t="s">
        <v>972</v>
      </c>
      <c r="S1011" s="125" t="s">
        <v>972</v>
      </c>
      <c r="T1011" s="222"/>
      <c r="U1011" s="222"/>
      <c r="V1011" s="222"/>
      <c r="W1011" s="230"/>
      <c r="X1011" s="331">
        <f t="shared" si="47"/>
        <v>0</v>
      </c>
      <c r="Y1011" s="222"/>
      <c r="Z1011" s="272">
        <f t="shared" si="45"/>
        <v>0</v>
      </c>
      <c r="AA1011" s="331"/>
      <c r="AB1011" s="331"/>
      <c r="AC1011" s="331"/>
      <c r="AD1011" s="331"/>
      <c r="AE1011" s="331"/>
      <c r="AF1011" s="331"/>
      <c r="AG1011" s="331"/>
      <c r="AH1011" s="241">
        <f t="shared" ca="1" si="46"/>
        <v>46153</v>
      </c>
      <c r="AI1011" s="272"/>
      <c r="AJ1011" s="222"/>
      <c r="AK1011" s="222"/>
    </row>
    <row r="1012" spans="1:37" ht="23" hidden="1">
      <c r="A1012" s="111">
        <v>44</v>
      </c>
      <c r="B1012" s="112">
        <v>5</v>
      </c>
      <c r="C1012" s="113" t="s">
        <v>2205</v>
      </c>
      <c r="D1012" s="147" t="s">
        <v>2206</v>
      </c>
      <c r="E1012" s="114" t="s">
        <v>2207</v>
      </c>
      <c r="F1012" s="115" t="s">
        <v>1778</v>
      </c>
      <c r="G1012" s="115" t="s">
        <v>1542</v>
      </c>
      <c r="H1012" s="116">
        <v>13.722927</v>
      </c>
      <c r="I1012" s="116">
        <v>100.51838100000001</v>
      </c>
      <c r="J1012" s="116" t="s">
        <v>2097</v>
      </c>
      <c r="K1012" s="116" t="s">
        <v>2097</v>
      </c>
      <c r="L1012" s="118" t="s">
        <v>2208</v>
      </c>
      <c r="M1012" s="116" t="s">
        <v>1347</v>
      </c>
      <c r="N1012" s="121" t="s">
        <v>892</v>
      </c>
      <c r="O1012" s="121" t="s">
        <v>984</v>
      </c>
      <c r="P1012" s="117" t="s">
        <v>894</v>
      </c>
      <c r="Q1012" s="125" t="s">
        <v>972</v>
      </c>
      <c r="R1012" s="125" t="s">
        <v>972</v>
      </c>
      <c r="S1012" s="125" t="s">
        <v>972</v>
      </c>
      <c r="T1012" s="222"/>
      <c r="U1012" s="222"/>
      <c r="V1012" s="222"/>
      <c r="W1012" s="230"/>
      <c r="X1012" s="331">
        <f t="shared" si="47"/>
        <v>0</v>
      </c>
      <c r="Y1012" s="222"/>
      <c r="Z1012" s="272">
        <f t="shared" si="45"/>
        <v>0</v>
      </c>
      <c r="AA1012" s="331"/>
      <c r="AB1012" s="331"/>
      <c r="AC1012" s="331"/>
      <c r="AD1012" s="331"/>
      <c r="AE1012" s="331"/>
      <c r="AF1012" s="331"/>
      <c r="AG1012" s="331"/>
      <c r="AH1012" s="241">
        <f t="shared" ca="1" si="46"/>
        <v>46153</v>
      </c>
      <c r="AI1012" s="272"/>
      <c r="AJ1012" s="222"/>
      <c r="AK1012" s="222"/>
    </row>
    <row r="1013" spans="1:37" ht="23" hidden="1">
      <c r="A1013" s="111">
        <v>143</v>
      </c>
      <c r="B1013" s="112">
        <v>14</v>
      </c>
      <c r="C1013" s="113" t="s">
        <v>2475</v>
      </c>
      <c r="D1013" s="147" t="s">
        <v>2476</v>
      </c>
      <c r="E1013" s="123" t="s">
        <v>2477</v>
      </c>
      <c r="F1013" s="116" t="s">
        <v>1778</v>
      </c>
      <c r="G1013" s="116" t="s">
        <v>1542</v>
      </c>
      <c r="H1013" s="116">
        <v>13.7232462</v>
      </c>
      <c r="I1013" s="116">
        <v>100.51969</v>
      </c>
      <c r="J1013" s="116" t="s">
        <v>2097</v>
      </c>
      <c r="K1013" s="116" t="s">
        <v>2097</v>
      </c>
      <c r="L1013" s="117" t="s">
        <v>2478</v>
      </c>
      <c r="M1013" s="121" t="s">
        <v>972</v>
      </c>
      <c r="N1013" s="121" t="s">
        <v>892</v>
      </c>
      <c r="O1013" s="121" t="s">
        <v>984</v>
      </c>
      <c r="P1013" s="117" t="s">
        <v>894</v>
      </c>
      <c r="Q1013" s="125" t="s">
        <v>972</v>
      </c>
      <c r="R1013" s="125" t="s">
        <v>972</v>
      </c>
      <c r="S1013" s="125" t="s">
        <v>972</v>
      </c>
      <c r="T1013" s="222"/>
      <c r="U1013" s="222"/>
      <c r="V1013" s="222"/>
      <c r="W1013" s="230"/>
      <c r="X1013" s="331">
        <f t="shared" si="47"/>
        <v>0</v>
      </c>
      <c r="Y1013" s="222"/>
      <c r="Z1013" s="272">
        <f t="shared" si="45"/>
        <v>0</v>
      </c>
      <c r="AA1013" s="331"/>
      <c r="AB1013" s="331"/>
      <c r="AC1013" s="331"/>
      <c r="AD1013" s="331"/>
      <c r="AE1013" s="331"/>
      <c r="AF1013" s="331"/>
      <c r="AG1013" s="331"/>
      <c r="AH1013" s="241">
        <f t="shared" ca="1" si="46"/>
        <v>46153</v>
      </c>
      <c r="AI1013" s="272"/>
      <c r="AJ1013" s="222"/>
      <c r="AK1013" s="222"/>
    </row>
    <row r="1014" spans="1:37" ht="23" hidden="1">
      <c r="A1014" s="111">
        <v>152</v>
      </c>
      <c r="B1014" s="112">
        <v>16</v>
      </c>
      <c r="C1014" s="122" t="s">
        <v>2504</v>
      </c>
      <c r="D1014" s="147" t="s">
        <v>2505</v>
      </c>
      <c r="E1014" s="123" t="s">
        <v>2506</v>
      </c>
      <c r="F1014" s="116" t="s">
        <v>1778</v>
      </c>
      <c r="G1014" s="116" t="s">
        <v>1542</v>
      </c>
      <c r="H1014" s="116">
        <v>13.725149399999999</v>
      </c>
      <c r="I1014" s="116">
        <v>100.5246039</v>
      </c>
      <c r="J1014" s="116" t="s">
        <v>2097</v>
      </c>
      <c r="K1014" s="116" t="s">
        <v>2097</v>
      </c>
      <c r="L1014" s="117" t="s">
        <v>2507</v>
      </c>
      <c r="M1014" s="121" t="s">
        <v>972</v>
      </c>
      <c r="N1014" s="121" t="s">
        <v>892</v>
      </c>
      <c r="O1014" s="121" t="s">
        <v>984</v>
      </c>
      <c r="P1014" s="117" t="s">
        <v>894</v>
      </c>
      <c r="Q1014" s="125" t="s">
        <v>972</v>
      </c>
      <c r="R1014" s="130" t="s">
        <v>972</v>
      </c>
      <c r="S1014" s="125" t="s">
        <v>972</v>
      </c>
      <c r="T1014" s="222"/>
      <c r="U1014" s="222"/>
      <c r="V1014" s="222"/>
      <c r="W1014" s="230"/>
      <c r="X1014" s="331">
        <f t="shared" si="47"/>
        <v>0</v>
      </c>
      <c r="Y1014" s="222"/>
      <c r="Z1014" s="272">
        <f t="shared" si="45"/>
        <v>0</v>
      </c>
      <c r="AA1014" s="331"/>
      <c r="AB1014" s="331"/>
      <c r="AC1014" s="331"/>
      <c r="AD1014" s="331"/>
      <c r="AE1014" s="331"/>
      <c r="AF1014" s="331"/>
      <c r="AG1014" s="331"/>
      <c r="AH1014" s="241">
        <f t="shared" ca="1" si="46"/>
        <v>46153</v>
      </c>
      <c r="AI1014" s="272"/>
      <c r="AJ1014" s="222"/>
      <c r="AK1014" s="222"/>
    </row>
    <row r="1015" spans="1:37" ht="23" hidden="1">
      <c r="A1015" s="111">
        <v>583</v>
      </c>
      <c r="B1015" s="112" t="s">
        <v>1071</v>
      </c>
      <c r="C1015" s="122" t="s">
        <v>2919</v>
      </c>
      <c r="D1015" s="147" t="s">
        <v>2920</v>
      </c>
      <c r="E1015" s="123" t="s">
        <v>2921</v>
      </c>
      <c r="F1015" s="116" t="s">
        <v>1778</v>
      </c>
      <c r="G1015" s="116" t="s">
        <v>1542</v>
      </c>
      <c r="H1015" s="117">
        <v>13.7273531</v>
      </c>
      <c r="I1015" s="117">
        <v>100.531195</v>
      </c>
      <c r="J1015" s="116" t="s">
        <v>890</v>
      </c>
      <c r="K1015" s="115" t="s">
        <v>1212</v>
      </c>
      <c r="L1015" s="117" t="s">
        <v>1213</v>
      </c>
      <c r="M1015" s="121">
        <v>18013174</v>
      </c>
      <c r="N1015" s="121" t="s">
        <v>892</v>
      </c>
      <c r="O1015" s="121" t="s">
        <v>984</v>
      </c>
      <c r="P1015" s="127" t="s">
        <v>1076</v>
      </c>
      <c r="Q1015" s="118">
        <v>80057501</v>
      </c>
      <c r="R1015" s="119" t="s">
        <v>972</v>
      </c>
      <c r="S1015" s="125" t="s">
        <v>895</v>
      </c>
      <c r="T1015" s="222"/>
      <c r="U1015" s="222"/>
      <c r="V1015" s="222"/>
      <c r="W1015" s="230"/>
      <c r="X1015" s="331">
        <f t="shared" si="47"/>
        <v>0</v>
      </c>
      <c r="Y1015" s="222"/>
      <c r="Z1015" s="272">
        <f t="shared" si="45"/>
        <v>0</v>
      </c>
      <c r="AA1015" s="331"/>
      <c r="AB1015" s="331"/>
      <c r="AC1015" s="331"/>
      <c r="AD1015" s="331"/>
      <c r="AE1015" s="331"/>
      <c r="AF1015" s="331"/>
      <c r="AG1015" s="331"/>
      <c r="AH1015" s="241">
        <f t="shared" ca="1" si="46"/>
        <v>46153</v>
      </c>
      <c r="AI1015" s="272"/>
      <c r="AJ1015" s="222"/>
      <c r="AK1015" s="222"/>
    </row>
    <row r="1016" spans="1:37" ht="23" hidden="1">
      <c r="A1016" s="111">
        <v>529</v>
      </c>
      <c r="B1016" s="112">
        <v>12</v>
      </c>
      <c r="C1016" s="113" t="s">
        <v>3446</v>
      </c>
      <c r="D1016" s="147" t="s">
        <v>3447</v>
      </c>
      <c r="E1016" s="114" t="s">
        <v>3448</v>
      </c>
      <c r="F1016" s="115" t="s">
        <v>1778</v>
      </c>
      <c r="G1016" s="115" t="s">
        <v>1542</v>
      </c>
      <c r="H1016" s="116">
        <v>13.723595899999999</v>
      </c>
      <c r="I1016" s="116">
        <v>100.52070209999999</v>
      </c>
      <c r="J1016" s="116" t="s">
        <v>969</v>
      </c>
      <c r="K1016" s="115" t="s">
        <v>1048</v>
      </c>
      <c r="L1016" s="117" t="s">
        <v>2147</v>
      </c>
      <c r="M1016" s="117">
        <v>96938121</v>
      </c>
      <c r="N1016" s="121" t="s">
        <v>892</v>
      </c>
      <c r="O1016" s="121" t="s">
        <v>984</v>
      </c>
      <c r="P1016" s="117" t="s">
        <v>894</v>
      </c>
      <c r="Q1016" s="125" t="s">
        <v>972</v>
      </c>
      <c r="R1016" s="125" t="s">
        <v>972</v>
      </c>
      <c r="S1016" s="125" t="s">
        <v>972</v>
      </c>
      <c r="T1016" s="222"/>
      <c r="U1016" s="222"/>
      <c r="V1016" s="222"/>
      <c r="W1016" s="230"/>
      <c r="X1016" s="331">
        <f t="shared" si="47"/>
        <v>0</v>
      </c>
      <c r="Y1016" s="222"/>
      <c r="Z1016" s="272">
        <f t="shared" si="45"/>
        <v>0</v>
      </c>
      <c r="AA1016" s="331"/>
      <c r="AB1016" s="331"/>
      <c r="AC1016" s="331"/>
      <c r="AD1016" s="331"/>
      <c r="AE1016" s="331"/>
      <c r="AF1016" s="331"/>
      <c r="AG1016" s="331"/>
      <c r="AH1016" s="241">
        <f t="shared" ca="1" si="46"/>
        <v>46153</v>
      </c>
      <c r="AI1016" s="272"/>
      <c r="AJ1016" s="222"/>
      <c r="AK1016" s="222"/>
    </row>
    <row r="1017" spans="1:37" ht="23.25" hidden="1" customHeight="1">
      <c r="A1017" s="111">
        <v>581</v>
      </c>
      <c r="B1017" s="112" t="s">
        <v>1071</v>
      </c>
      <c r="C1017" s="122" t="s">
        <v>3574</v>
      </c>
      <c r="D1017" s="147" t="s">
        <v>3575</v>
      </c>
      <c r="E1017" s="132" t="s">
        <v>3576</v>
      </c>
      <c r="F1017" s="116" t="s">
        <v>1778</v>
      </c>
      <c r="G1017" s="116" t="s">
        <v>1542</v>
      </c>
      <c r="H1017" s="117">
        <v>13.7285678</v>
      </c>
      <c r="I1017" s="117">
        <v>100.5346077</v>
      </c>
      <c r="J1017" s="116" t="s">
        <v>2097</v>
      </c>
      <c r="K1017" s="121" t="s">
        <v>2097</v>
      </c>
      <c r="L1017" s="121"/>
      <c r="M1017" s="116" t="s">
        <v>1347</v>
      </c>
      <c r="N1017" s="121" t="s">
        <v>972</v>
      </c>
      <c r="O1017" s="121"/>
      <c r="P1017" s="127" t="s">
        <v>1076</v>
      </c>
      <c r="Q1017" s="129" t="s">
        <v>972</v>
      </c>
      <c r="R1017" s="119" t="s">
        <v>972</v>
      </c>
      <c r="S1017" s="119" t="s">
        <v>972</v>
      </c>
      <c r="T1017" s="222"/>
      <c r="U1017" s="222"/>
      <c r="V1017" s="222"/>
      <c r="W1017" s="230"/>
      <c r="X1017" s="331">
        <f t="shared" si="47"/>
        <v>0</v>
      </c>
      <c r="Y1017" s="222"/>
      <c r="Z1017" s="272">
        <f t="shared" si="45"/>
        <v>0</v>
      </c>
      <c r="AA1017" s="331"/>
      <c r="AB1017" s="331"/>
      <c r="AC1017" s="331"/>
      <c r="AD1017" s="331"/>
      <c r="AE1017" s="331"/>
      <c r="AF1017" s="331"/>
      <c r="AG1017" s="331"/>
      <c r="AH1017" s="241">
        <f t="shared" ca="1" si="46"/>
        <v>46153</v>
      </c>
      <c r="AI1017" s="272"/>
      <c r="AJ1017" s="222"/>
      <c r="AK1017" s="222"/>
    </row>
    <row r="1018" spans="1:37" ht="23" hidden="1">
      <c r="A1018" s="111">
        <v>738</v>
      </c>
      <c r="B1018" s="112">
        <v>10</v>
      </c>
      <c r="C1018" s="113" t="s">
        <v>3959</v>
      </c>
      <c r="D1018" s="147" t="s">
        <v>3960</v>
      </c>
      <c r="E1018" s="114" t="s">
        <v>3961</v>
      </c>
      <c r="F1018" s="115" t="s">
        <v>1778</v>
      </c>
      <c r="G1018" s="115" t="s">
        <v>1542</v>
      </c>
      <c r="H1018" s="116">
        <v>13.723478999999999</v>
      </c>
      <c r="I1018" s="116">
        <v>100.519955</v>
      </c>
      <c r="J1018" s="116" t="s">
        <v>969</v>
      </c>
      <c r="K1018" s="115" t="s">
        <v>1048</v>
      </c>
      <c r="L1018" s="117" t="s">
        <v>3962</v>
      </c>
      <c r="M1018" s="117">
        <v>96938101</v>
      </c>
      <c r="N1018" s="121" t="s">
        <v>892</v>
      </c>
      <c r="O1018" s="121" t="s">
        <v>984</v>
      </c>
      <c r="P1018" s="117" t="s">
        <v>894</v>
      </c>
      <c r="Q1018" s="125" t="s">
        <v>972</v>
      </c>
      <c r="R1018" s="125" t="s">
        <v>972</v>
      </c>
      <c r="S1018" s="125" t="s">
        <v>972</v>
      </c>
      <c r="T1018" s="222"/>
      <c r="U1018" s="222"/>
      <c r="V1018" s="222"/>
      <c r="W1018" s="230"/>
      <c r="X1018" s="331">
        <f t="shared" si="47"/>
        <v>0</v>
      </c>
      <c r="Y1018" s="222"/>
      <c r="Z1018" s="272">
        <f t="shared" si="45"/>
        <v>0</v>
      </c>
      <c r="AA1018" s="331"/>
      <c r="AB1018" s="331"/>
      <c r="AC1018" s="331"/>
      <c r="AD1018" s="331"/>
      <c r="AE1018" s="331"/>
      <c r="AF1018" s="331"/>
      <c r="AG1018" s="331"/>
      <c r="AH1018" s="241">
        <f t="shared" ca="1" si="46"/>
        <v>46153</v>
      </c>
      <c r="AI1018" s="272"/>
      <c r="AJ1018" s="222"/>
      <c r="AK1018" s="222"/>
    </row>
    <row r="1019" spans="1:37" ht="23" hidden="1">
      <c r="A1019" s="111">
        <v>793</v>
      </c>
      <c r="B1019" s="112">
        <v>11</v>
      </c>
      <c r="C1019" s="113" t="s">
        <v>4085</v>
      </c>
      <c r="D1019" s="147" t="s">
        <v>4086</v>
      </c>
      <c r="E1019" s="114" t="s">
        <v>4087</v>
      </c>
      <c r="F1019" s="115" t="s">
        <v>1778</v>
      </c>
      <c r="G1019" s="115" t="s">
        <v>1542</v>
      </c>
      <c r="H1019" s="115">
        <v>13.722484100000001</v>
      </c>
      <c r="I1019" s="115">
        <v>100.5175852</v>
      </c>
      <c r="J1019" s="116" t="s">
        <v>2097</v>
      </c>
      <c r="K1019" s="116" t="s">
        <v>2097</v>
      </c>
      <c r="L1019" s="117" t="s">
        <v>4088</v>
      </c>
      <c r="M1019" s="116" t="s">
        <v>1347</v>
      </c>
      <c r="N1019" s="121" t="s">
        <v>892</v>
      </c>
      <c r="O1019" s="121" t="s">
        <v>984</v>
      </c>
      <c r="P1019" s="117" t="s">
        <v>894</v>
      </c>
      <c r="Q1019" s="125" t="s">
        <v>972</v>
      </c>
      <c r="R1019" s="125" t="s">
        <v>972</v>
      </c>
      <c r="S1019" s="125" t="s">
        <v>972</v>
      </c>
      <c r="T1019" s="222" t="s">
        <v>5178</v>
      </c>
      <c r="U1019" s="222" t="s">
        <v>5287</v>
      </c>
      <c r="V1019" s="222" t="s">
        <v>5371</v>
      </c>
      <c r="W1019" s="230"/>
      <c r="X1019" s="331" t="e">
        <f t="shared" si="47"/>
        <v>#VALUE!</v>
      </c>
      <c r="Y1019" s="222"/>
      <c r="Z1019" s="272" t="e">
        <f t="shared" si="45"/>
        <v>#VALUE!</v>
      </c>
      <c r="AA1019" s="331"/>
      <c r="AB1019" s="331"/>
      <c r="AC1019" s="331"/>
      <c r="AD1019" s="331"/>
      <c r="AE1019" s="331"/>
      <c r="AF1019" s="331"/>
      <c r="AG1019" s="331"/>
      <c r="AH1019" s="241">
        <f t="shared" ca="1" si="46"/>
        <v>46153</v>
      </c>
      <c r="AI1019" s="272"/>
      <c r="AJ1019" s="222"/>
      <c r="AK1019" s="222"/>
    </row>
    <row r="1020" spans="1:37" ht="23.25" hidden="1" customHeight="1">
      <c r="A1020" s="111">
        <v>989</v>
      </c>
      <c r="B1020" s="112" t="s">
        <v>1071</v>
      </c>
      <c r="C1020" s="122" t="s">
        <v>4592</v>
      </c>
      <c r="D1020" s="147" t="s">
        <v>4593</v>
      </c>
      <c r="E1020" s="132" t="s">
        <v>4594</v>
      </c>
      <c r="F1020" s="116" t="s">
        <v>1778</v>
      </c>
      <c r="G1020" s="116" t="s">
        <v>1542</v>
      </c>
      <c r="H1020" s="117">
        <v>13.727428</v>
      </c>
      <c r="I1020" s="117">
        <v>100.53098369999999</v>
      </c>
      <c r="J1020" s="116" t="s">
        <v>2097</v>
      </c>
      <c r="K1020" s="121" t="s">
        <v>2097</v>
      </c>
      <c r="L1020" s="121" t="s">
        <v>2494</v>
      </c>
      <c r="M1020" s="116" t="s">
        <v>1347</v>
      </c>
      <c r="N1020" s="121" t="s">
        <v>972</v>
      </c>
      <c r="O1020" s="121"/>
      <c r="P1020" s="127" t="s">
        <v>1076</v>
      </c>
      <c r="Q1020" s="129" t="s">
        <v>972</v>
      </c>
      <c r="R1020" s="119" t="s">
        <v>972</v>
      </c>
      <c r="S1020" s="119" t="s">
        <v>972</v>
      </c>
      <c r="T1020" s="222"/>
      <c r="U1020" s="222"/>
      <c r="V1020" s="222"/>
      <c r="W1020" s="230"/>
      <c r="X1020" s="331">
        <f t="shared" si="47"/>
        <v>0</v>
      </c>
      <c r="Y1020" s="222"/>
      <c r="Z1020" s="272">
        <f t="shared" si="45"/>
        <v>0</v>
      </c>
      <c r="AA1020" s="331"/>
      <c r="AB1020" s="331"/>
      <c r="AC1020" s="331"/>
      <c r="AD1020" s="331"/>
      <c r="AE1020" s="331"/>
      <c r="AF1020" s="331"/>
      <c r="AG1020" s="331"/>
      <c r="AH1020" s="241">
        <f t="shared" ca="1" si="46"/>
        <v>46153</v>
      </c>
      <c r="AI1020" s="272"/>
      <c r="AJ1020" s="222"/>
      <c r="AK1020" s="222"/>
    </row>
    <row r="1021" spans="1:37" ht="23.25" hidden="1" customHeight="1">
      <c r="A1021" s="111">
        <v>717</v>
      </c>
      <c r="B1021" s="112">
        <v>8</v>
      </c>
      <c r="C1021" s="113" t="s">
        <v>3893</v>
      </c>
      <c r="D1021" s="147" t="s">
        <v>3894</v>
      </c>
      <c r="E1021" s="114" t="s">
        <v>3895</v>
      </c>
      <c r="F1021" s="115" t="s">
        <v>3896</v>
      </c>
      <c r="G1021" s="115" t="s">
        <v>3897</v>
      </c>
      <c r="H1021" s="177">
        <v>13.812431</v>
      </c>
      <c r="I1021" s="177">
        <v>100.72388599999999</v>
      </c>
      <c r="J1021" s="116" t="s">
        <v>2108</v>
      </c>
      <c r="K1021" s="115" t="s">
        <v>2081</v>
      </c>
      <c r="L1021" s="117" t="s">
        <v>3898</v>
      </c>
      <c r="M1021" s="121" t="s">
        <v>972</v>
      </c>
      <c r="N1021" s="121" t="s">
        <v>972</v>
      </c>
      <c r="O1021" s="121" t="s">
        <v>3897</v>
      </c>
      <c r="P1021" s="117" t="s">
        <v>1876</v>
      </c>
      <c r="Q1021" s="125" t="s">
        <v>972</v>
      </c>
      <c r="R1021" s="125" t="s">
        <v>972</v>
      </c>
      <c r="S1021" s="125" t="s">
        <v>972</v>
      </c>
      <c r="T1021" s="222"/>
      <c r="U1021" s="222"/>
      <c r="V1021" s="222"/>
      <c r="W1021" s="230"/>
      <c r="X1021" s="331">
        <f t="shared" si="47"/>
        <v>0</v>
      </c>
      <c r="Y1021" s="222"/>
      <c r="Z1021" s="272">
        <f t="shared" si="45"/>
        <v>0</v>
      </c>
      <c r="AA1021" s="331"/>
      <c r="AB1021" s="331"/>
      <c r="AC1021" s="331"/>
      <c r="AD1021" s="331"/>
      <c r="AE1021" s="331"/>
      <c r="AF1021" s="331"/>
      <c r="AG1021" s="331"/>
      <c r="AH1021" s="241">
        <f t="shared" ca="1" si="46"/>
        <v>46153</v>
      </c>
      <c r="AI1021" s="272"/>
      <c r="AJ1021" s="222"/>
      <c r="AK1021" s="222"/>
    </row>
    <row r="1022" spans="1:37" ht="23" hidden="1">
      <c r="A1022" s="111">
        <v>722</v>
      </c>
      <c r="B1022" s="112">
        <v>14</v>
      </c>
      <c r="C1022" s="122" t="s">
        <v>3913</v>
      </c>
      <c r="D1022" s="147" t="s">
        <v>3914</v>
      </c>
      <c r="E1022" s="114" t="s">
        <v>3915</v>
      </c>
      <c r="F1022" s="115" t="s">
        <v>3896</v>
      </c>
      <c r="G1022" s="115" t="s">
        <v>3897</v>
      </c>
      <c r="H1022" s="115">
        <v>13.8137591</v>
      </c>
      <c r="I1022" s="115">
        <v>100.7323751</v>
      </c>
      <c r="J1022" s="115" t="s">
        <v>2108</v>
      </c>
      <c r="K1022" s="117" t="s">
        <v>2109</v>
      </c>
      <c r="L1022" s="117" t="s">
        <v>2110</v>
      </c>
      <c r="M1022" s="121" t="s">
        <v>972</v>
      </c>
      <c r="N1022" s="121" t="s">
        <v>972</v>
      </c>
      <c r="O1022" s="121" t="s">
        <v>3897</v>
      </c>
      <c r="P1022" s="117" t="s">
        <v>1876</v>
      </c>
      <c r="Q1022" s="125" t="s">
        <v>972</v>
      </c>
      <c r="R1022" s="125" t="s">
        <v>972</v>
      </c>
      <c r="S1022" s="125" t="s">
        <v>972</v>
      </c>
      <c r="T1022" s="222"/>
      <c r="U1022" s="222"/>
      <c r="V1022" s="222"/>
      <c r="W1022" s="230"/>
      <c r="X1022" s="331">
        <f t="shared" si="47"/>
        <v>0</v>
      </c>
      <c r="Y1022" s="222"/>
      <c r="Z1022" s="272">
        <f t="shared" si="45"/>
        <v>0</v>
      </c>
      <c r="AA1022" s="331"/>
      <c r="AB1022" s="331"/>
      <c r="AC1022" s="331"/>
      <c r="AD1022" s="331"/>
      <c r="AE1022" s="331"/>
      <c r="AF1022" s="331"/>
      <c r="AG1022" s="331"/>
      <c r="AH1022" s="241">
        <f t="shared" ca="1" si="46"/>
        <v>46153</v>
      </c>
      <c r="AI1022" s="272"/>
      <c r="AJ1022" s="222"/>
      <c r="AK1022" s="222"/>
    </row>
    <row r="1023" spans="1:37" ht="23" hidden="1">
      <c r="A1023" s="111">
        <v>406</v>
      </c>
      <c r="B1023" s="112">
        <v>7</v>
      </c>
      <c r="C1023" s="113" t="s">
        <v>3122</v>
      </c>
      <c r="D1023" s="147" t="s">
        <v>3123</v>
      </c>
      <c r="E1023" s="114" t="s">
        <v>3124</v>
      </c>
      <c r="F1023" s="115" t="s">
        <v>3125</v>
      </c>
      <c r="G1023" s="115" t="s">
        <v>901</v>
      </c>
      <c r="H1023" s="116">
        <v>13.766914</v>
      </c>
      <c r="I1023" s="116">
        <v>100.649503</v>
      </c>
      <c r="J1023" s="115" t="s">
        <v>2108</v>
      </c>
      <c r="K1023" s="117" t="s">
        <v>2109</v>
      </c>
      <c r="L1023" s="117" t="s">
        <v>2110</v>
      </c>
      <c r="M1023" s="121" t="s">
        <v>972</v>
      </c>
      <c r="N1023" s="121" t="s">
        <v>972</v>
      </c>
      <c r="O1023" s="121" t="s">
        <v>901</v>
      </c>
      <c r="P1023" s="118" t="s">
        <v>1876</v>
      </c>
      <c r="Q1023" s="125" t="s">
        <v>972</v>
      </c>
      <c r="R1023" s="125" t="s">
        <v>972</v>
      </c>
      <c r="S1023" s="125" t="s">
        <v>972</v>
      </c>
      <c r="T1023" s="222"/>
      <c r="U1023" s="222"/>
      <c r="V1023" s="222"/>
      <c r="W1023" s="230"/>
      <c r="X1023" s="331">
        <f t="shared" si="47"/>
        <v>0</v>
      </c>
      <c r="Y1023" s="222"/>
      <c r="Z1023" s="272">
        <f t="shared" si="45"/>
        <v>0</v>
      </c>
      <c r="AA1023" s="331"/>
      <c r="AB1023" s="331"/>
      <c r="AC1023" s="331"/>
      <c r="AD1023" s="331"/>
      <c r="AE1023" s="331"/>
      <c r="AF1023" s="331"/>
      <c r="AG1023" s="331"/>
      <c r="AH1023" s="241">
        <f t="shared" ca="1" si="46"/>
        <v>46153</v>
      </c>
      <c r="AI1023" s="272"/>
      <c r="AJ1023" s="222"/>
      <c r="AK1023" s="222"/>
    </row>
    <row r="1024" spans="1:37" ht="23" hidden="1">
      <c r="A1024" s="111">
        <v>569</v>
      </c>
      <c r="B1024" s="112">
        <v>16</v>
      </c>
      <c r="C1024" s="113" t="s">
        <v>3544</v>
      </c>
      <c r="D1024" s="147" t="s">
        <v>3545</v>
      </c>
      <c r="E1024" s="114" t="s">
        <v>3546</v>
      </c>
      <c r="F1024" s="115" t="s">
        <v>3125</v>
      </c>
      <c r="G1024" s="115" t="s">
        <v>901</v>
      </c>
      <c r="H1024" s="116">
        <v>13.7710998</v>
      </c>
      <c r="I1024" s="116">
        <v>100.65328169999999</v>
      </c>
      <c r="J1024" s="115" t="s">
        <v>2108</v>
      </c>
      <c r="K1024" s="117" t="s">
        <v>2109</v>
      </c>
      <c r="L1024" s="117" t="s">
        <v>2110</v>
      </c>
      <c r="M1024" s="301" t="s">
        <v>972</v>
      </c>
      <c r="N1024" s="301" t="s">
        <v>972</v>
      </c>
      <c r="O1024" s="301" t="s">
        <v>901</v>
      </c>
      <c r="P1024" s="300" t="s">
        <v>1876</v>
      </c>
      <c r="Q1024" s="355" t="s">
        <v>972</v>
      </c>
      <c r="R1024" s="355" t="s">
        <v>972</v>
      </c>
      <c r="S1024" s="355" t="s">
        <v>972</v>
      </c>
      <c r="T1024" s="316" t="s">
        <v>5178</v>
      </c>
      <c r="U1024" s="316"/>
      <c r="V1024" s="316"/>
      <c r="W1024" s="552"/>
      <c r="X1024" s="331">
        <f t="shared" si="47"/>
        <v>0</v>
      </c>
      <c r="Y1024" s="316"/>
      <c r="Z1024" s="318">
        <f t="shared" si="45"/>
        <v>0</v>
      </c>
      <c r="AA1024" s="331"/>
      <c r="AB1024" s="331"/>
      <c r="AC1024" s="331"/>
      <c r="AD1024" s="331"/>
      <c r="AE1024" s="331"/>
      <c r="AF1024" s="331"/>
      <c r="AG1024" s="331"/>
      <c r="AH1024" s="317">
        <f t="shared" ca="1" si="46"/>
        <v>46153</v>
      </c>
      <c r="AI1024" s="318"/>
      <c r="AJ1024" s="316"/>
      <c r="AK1024" s="316"/>
    </row>
    <row r="1025" spans="1:37" ht="23" hidden="1">
      <c r="A1025" s="111">
        <v>1037</v>
      </c>
      <c r="B1025" s="112">
        <v>9</v>
      </c>
      <c r="C1025" s="122" t="s">
        <v>4704</v>
      </c>
      <c r="D1025" s="147" t="s">
        <v>4705</v>
      </c>
      <c r="E1025" s="114" t="s">
        <v>4706</v>
      </c>
      <c r="F1025" s="115" t="s">
        <v>3125</v>
      </c>
      <c r="G1025" s="115" t="s">
        <v>901</v>
      </c>
      <c r="H1025" s="116">
        <v>13.771990000000001</v>
      </c>
      <c r="I1025" s="116">
        <v>100.65410199999999</v>
      </c>
      <c r="J1025" s="115" t="s">
        <v>2108</v>
      </c>
      <c r="K1025" s="117" t="s">
        <v>2109</v>
      </c>
      <c r="L1025" s="117" t="s">
        <v>2110</v>
      </c>
      <c r="M1025" s="121" t="s">
        <v>972</v>
      </c>
      <c r="N1025" s="121" t="s">
        <v>972</v>
      </c>
      <c r="O1025" s="121" t="s">
        <v>901</v>
      </c>
      <c r="P1025" s="117" t="s">
        <v>1876</v>
      </c>
      <c r="Q1025" s="125" t="s">
        <v>972</v>
      </c>
      <c r="R1025" s="125" t="s">
        <v>972</v>
      </c>
      <c r="S1025" s="125" t="s">
        <v>972</v>
      </c>
      <c r="T1025" s="222"/>
      <c r="U1025" s="222"/>
      <c r="V1025" s="222"/>
      <c r="W1025" s="230"/>
      <c r="X1025" s="331">
        <f t="shared" si="47"/>
        <v>0</v>
      </c>
      <c r="Y1025" s="222"/>
      <c r="Z1025" s="272">
        <f t="shared" si="45"/>
        <v>0</v>
      </c>
      <c r="AA1025" s="331"/>
      <c r="AB1025" s="331"/>
      <c r="AC1025" s="331"/>
      <c r="AD1025" s="331"/>
      <c r="AE1025" s="331"/>
      <c r="AF1025" s="331"/>
      <c r="AG1025" s="331"/>
      <c r="AH1025" s="241">
        <f t="shared" ca="1" si="46"/>
        <v>46153</v>
      </c>
      <c r="AI1025" s="272"/>
      <c r="AJ1025" s="222"/>
      <c r="AK1025" s="222"/>
    </row>
    <row r="1026" spans="1:37" ht="23.25" hidden="1" customHeight="1">
      <c r="A1026" s="111">
        <v>1091</v>
      </c>
      <c r="B1026" s="112">
        <v>10</v>
      </c>
      <c r="C1026" s="113" t="s">
        <v>4828</v>
      </c>
      <c r="D1026" s="147" t="s">
        <v>4829</v>
      </c>
      <c r="E1026" s="114" t="s">
        <v>4830</v>
      </c>
      <c r="F1026" s="115" t="s">
        <v>3125</v>
      </c>
      <c r="G1026" s="115" t="s">
        <v>901</v>
      </c>
      <c r="H1026" s="116">
        <v>13.7697416</v>
      </c>
      <c r="I1026" s="116">
        <v>100.6522488</v>
      </c>
      <c r="J1026" s="115" t="s">
        <v>2108</v>
      </c>
      <c r="K1026" s="117" t="s">
        <v>2109</v>
      </c>
      <c r="L1026" s="117" t="s">
        <v>2110</v>
      </c>
      <c r="M1026" s="121" t="s">
        <v>972</v>
      </c>
      <c r="N1026" s="121" t="s">
        <v>972</v>
      </c>
      <c r="O1026" s="121" t="s">
        <v>901</v>
      </c>
      <c r="P1026" s="117" t="s">
        <v>1876</v>
      </c>
      <c r="Q1026" s="125" t="s">
        <v>972</v>
      </c>
      <c r="R1026" s="125" t="s">
        <v>972</v>
      </c>
      <c r="S1026" s="125" t="s">
        <v>972</v>
      </c>
      <c r="T1026" s="222"/>
      <c r="U1026" s="222"/>
      <c r="V1026" s="222"/>
      <c r="W1026" s="230"/>
      <c r="X1026" s="331">
        <f t="shared" si="47"/>
        <v>0</v>
      </c>
      <c r="Y1026" s="222"/>
      <c r="Z1026" s="272">
        <f t="shared" si="45"/>
        <v>0</v>
      </c>
      <c r="AA1026" s="331"/>
      <c r="AB1026" s="331"/>
      <c r="AC1026" s="331"/>
      <c r="AD1026" s="331"/>
      <c r="AE1026" s="331"/>
      <c r="AF1026" s="331"/>
      <c r="AG1026" s="331"/>
      <c r="AH1026" s="241">
        <f t="shared" ca="1" si="46"/>
        <v>46153</v>
      </c>
      <c r="AI1026" s="272"/>
      <c r="AJ1026" s="222"/>
      <c r="AK1026" s="222"/>
    </row>
    <row r="1027" spans="1:37" ht="23.25" hidden="1" customHeight="1">
      <c r="A1027" s="111">
        <v>239</v>
      </c>
      <c r="B1027" s="128" t="s">
        <v>1155</v>
      </c>
      <c r="C1027" s="113" t="s">
        <v>1156</v>
      </c>
      <c r="D1027" s="147" t="s">
        <v>1157</v>
      </c>
      <c r="E1027" s="123" t="s">
        <v>1158</v>
      </c>
      <c r="F1027" s="116" t="s">
        <v>1159</v>
      </c>
      <c r="G1027" s="116" t="s">
        <v>984</v>
      </c>
      <c r="H1027" s="116">
        <v>13.7231594</v>
      </c>
      <c r="I1027" s="116">
        <v>100.5799277</v>
      </c>
      <c r="J1027" s="116" t="s">
        <v>890</v>
      </c>
      <c r="K1027" s="117" t="s">
        <v>891</v>
      </c>
      <c r="L1027" s="117" t="s">
        <v>891</v>
      </c>
      <c r="M1027" s="117">
        <v>96898727</v>
      </c>
      <c r="N1027" s="117" t="s">
        <v>1050</v>
      </c>
      <c r="O1027" s="121" t="s">
        <v>984</v>
      </c>
      <c r="P1027" s="117" t="s">
        <v>894</v>
      </c>
      <c r="Q1027" s="118">
        <v>80057501</v>
      </c>
      <c r="R1027" s="119" t="s">
        <v>895</v>
      </c>
      <c r="S1027" s="119" t="s">
        <v>895</v>
      </c>
      <c r="T1027" s="222"/>
      <c r="U1027" s="222"/>
      <c r="V1027" s="222"/>
      <c r="W1027" s="230"/>
      <c r="X1027" s="331">
        <f t="shared" si="47"/>
        <v>0</v>
      </c>
      <c r="Y1027" s="222"/>
      <c r="Z1027" s="272">
        <f t="shared" ref="Z1027:Z1090" si="48">DATEDIF(X1027,Y1027,"d")</f>
        <v>0</v>
      </c>
      <c r="AA1027" s="331"/>
      <c r="AB1027" s="331"/>
      <c r="AC1027" s="331"/>
      <c r="AD1027" s="331"/>
      <c r="AE1027" s="331"/>
      <c r="AF1027" s="331"/>
      <c r="AG1027" s="331"/>
      <c r="AH1027" s="241">
        <f t="shared" ref="AH1027:AH1090" ca="1" si="49">TODAY()</f>
        <v>46153</v>
      </c>
      <c r="AI1027" s="272"/>
      <c r="AJ1027" s="222"/>
      <c r="AK1027" s="222"/>
    </row>
    <row r="1028" spans="1:37" ht="23.25" hidden="1" customHeight="1">
      <c r="A1028" s="111">
        <v>315</v>
      </c>
      <c r="B1028" s="112">
        <v>11</v>
      </c>
      <c r="C1028" s="113" t="s">
        <v>1256</v>
      </c>
      <c r="D1028" s="557" t="s">
        <v>1257</v>
      </c>
      <c r="E1028" s="114" t="s">
        <v>5128</v>
      </c>
      <c r="F1028" s="115" t="s">
        <v>1159</v>
      </c>
      <c r="G1028" s="115" t="s">
        <v>1018</v>
      </c>
      <c r="H1028" s="116">
        <v>13.7357117</v>
      </c>
      <c r="I1028" s="116">
        <v>100.5623995</v>
      </c>
      <c r="J1028" s="116" t="s">
        <v>890</v>
      </c>
      <c r="K1028" s="117" t="s">
        <v>891</v>
      </c>
      <c r="L1028" s="117" t="s">
        <v>1050</v>
      </c>
      <c r="M1028" s="117">
        <v>97318599</v>
      </c>
      <c r="N1028" s="117" t="s">
        <v>892</v>
      </c>
      <c r="O1028" s="121" t="s">
        <v>984</v>
      </c>
      <c r="P1028" s="117" t="s">
        <v>894</v>
      </c>
      <c r="Q1028" s="118">
        <v>80057501</v>
      </c>
      <c r="R1028" s="119" t="s">
        <v>895</v>
      </c>
      <c r="S1028" s="119" t="s">
        <v>895</v>
      </c>
      <c r="T1028" s="312" t="s">
        <v>5212</v>
      </c>
      <c r="U1028" s="312" t="s">
        <v>5184</v>
      </c>
      <c r="V1028" s="329">
        <v>45005</v>
      </c>
      <c r="W1028" s="326">
        <v>4</v>
      </c>
      <c r="X1028" s="331">
        <f t="shared" ref="X1028:X1091" si="50">V1028+(W1028)</f>
        <v>45009</v>
      </c>
      <c r="Y1028" s="329">
        <v>45010</v>
      </c>
      <c r="Z1028" s="332">
        <f t="shared" si="48"/>
        <v>1</v>
      </c>
      <c r="AA1028" s="331"/>
      <c r="AB1028" s="331"/>
      <c r="AC1028" s="331"/>
      <c r="AD1028" s="331"/>
      <c r="AE1028" s="331"/>
      <c r="AF1028" s="331"/>
      <c r="AG1028" s="331"/>
      <c r="AH1028" s="329">
        <f t="shared" ca="1" si="49"/>
        <v>46153</v>
      </c>
      <c r="AI1028" s="330"/>
      <c r="AJ1028" s="312" t="s">
        <v>5143</v>
      </c>
      <c r="AK1028" s="312"/>
    </row>
    <row r="1029" spans="1:37" ht="23.25" hidden="1" customHeight="1">
      <c r="A1029" s="111">
        <v>377</v>
      </c>
      <c r="B1029" s="112">
        <v>4</v>
      </c>
      <c r="C1029" s="113" t="s">
        <v>1324</v>
      </c>
      <c r="D1029" s="557" t="s">
        <v>1325</v>
      </c>
      <c r="E1029" s="114" t="s">
        <v>1326</v>
      </c>
      <c r="F1029" s="115" t="s">
        <v>1159</v>
      </c>
      <c r="G1029" s="115" t="s">
        <v>984</v>
      </c>
      <c r="H1029" s="115">
        <v>13.734805</v>
      </c>
      <c r="I1029" s="115">
        <v>100.5635011</v>
      </c>
      <c r="J1029" s="116" t="s">
        <v>890</v>
      </c>
      <c r="K1029" s="117" t="s">
        <v>891</v>
      </c>
      <c r="L1029" s="117" t="s">
        <v>891</v>
      </c>
      <c r="M1029" s="117">
        <v>96898729</v>
      </c>
      <c r="N1029" s="117" t="s">
        <v>1050</v>
      </c>
      <c r="O1029" s="121" t="s">
        <v>984</v>
      </c>
      <c r="P1029" s="117" t="s">
        <v>894</v>
      </c>
      <c r="Q1029" s="118">
        <v>80057501</v>
      </c>
      <c r="R1029" s="119" t="s">
        <v>895</v>
      </c>
      <c r="S1029" s="119" t="s">
        <v>895</v>
      </c>
      <c r="T1029" s="222"/>
      <c r="U1029" s="222"/>
      <c r="V1029" s="222"/>
      <c r="W1029" s="230"/>
      <c r="X1029" s="331">
        <f t="shared" si="50"/>
        <v>0</v>
      </c>
      <c r="Y1029" s="222"/>
      <c r="Z1029" s="272">
        <f t="shared" si="48"/>
        <v>0</v>
      </c>
      <c r="AA1029" s="331"/>
      <c r="AB1029" s="331"/>
      <c r="AC1029" s="331"/>
      <c r="AD1029" s="331"/>
      <c r="AE1029" s="331"/>
      <c r="AF1029" s="331"/>
      <c r="AG1029" s="331"/>
      <c r="AH1029" s="241">
        <f t="shared" ca="1" si="49"/>
        <v>46153</v>
      </c>
      <c r="AI1029" s="272"/>
      <c r="AJ1029" s="222"/>
      <c r="AK1029" s="222"/>
    </row>
    <row r="1030" spans="1:37" ht="23.25" hidden="1" customHeight="1">
      <c r="A1030" s="111">
        <v>410</v>
      </c>
      <c r="B1030" s="112" t="s">
        <v>1013</v>
      </c>
      <c r="C1030" s="113" t="s">
        <v>1370</v>
      </c>
      <c r="D1030" s="147" t="s">
        <v>1371</v>
      </c>
      <c r="E1030" s="114" t="s">
        <v>1372</v>
      </c>
      <c r="F1030" s="115" t="s">
        <v>1159</v>
      </c>
      <c r="G1030" s="115" t="s">
        <v>984</v>
      </c>
      <c r="H1030" s="116">
        <v>13.720141999999999</v>
      </c>
      <c r="I1030" s="116">
        <v>100.584157</v>
      </c>
      <c r="J1030" s="116" t="s">
        <v>890</v>
      </c>
      <c r="K1030" s="117" t="s">
        <v>891</v>
      </c>
      <c r="L1030" s="117" t="s">
        <v>891</v>
      </c>
      <c r="M1030" s="117">
        <v>96898730</v>
      </c>
      <c r="N1030" s="117" t="s">
        <v>1050</v>
      </c>
      <c r="O1030" s="121" t="s">
        <v>984</v>
      </c>
      <c r="P1030" s="117" t="s">
        <v>894</v>
      </c>
      <c r="Q1030" s="118">
        <v>80057501</v>
      </c>
      <c r="R1030" s="119" t="s">
        <v>895</v>
      </c>
      <c r="S1030" s="119" t="s">
        <v>895</v>
      </c>
      <c r="T1030" s="222"/>
      <c r="U1030" s="222"/>
      <c r="V1030" s="222"/>
      <c r="W1030" s="230"/>
      <c r="X1030" s="331">
        <f t="shared" si="50"/>
        <v>0</v>
      </c>
      <c r="Y1030" s="222"/>
      <c r="Z1030" s="272">
        <f t="shared" si="48"/>
        <v>0</v>
      </c>
      <c r="AA1030" s="331"/>
      <c r="AB1030" s="331"/>
      <c r="AC1030" s="331"/>
      <c r="AD1030" s="331"/>
      <c r="AE1030" s="331"/>
      <c r="AF1030" s="331"/>
      <c r="AG1030" s="331"/>
      <c r="AH1030" s="241">
        <f t="shared" ca="1" si="49"/>
        <v>46153</v>
      </c>
      <c r="AI1030" s="272"/>
      <c r="AJ1030" s="222"/>
      <c r="AK1030" s="222"/>
    </row>
    <row r="1031" spans="1:37" ht="23.25" hidden="1" customHeight="1">
      <c r="A1031" s="111">
        <v>539</v>
      </c>
      <c r="B1031" s="112" t="s">
        <v>1082</v>
      </c>
      <c r="C1031" s="113" t="s">
        <v>1492</v>
      </c>
      <c r="D1031" s="557" t="s">
        <v>1493</v>
      </c>
      <c r="E1031" s="114" t="s">
        <v>1494</v>
      </c>
      <c r="F1031" s="115" t="s">
        <v>1159</v>
      </c>
      <c r="G1031" s="115" t="s">
        <v>984</v>
      </c>
      <c r="H1031" s="116">
        <v>13.728166</v>
      </c>
      <c r="I1031" s="116">
        <v>100.57283200000001</v>
      </c>
      <c r="J1031" s="116" t="s">
        <v>890</v>
      </c>
      <c r="K1031" s="117" t="s">
        <v>891</v>
      </c>
      <c r="L1031" s="117" t="s">
        <v>891</v>
      </c>
      <c r="M1031" s="117">
        <v>96898732</v>
      </c>
      <c r="N1031" s="117" t="s">
        <v>1050</v>
      </c>
      <c r="O1031" s="121" t="s">
        <v>984</v>
      </c>
      <c r="P1031" s="117" t="s">
        <v>894</v>
      </c>
      <c r="Q1031" s="118">
        <v>80057501</v>
      </c>
      <c r="R1031" s="119" t="s">
        <v>895</v>
      </c>
      <c r="S1031" s="119" t="s">
        <v>895</v>
      </c>
      <c r="T1031" s="222"/>
      <c r="U1031" s="222"/>
      <c r="V1031" s="222"/>
      <c r="W1031" s="230"/>
      <c r="X1031" s="331">
        <f t="shared" si="50"/>
        <v>0</v>
      </c>
      <c r="Y1031" s="222"/>
      <c r="Z1031" s="272">
        <f t="shared" si="48"/>
        <v>0</v>
      </c>
      <c r="AA1031" s="331"/>
      <c r="AB1031" s="331"/>
      <c r="AC1031" s="331"/>
      <c r="AD1031" s="331"/>
      <c r="AE1031" s="331"/>
      <c r="AF1031" s="331"/>
      <c r="AG1031" s="331"/>
      <c r="AH1031" s="241">
        <f t="shared" ca="1" si="49"/>
        <v>46153</v>
      </c>
      <c r="AI1031" s="272"/>
      <c r="AJ1031" s="222"/>
      <c r="AK1031" s="222"/>
    </row>
    <row r="1032" spans="1:37" ht="23.25" hidden="1" customHeight="1">
      <c r="A1032" s="111">
        <v>685</v>
      </c>
      <c r="B1032" s="112">
        <v>12</v>
      </c>
      <c r="C1032" s="113" t="s">
        <v>1650</v>
      </c>
      <c r="D1032" s="147" t="s">
        <v>1651</v>
      </c>
      <c r="E1032" s="114" t="s">
        <v>1652</v>
      </c>
      <c r="F1032" s="115" t="s">
        <v>1159</v>
      </c>
      <c r="G1032" s="115" t="s">
        <v>1653</v>
      </c>
      <c r="H1032" s="116">
        <v>13.696185</v>
      </c>
      <c r="I1032" s="116">
        <v>100.6057481</v>
      </c>
      <c r="J1032" s="116" t="s">
        <v>890</v>
      </c>
      <c r="K1032" s="117" t="s">
        <v>891</v>
      </c>
      <c r="L1032" s="117" t="s">
        <v>891</v>
      </c>
      <c r="M1032" s="117">
        <v>96898734</v>
      </c>
      <c r="N1032" s="117" t="s">
        <v>1050</v>
      </c>
      <c r="O1032" s="121" t="s">
        <v>984</v>
      </c>
      <c r="P1032" s="117" t="s">
        <v>894</v>
      </c>
      <c r="Q1032" s="118">
        <v>80057501</v>
      </c>
      <c r="R1032" s="119" t="s">
        <v>895</v>
      </c>
      <c r="S1032" s="119" t="s">
        <v>895</v>
      </c>
      <c r="T1032" s="222"/>
      <c r="U1032" s="222"/>
      <c r="V1032" s="222"/>
      <c r="W1032" s="230"/>
      <c r="X1032" s="331">
        <f t="shared" si="50"/>
        <v>0</v>
      </c>
      <c r="Y1032" s="222"/>
      <c r="Z1032" s="272">
        <f t="shared" si="48"/>
        <v>0</v>
      </c>
      <c r="AA1032" s="331"/>
      <c r="AB1032" s="331"/>
      <c r="AC1032" s="331"/>
      <c r="AD1032" s="331"/>
      <c r="AE1032" s="331"/>
      <c r="AF1032" s="331"/>
      <c r="AG1032" s="331"/>
      <c r="AH1032" s="241">
        <f t="shared" ca="1" si="49"/>
        <v>46153</v>
      </c>
      <c r="AI1032" s="272"/>
      <c r="AJ1032" s="222"/>
      <c r="AK1032" s="222"/>
    </row>
    <row r="1033" spans="1:37" ht="23.25" hidden="1" customHeight="1">
      <c r="A1033" s="111">
        <v>749</v>
      </c>
      <c r="B1033" s="112">
        <v>4</v>
      </c>
      <c r="C1033" s="122" t="s">
        <v>1705</v>
      </c>
      <c r="D1033" s="557" t="s">
        <v>1706</v>
      </c>
      <c r="E1033" s="123" t="s">
        <v>1707</v>
      </c>
      <c r="F1033" s="116" t="s">
        <v>1159</v>
      </c>
      <c r="G1033" s="116" t="s">
        <v>984</v>
      </c>
      <c r="H1033" s="116">
        <v>13.731313</v>
      </c>
      <c r="I1033" s="116">
        <v>100.568358</v>
      </c>
      <c r="J1033" s="116" t="s">
        <v>890</v>
      </c>
      <c r="K1033" s="117" t="s">
        <v>891</v>
      </c>
      <c r="L1033" s="117" t="s">
        <v>891</v>
      </c>
      <c r="M1033" s="117">
        <v>96894784</v>
      </c>
      <c r="N1033" s="117" t="s">
        <v>1050</v>
      </c>
      <c r="O1033" s="121" t="s">
        <v>984</v>
      </c>
      <c r="P1033" s="117" t="s">
        <v>894</v>
      </c>
      <c r="Q1033" s="118">
        <v>80057501</v>
      </c>
      <c r="R1033" s="119" t="s">
        <v>895</v>
      </c>
      <c r="S1033" s="119" t="s">
        <v>895</v>
      </c>
      <c r="T1033" s="222"/>
      <c r="U1033" s="222"/>
      <c r="V1033" s="222"/>
      <c r="W1033" s="230"/>
      <c r="X1033" s="331">
        <f t="shared" si="50"/>
        <v>0</v>
      </c>
      <c r="Y1033" s="222"/>
      <c r="Z1033" s="272">
        <f t="shared" si="48"/>
        <v>0</v>
      </c>
      <c r="AA1033" s="331"/>
      <c r="AB1033" s="331"/>
      <c r="AC1033" s="331"/>
      <c r="AD1033" s="331"/>
      <c r="AE1033" s="331"/>
      <c r="AF1033" s="331"/>
      <c r="AG1033" s="331"/>
      <c r="AH1033" s="241">
        <f t="shared" ca="1" si="49"/>
        <v>46153</v>
      </c>
      <c r="AI1033" s="272"/>
      <c r="AJ1033" s="222"/>
      <c r="AK1033" s="222"/>
    </row>
    <row r="1034" spans="1:37" ht="23.25" hidden="1" customHeight="1">
      <c r="A1034" s="111">
        <v>851</v>
      </c>
      <c r="B1034" s="112">
        <v>4</v>
      </c>
      <c r="C1034" s="122" t="s">
        <v>1825</v>
      </c>
      <c r="D1034" s="147" t="s">
        <v>1826</v>
      </c>
      <c r="E1034" s="221" t="s">
        <v>1827</v>
      </c>
      <c r="F1034" s="116" t="s">
        <v>1159</v>
      </c>
      <c r="G1034" s="116" t="s">
        <v>1653</v>
      </c>
      <c r="H1034" s="116">
        <v>13.6862809</v>
      </c>
      <c r="I1034" s="116">
        <v>100.61034410000001</v>
      </c>
      <c r="J1034" s="115" t="s">
        <v>890</v>
      </c>
      <c r="K1034" s="117" t="s">
        <v>891</v>
      </c>
      <c r="L1034" s="117" t="s">
        <v>891</v>
      </c>
      <c r="M1034" s="121">
        <v>96898737</v>
      </c>
      <c r="N1034" s="121" t="s">
        <v>892</v>
      </c>
      <c r="O1034" s="121" t="s">
        <v>984</v>
      </c>
      <c r="P1034" s="121" t="s">
        <v>1828</v>
      </c>
      <c r="Q1034" s="118">
        <v>80057501</v>
      </c>
      <c r="R1034" s="119" t="s">
        <v>895</v>
      </c>
      <c r="S1034" s="119" t="s">
        <v>895</v>
      </c>
      <c r="T1034" s="222"/>
      <c r="U1034" s="222"/>
      <c r="V1034" s="222"/>
      <c r="W1034" s="230"/>
      <c r="X1034" s="331">
        <f t="shared" si="50"/>
        <v>0</v>
      </c>
      <c r="Y1034" s="222"/>
      <c r="Z1034" s="272">
        <f t="shared" si="48"/>
        <v>0</v>
      </c>
      <c r="AA1034" s="331"/>
      <c r="AB1034" s="331"/>
      <c r="AC1034" s="331"/>
      <c r="AD1034" s="331"/>
      <c r="AE1034" s="331"/>
      <c r="AF1034" s="331"/>
      <c r="AG1034" s="331"/>
      <c r="AH1034" s="241">
        <f t="shared" ca="1" si="49"/>
        <v>46153</v>
      </c>
      <c r="AI1034" s="272"/>
      <c r="AJ1034" s="222"/>
      <c r="AK1034" s="222"/>
    </row>
    <row r="1035" spans="1:37" ht="23.25" hidden="1" customHeight="1">
      <c r="A1035" s="111">
        <v>949</v>
      </c>
      <c r="B1035" s="112" t="s">
        <v>1013</v>
      </c>
      <c r="C1035" s="122" t="s">
        <v>1883</v>
      </c>
      <c r="D1035" s="147" t="s">
        <v>1884</v>
      </c>
      <c r="E1035" s="123" t="s">
        <v>1885</v>
      </c>
      <c r="F1035" s="116" t="s">
        <v>1159</v>
      </c>
      <c r="G1035" s="116" t="s">
        <v>1018</v>
      </c>
      <c r="H1035" s="116">
        <v>13.7051988</v>
      </c>
      <c r="I1035" s="116">
        <v>100.60127629999999</v>
      </c>
      <c r="J1035" s="116" t="s">
        <v>890</v>
      </c>
      <c r="K1035" s="117" t="s">
        <v>891</v>
      </c>
      <c r="L1035" s="117" t="s">
        <v>891</v>
      </c>
      <c r="M1035" s="117">
        <v>96898738</v>
      </c>
      <c r="N1035" s="117" t="s">
        <v>1050</v>
      </c>
      <c r="O1035" s="121" t="s">
        <v>984</v>
      </c>
      <c r="P1035" s="117" t="s">
        <v>894</v>
      </c>
      <c r="Q1035" s="118">
        <v>80057501</v>
      </c>
      <c r="R1035" s="119" t="s">
        <v>895</v>
      </c>
      <c r="S1035" s="119" t="s">
        <v>895</v>
      </c>
      <c r="T1035" s="222"/>
      <c r="U1035" s="222"/>
      <c r="V1035" s="222"/>
      <c r="W1035" s="230"/>
      <c r="X1035" s="331">
        <f t="shared" si="50"/>
        <v>0</v>
      </c>
      <c r="Y1035" s="222"/>
      <c r="Z1035" s="272">
        <f t="shared" si="48"/>
        <v>0</v>
      </c>
      <c r="AA1035" s="331"/>
      <c r="AB1035" s="331"/>
      <c r="AC1035" s="331"/>
      <c r="AD1035" s="331"/>
      <c r="AE1035" s="331"/>
      <c r="AF1035" s="331"/>
      <c r="AG1035" s="331"/>
      <c r="AH1035" s="241">
        <f t="shared" ca="1" si="49"/>
        <v>46153</v>
      </c>
      <c r="AI1035" s="272"/>
      <c r="AJ1035" s="222"/>
      <c r="AK1035" s="222"/>
    </row>
    <row r="1036" spans="1:37" ht="23.25" hidden="1" customHeight="1">
      <c r="A1036" s="111">
        <v>967</v>
      </c>
      <c r="B1036" s="112">
        <v>9</v>
      </c>
      <c r="C1036" s="122" t="s">
        <v>1898</v>
      </c>
      <c r="D1036" s="147" t="s">
        <v>1899</v>
      </c>
      <c r="E1036" s="114" t="s">
        <v>1900</v>
      </c>
      <c r="F1036" s="115" t="s">
        <v>1159</v>
      </c>
      <c r="G1036" s="115" t="s">
        <v>984</v>
      </c>
      <c r="H1036" s="116">
        <v>13.729444000000001</v>
      </c>
      <c r="I1036" s="116">
        <v>100.571056</v>
      </c>
      <c r="J1036" s="116" t="s">
        <v>890</v>
      </c>
      <c r="K1036" s="117" t="s">
        <v>891</v>
      </c>
      <c r="L1036" s="117" t="s">
        <v>891</v>
      </c>
      <c r="M1036" s="117">
        <v>96898742</v>
      </c>
      <c r="N1036" s="117" t="s">
        <v>1050</v>
      </c>
      <c r="O1036" s="121" t="s">
        <v>984</v>
      </c>
      <c r="P1036" s="117" t="s">
        <v>894</v>
      </c>
      <c r="Q1036" s="118">
        <v>80057501</v>
      </c>
      <c r="R1036" s="119" t="s">
        <v>895</v>
      </c>
      <c r="S1036" s="119" t="s">
        <v>895</v>
      </c>
      <c r="T1036" s="222"/>
      <c r="U1036" s="222"/>
      <c r="V1036" s="222"/>
      <c r="W1036" s="230"/>
      <c r="X1036" s="331">
        <f t="shared" si="50"/>
        <v>0</v>
      </c>
      <c r="Y1036" s="222"/>
      <c r="Z1036" s="272">
        <f t="shared" si="48"/>
        <v>0</v>
      </c>
      <c r="AA1036" s="331"/>
      <c r="AB1036" s="331"/>
      <c r="AC1036" s="331"/>
      <c r="AD1036" s="331"/>
      <c r="AE1036" s="331"/>
      <c r="AF1036" s="331"/>
      <c r="AG1036" s="331"/>
      <c r="AH1036" s="241">
        <f t="shared" ca="1" si="49"/>
        <v>46153</v>
      </c>
      <c r="AI1036" s="272"/>
      <c r="AJ1036" s="222"/>
      <c r="AK1036" s="222"/>
    </row>
    <row r="1037" spans="1:37" ht="23" hidden="1">
      <c r="A1037" s="111">
        <v>1109</v>
      </c>
      <c r="B1037" s="112" t="s">
        <v>985</v>
      </c>
      <c r="C1037" s="122" t="s">
        <v>2044</v>
      </c>
      <c r="D1037" s="147" t="s">
        <v>2045</v>
      </c>
      <c r="E1037" s="114" t="s">
        <v>2046</v>
      </c>
      <c r="F1037" s="115" t="s">
        <v>1159</v>
      </c>
      <c r="G1037" s="115" t="s">
        <v>984</v>
      </c>
      <c r="H1037" s="116">
        <v>13.722746000000001</v>
      </c>
      <c r="I1037" s="116">
        <v>100.580512</v>
      </c>
      <c r="J1037" s="116" t="s">
        <v>969</v>
      </c>
      <c r="K1037" s="116" t="s">
        <v>970</v>
      </c>
      <c r="L1037" s="117" t="s">
        <v>2047</v>
      </c>
      <c r="M1037" s="117">
        <v>96898727</v>
      </c>
      <c r="N1037" s="121" t="s">
        <v>1050</v>
      </c>
      <c r="O1037" s="121" t="s">
        <v>984</v>
      </c>
      <c r="P1037" s="117" t="s">
        <v>894</v>
      </c>
      <c r="Q1037" s="125" t="s">
        <v>972</v>
      </c>
      <c r="R1037" s="125" t="s">
        <v>972</v>
      </c>
      <c r="S1037" s="125" t="s">
        <v>972</v>
      </c>
      <c r="T1037" s="222"/>
      <c r="U1037" s="222"/>
      <c r="V1037" s="222"/>
      <c r="W1037" s="230"/>
      <c r="X1037" s="331">
        <f t="shared" si="50"/>
        <v>0</v>
      </c>
      <c r="Y1037" s="222"/>
      <c r="Z1037" s="272">
        <f t="shared" si="48"/>
        <v>0</v>
      </c>
      <c r="AA1037" s="331"/>
      <c r="AB1037" s="331"/>
      <c r="AC1037" s="331"/>
      <c r="AD1037" s="331"/>
      <c r="AE1037" s="331"/>
      <c r="AF1037" s="331"/>
      <c r="AG1037" s="331"/>
      <c r="AH1037" s="241">
        <f t="shared" ca="1" si="49"/>
        <v>46153</v>
      </c>
      <c r="AI1037" s="272"/>
      <c r="AJ1037" s="222"/>
      <c r="AK1037" s="222"/>
    </row>
    <row r="1038" spans="1:37" ht="23.25" hidden="1" customHeight="1">
      <c r="A1038" s="111">
        <v>1112</v>
      </c>
      <c r="B1038" s="112" t="s">
        <v>919</v>
      </c>
      <c r="C1038" s="113" t="s">
        <v>2048</v>
      </c>
      <c r="D1038" s="147" t="s">
        <v>2049</v>
      </c>
      <c r="E1038" s="114" t="s">
        <v>2050</v>
      </c>
      <c r="F1038" s="115" t="s">
        <v>1159</v>
      </c>
      <c r="G1038" s="115" t="s">
        <v>1018</v>
      </c>
      <c r="H1038" s="116">
        <v>13.719800899999999</v>
      </c>
      <c r="I1038" s="116">
        <v>100.5849168</v>
      </c>
      <c r="J1038" s="115" t="s">
        <v>890</v>
      </c>
      <c r="K1038" s="117" t="s">
        <v>891</v>
      </c>
      <c r="L1038" s="117" t="s">
        <v>891</v>
      </c>
      <c r="M1038" s="121">
        <v>96898747</v>
      </c>
      <c r="N1038" s="121" t="s">
        <v>972</v>
      </c>
      <c r="O1038" s="121" t="s">
        <v>984</v>
      </c>
      <c r="P1038" s="117" t="s">
        <v>894</v>
      </c>
      <c r="Q1038" s="125" t="s">
        <v>972</v>
      </c>
      <c r="R1038" s="119" t="s">
        <v>895</v>
      </c>
      <c r="S1038" s="119" t="s">
        <v>895</v>
      </c>
      <c r="T1038" s="222"/>
      <c r="U1038" s="222"/>
      <c r="V1038" s="222"/>
      <c r="W1038" s="230"/>
      <c r="X1038" s="331">
        <f t="shared" si="50"/>
        <v>0</v>
      </c>
      <c r="Y1038" s="222"/>
      <c r="Z1038" s="272">
        <f t="shared" si="48"/>
        <v>0</v>
      </c>
      <c r="AA1038" s="331"/>
      <c r="AB1038" s="331"/>
      <c r="AC1038" s="331"/>
      <c r="AD1038" s="331"/>
      <c r="AE1038" s="331"/>
      <c r="AF1038" s="331"/>
      <c r="AG1038" s="331"/>
      <c r="AH1038" s="241">
        <f t="shared" ca="1" si="49"/>
        <v>46153</v>
      </c>
      <c r="AI1038" s="272"/>
      <c r="AJ1038" s="222"/>
      <c r="AK1038" s="222"/>
    </row>
    <row r="1039" spans="1:37" ht="23.25" hidden="1" customHeight="1">
      <c r="A1039" s="111">
        <v>124</v>
      </c>
      <c r="B1039" s="112">
        <v>4</v>
      </c>
      <c r="C1039" s="122" t="s">
        <v>2416</v>
      </c>
      <c r="D1039" s="147" t="s">
        <v>2417</v>
      </c>
      <c r="E1039" s="123" t="s">
        <v>2418</v>
      </c>
      <c r="F1039" s="116" t="s">
        <v>1159</v>
      </c>
      <c r="G1039" s="116" t="s">
        <v>984</v>
      </c>
      <c r="H1039" s="116">
        <v>13.730532</v>
      </c>
      <c r="I1039" s="116">
        <v>100.569508</v>
      </c>
      <c r="J1039" s="116" t="s">
        <v>2097</v>
      </c>
      <c r="K1039" s="116" t="s">
        <v>2097</v>
      </c>
      <c r="L1039" s="117" t="s">
        <v>2419</v>
      </c>
      <c r="M1039" s="121" t="s">
        <v>972</v>
      </c>
      <c r="N1039" s="121" t="s">
        <v>1050</v>
      </c>
      <c r="O1039" s="121" t="s">
        <v>984</v>
      </c>
      <c r="P1039" s="117" t="s">
        <v>894</v>
      </c>
      <c r="Q1039" s="125" t="s">
        <v>972</v>
      </c>
      <c r="R1039" s="125" t="s">
        <v>972</v>
      </c>
      <c r="S1039" s="125" t="s">
        <v>972</v>
      </c>
      <c r="T1039" s="222"/>
      <c r="U1039" s="222"/>
      <c r="V1039" s="222"/>
      <c r="W1039" s="230"/>
      <c r="X1039" s="331">
        <f t="shared" si="50"/>
        <v>0</v>
      </c>
      <c r="Y1039" s="222"/>
      <c r="Z1039" s="272">
        <f t="shared" si="48"/>
        <v>0</v>
      </c>
      <c r="AA1039" s="331"/>
      <c r="AB1039" s="331"/>
      <c r="AC1039" s="331"/>
      <c r="AD1039" s="331"/>
      <c r="AE1039" s="331"/>
      <c r="AF1039" s="331"/>
      <c r="AG1039" s="331"/>
      <c r="AH1039" s="241">
        <f t="shared" ca="1" si="49"/>
        <v>46153</v>
      </c>
      <c r="AI1039" s="272"/>
      <c r="AJ1039" s="222"/>
      <c r="AK1039" s="222"/>
    </row>
    <row r="1040" spans="1:37" ht="23.25" hidden="1" customHeight="1">
      <c r="A1040" s="111">
        <v>300</v>
      </c>
      <c r="B1040" s="112" t="s">
        <v>1071</v>
      </c>
      <c r="C1040" s="122" t="s">
        <v>2563</v>
      </c>
      <c r="D1040" s="147" t="s">
        <v>2564</v>
      </c>
      <c r="E1040" s="123" t="s">
        <v>2565</v>
      </c>
      <c r="F1040" s="116" t="s">
        <v>1159</v>
      </c>
      <c r="G1040" s="116" t="s">
        <v>984</v>
      </c>
      <c r="H1040" s="116">
        <v>13.739935900000001</v>
      </c>
      <c r="I1040" s="116">
        <v>100.5561033</v>
      </c>
      <c r="J1040" s="116" t="s">
        <v>890</v>
      </c>
      <c r="K1040" s="115" t="s">
        <v>1212</v>
      </c>
      <c r="L1040" s="117" t="s">
        <v>1213</v>
      </c>
      <c r="M1040" s="121">
        <v>24018022</v>
      </c>
      <c r="N1040" s="121" t="s">
        <v>2566</v>
      </c>
      <c r="O1040" s="121" t="s">
        <v>984</v>
      </c>
      <c r="P1040" s="127" t="s">
        <v>1076</v>
      </c>
      <c r="Q1040" s="118">
        <v>80057501</v>
      </c>
      <c r="R1040" s="119" t="s">
        <v>972</v>
      </c>
      <c r="S1040" s="125" t="s">
        <v>895</v>
      </c>
      <c r="T1040" s="222"/>
      <c r="U1040" s="222"/>
      <c r="V1040" s="222"/>
      <c r="W1040" s="230"/>
      <c r="X1040" s="331">
        <f t="shared" si="50"/>
        <v>0</v>
      </c>
      <c r="Y1040" s="222"/>
      <c r="Z1040" s="272">
        <f t="shared" si="48"/>
        <v>0</v>
      </c>
      <c r="AA1040" s="331"/>
      <c r="AB1040" s="331"/>
      <c r="AC1040" s="331"/>
      <c r="AD1040" s="331"/>
      <c r="AE1040" s="331"/>
      <c r="AF1040" s="331"/>
      <c r="AG1040" s="331"/>
      <c r="AH1040" s="241">
        <f t="shared" ca="1" si="49"/>
        <v>46153</v>
      </c>
      <c r="AI1040" s="272"/>
      <c r="AJ1040" s="222"/>
      <c r="AK1040" s="222"/>
    </row>
    <row r="1041" spans="1:37" ht="14.5" hidden="1">
      <c r="A1041" s="111">
        <v>206</v>
      </c>
      <c r="B1041" s="112" t="s">
        <v>1818</v>
      </c>
      <c r="C1041" s="113" t="s">
        <v>2646</v>
      </c>
      <c r="D1041" s="160" t="s">
        <v>2647</v>
      </c>
      <c r="E1041" s="123" t="s">
        <v>5311</v>
      </c>
      <c r="F1041" s="116" t="s">
        <v>1159</v>
      </c>
      <c r="G1041" s="116" t="s">
        <v>984</v>
      </c>
      <c r="H1041" s="115">
        <v>13.722662</v>
      </c>
      <c r="I1041" s="115">
        <v>100.580628</v>
      </c>
      <c r="J1041" s="116" t="s">
        <v>2108</v>
      </c>
      <c r="K1041" s="116" t="s">
        <v>2108</v>
      </c>
      <c r="L1041" s="116" t="s">
        <v>2108</v>
      </c>
      <c r="M1041" s="116"/>
      <c r="N1041" s="121" t="s">
        <v>1050</v>
      </c>
      <c r="O1041" s="121" t="s">
        <v>984</v>
      </c>
      <c r="P1041" s="117" t="s">
        <v>5305</v>
      </c>
      <c r="Q1041" s="125" t="s">
        <v>972</v>
      </c>
      <c r="R1041" s="125" t="s">
        <v>972</v>
      </c>
      <c r="S1041" s="125" t="s">
        <v>972</v>
      </c>
      <c r="T1041" s="222"/>
      <c r="U1041" s="222"/>
      <c r="V1041" s="222"/>
      <c r="W1041" s="230"/>
      <c r="X1041" s="331">
        <f t="shared" si="50"/>
        <v>0</v>
      </c>
      <c r="Y1041" s="222"/>
      <c r="Z1041" s="272">
        <f t="shared" si="48"/>
        <v>0</v>
      </c>
      <c r="AA1041" s="331"/>
      <c r="AB1041" s="331"/>
      <c r="AC1041" s="331"/>
      <c r="AD1041" s="331"/>
      <c r="AE1041" s="331"/>
      <c r="AF1041" s="331"/>
      <c r="AG1041" s="331"/>
      <c r="AH1041" s="241">
        <f t="shared" ca="1" si="49"/>
        <v>46153</v>
      </c>
      <c r="AI1041" s="272"/>
      <c r="AJ1041" s="222"/>
      <c r="AK1041" s="222"/>
    </row>
    <row r="1042" spans="1:37" ht="23" hidden="1">
      <c r="A1042" s="111">
        <v>217</v>
      </c>
      <c r="B1042" s="112">
        <v>11</v>
      </c>
      <c r="C1042" s="113" t="s">
        <v>2671</v>
      </c>
      <c r="D1042" s="147" t="s">
        <v>2672</v>
      </c>
      <c r="E1042" s="114" t="s">
        <v>2673</v>
      </c>
      <c r="F1042" s="115" t="s">
        <v>1159</v>
      </c>
      <c r="G1042" s="115" t="s">
        <v>984</v>
      </c>
      <c r="H1042" s="116">
        <v>13.725662</v>
      </c>
      <c r="I1042" s="116">
        <v>100.576368</v>
      </c>
      <c r="J1042" s="116" t="s">
        <v>969</v>
      </c>
      <c r="K1042" s="116" t="s">
        <v>970</v>
      </c>
      <c r="L1042" s="117" t="s">
        <v>2674</v>
      </c>
      <c r="M1042" s="116" t="s">
        <v>1347</v>
      </c>
      <c r="N1042" s="121" t="s">
        <v>1050</v>
      </c>
      <c r="O1042" s="121" t="s">
        <v>984</v>
      </c>
      <c r="P1042" s="117" t="s">
        <v>894</v>
      </c>
      <c r="Q1042" s="125" t="s">
        <v>972</v>
      </c>
      <c r="R1042" s="125" t="s">
        <v>972</v>
      </c>
      <c r="S1042" s="125" t="s">
        <v>972</v>
      </c>
      <c r="T1042" s="222"/>
      <c r="U1042" s="222"/>
      <c r="V1042" s="222"/>
      <c r="W1042" s="230"/>
      <c r="X1042" s="331">
        <f t="shared" si="50"/>
        <v>0</v>
      </c>
      <c r="Y1042" s="222"/>
      <c r="Z1042" s="272">
        <f t="shared" si="48"/>
        <v>0</v>
      </c>
      <c r="AA1042" s="331"/>
      <c r="AB1042" s="331"/>
      <c r="AC1042" s="331"/>
      <c r="AD1042" s="331"/>
      <c r="AE1042" s="331"/>
      <c r="AF1042" s="331"/>
      <c r="AG1042" s="331"/>
      <c r="AH1042" s="241">
        <f t="shared" ca="1" si="49"/>
        <v>46153</v>
      </c>
      <c r="AI1042" s="272"/>
      <c r="AJ1042" s="222"/>
      <c r="AK1042" s="222"/>
    </row>
    <row r="1043" spans="1:37" ht="23.25" hidden="1" customHeight="1">
      <c r="A1043" s="111">
        <v>317</v>
      </c>
      <c r="B1043" s="112">
        <v>16</v>
      </c>
      <c r="C1043" s="113" t="s">
        <v>2911</v>
      </c>
      <c r="D1043" s="147" t="s">
        <v>2912</v>
      </c>
      <c r="E1043" s="114" t="s">
        <v>2913</v>
      </c>
      <c r="F1043" s="115" t="s">
        <v>1159</v>
      </c>
      <c r="G1043" s="115" t="s">
        <v>984</v>
      </c>
      <c r="H1043" s="116">
        <v>13.736691</v>
      </c>
      <c r="I1043" s="116">
        <v>100.56072500000001</v>
      </c>
      <c r="J1043" s="115" t="s">
        <v>2097</v>
      </c>
      <c r="K1043" s="115" t="s">
        <v>2097</v>
      </c>
      <c r="L1043" s="117" t="s">
        <v>2914</v>
      </c>
      <c r="M1043" s="121" t="s">
        <v>972</v>
      </c>
      <c r="N1043" s="121" t="s">
        <v>972</v>
      </c>
      <c r="O1043" s="121" t="s">
        <v>984</v>
      </c>
      <c r="P1043" s="117" t="s">
        <v>894</v>
      </c>
      <c r="Q1043" s="125" t="s">
        <v>972</v>
      </c>
      <c r="R1043" s="125" t="s">
        <v>972</v>
      </c>
      <c r="S1043" s="125" t="s">
        <v>972</v>
      </c>
      <c r="T1043" s="222"/>
      <c r="U1043" s="222"/>
      <c r="V1043" s="222"/>
      <c r="W1043" s="230"/>
      <c r="X1043" s="331">
        <f t="shared" si="50"/>
        <v>0</v>
      </c>
      <c r="Y1043" s="222"/>
      <c r="Z1043" s="272">
        <f t="shared" si="48"/>
        <v>0</v>
      </c>
      <c r="AA1043" s="331"/>
      <c r="AB1043" s="331"/>
      <c r="AC1043" s="331"/>
      <c r="AD1043" s="331"/>
      <c r="AE1043" s="331"/>
      <c r="AF1043" s="331"/>
      <c r="AG1043" s="331"/>
      <c r="AH1043" s="241">
        <f t="shared" ca="1" si="49"/>
        <v>46153</v>
      </c>
      <c r="AI1043" s="272"/>
      <c r="AJ1043" s="222"/>
      <c r="AK1043" s="222"/>
    </row>
    <row r="1044" spans="1:37" ht="23" hidden="1">
      <c r="A1044" s="111">
        <v>356</v>
      </c>
      <c r="B1044" s="112">
        <v>8</v>
      </c>
      <c r="C1044" s="122" t="s">
        <v>3009</v>
      </c>
      <c r="D1044" s="147" t="s">
        <v>3010</v>
      </c>
      <c r="E1044" s="123" t="s">
        <v>3011</v>
      </c>
      <c r="F1044" s="116" t="s">
        <v>1159</v>
      </c>
      <c r="G1044" s="116" t="s">
        <v>1653</v>
      </c>
      <c r="H1044" s="116">
        <v>13.696210900000001</v>
      </c>
      <c r="I1044" s="116">
        <v>100.605535</v>
      </c>
      <c r="J1044" s="115" t="s">
        <v>2108</v>
      </c>
      <c r="K1044" s="117" t="s">
        <v>2109</v>
      </c>
      <c r="L1044" s="117" t="s">
        <v>2110</v>
      </c>
      <c r="M1044" s="121" t="s">
        <v>972</v>
      </c>
      <c r="N1044" s="121" t="s">
        <v>972</v>
      </c>
      <c r="O1044" s="121" t="s">
        <v>984</v>
      </c>
      <c r="P1044" s="117" t="s">
        <v>1876</v>
      </c>
      <c r="Q1044" s="125" t="s">
        <v>972</v>
      </c>
      <c r="R1044" s="125" t="s">
        <v>972</v>
      </c>
      <c r="S1044" s="125" t="s">
        <v>972</v>
      </c>
      <c r="T1044" s="222"/>
      <c r="U1044" s="222"/>
      <c r="V1044" s="222"/>
      <c r="W1044" s="230"/>
      <c r="X1044" s="331">
        <f t="shared" si="50"/>
        <v>0</v>
      </c>
      <c r="Y1044" s="222"/>
      <c r="Z1044" s="272">
        <f t="shared" si="48"/>
        <v>0</v>
      </c>
      <c r="AA1044" s="331"/>
      <c r="AB1044" s="331"/>
      <c r="AC1044" s="331"/>
      <c r="AD1044" s="331"/>
      <c r="AE1044" s="331"/>
      <c r="AF1044" s="331"/>
      <c r="AG1044" s="331"/>
      <c r="AH1044" s="241">
        <f t="shared" ca="1" si="49"/>
        <v>46153</v>
      </c>
      <c r="AI1044" s="272"/>
      <c r="AJ1044" s="222"/>
      <c r="AK1044" s="222"/>
    </row>
    <row r="1045" spans="1:37" ht="23.25" hidden="1" customHeight="1">
      <c r="A1045" s="111">
        <v>640</v>
      </c>
      <c r="B1045" s="112" t="s">
        <v>1818</v>
      </c>
      <c r="C1045" s="122" t="s">
        <v>3085</v>
      </c>
      <c r="D1045" s="160" t="s">
        <v>3086</v>
      </c>
      <c r="E1045" s="123" t="s">
        <v>5308</v>
      </c>
      <c r="F1045" s="116" t="s">
        <v>1159</v>
      </c>
      <c r="G1045" s="116" t="s">
        <v>984</v>
      </c>
      <c r="H1045" s="116">
        <v>13.716085</v>
      </c>
      <c r="I1045" s="116">
        <v>100.5900872</v>
      </c>
      <c r="J1045" s="116" t="s">
        <v>5299</v>
      </c>
      <c r="K1045" s="117" t="s">
        <v>5300</v>
      </c>
      <c r="L1045" s="117" t="s">
        <v>5300</v>
      </c>
      <c r="M1045" s="117"/>
      <c r="N1045" s="117"/>
      <c r="O1045" s="121" t="s">
        <v>958</v>
      </c>
      <c r="P1045" s="118" t="s">
        <v>5305</v>
      </c>
      <c r="Q1045" s="125" t="s">
        <v>972</v>
      </c>
      <c r="R1045" s="119" t="s">
        <v>895</v>
      </c>
      <c r="S1045" s="119" t="s">
        <v>895</v>
      </c>
      <c r="T1045" s="222"/>
      <c r="U1045" s="222"/>
      <c r="V1045" s="222"/>
      <c r="W1045" s="230"/>
      <c r="X1045" s="331">
        <f t="shared" si="50"/>
        <v>0</v>
      </c>
      <c r="Y1045" s="222"/>
      <c r="Z1045" s="272">
        <f t="shared" si="48"/>
        <v>0</v>
      </c>
      <c r="AA1045" s="331"/>
      <c r="AB1045" s="331"/>
      <c r="AC1045" s="331"/>
      <c r="AD1045" s="331"/>
      <c r="AE1045" s="331"/>
      <c r="AF1045" s="331"/>
      <c r="AG1045" s="331"/>
      <c r="AH1045" s="241">
        <f t="shared" ca="1" si="49"/>
        <v>46153</v>
      </c>
      <c r="AI1045" s="272"/>
      <c r="AJ1045" s="222"/>
      <c r="AK1045" s="222"/>
    </row>
    <row r="1046" spans="1:37" ht="23.25" hidden="1" customHeight="1">
      <c r="A1046" s="111">
        <v>706</v>
      </c>
      <c r="B1046" s="112">
        <v>6</v>
      </c>
      <c r="C1046" s="168" t="s">
        <v>3290</v>
      </c>
      <c r="D1046" s="557" t="s">
        <v>3291</v>
      </c>
      <c r="E1046" s="132" t="s">
        <v>3292</v>
      </c>
      <c r="F1046" s="118" t="s">
        <v>1159</v>
      </c>
      <c r="G1046" s="117" t="s">
        <v>984</v>
      </c>
      <c r="H1046" s="117">
        <v>13.732314199999999</v>
      </c>
      <c r="I1046" s="117">
        <v>100.56700530000001</v>
      </c>
      <c r="J1046" s="116" t="s">
        <v>890</v>
      </c>
      <c r="K1046" s="115" t="s">
        <v>1212</v>
      </c>
      <c r="L1046" s="117" t="s">
        <v>1213</v>
      </c>
      <c r="M1046" s="124">
        <v>96890819</v>
      </c>
      <c r="N1046" s="121" t="s">
        <v>1050</v>
      </c>
      <c r="O1046" s="121" t="s">
        <v>984</v>
      </c>
      <c r="P1046" s="121" t="s">
        <v>972</v>
      </c>
      <c r="Q1046" s="118">
        <v>80057501</v>
      </c>
      <c r="R1046" s="119" t="s">
        <v>895</v>
      </c>
      <c r="S1046" s="119"/>
      <c r="T1046" s="222"/>
      <c r="U1046" s="222"/>
      <c r="V1046" s="222"/>
      <c r="W1046" s="230"/>
      <c r="X1046" s="331">
        <f t="shared" si="50"/>
        <v>0</v>
      </c>
      <c r="Y1046" s="222"/>
      <c r="Z1046" s="272">
        <f t="shared" si="48"/>
        <v>0</v>
      </c>
      <c r="AA1046" s="331"/>
      <c r="AB1046" s="331"/>
      <c r="AC1046" s="331"/>
      <c r="AD1046" s="331"/>
      <c r="AE1046" s="331"/>
      <c r="AF1046" s="331"/>
      <c r="AG1046" s="331"/>
      <c r="AH1046" s="241">
        <f t="shared" ca="1" si="49"/>
        <v>46153</v>
      </c>
      <c r="AI1046" s="272"/>
      <c r="AJ1046" s="222"/>
      <c r="AK1046" s="222"/>
    </row>
    <row r="1047" spans="1:37" ht="23" hidden="1">
      <c r="A1047" s="111">
        <v>762</v>
      </c>
      <c r="B1047" s="112">
        <v>5</v>
      </c>
      <c r="C1047" s="113" t="s">
        <v>3344</v>
      </c>
      <c r="D1047" s="147" t="s">
        <v>3345</v>
      </c>
      <c r="E1047" s="114" t="s">
        <v>3346</v>
      </c>
      <c r="F1047" s="115" t="s">
        <v>1159</v>
      </c>
      <c r="G1047" s="115" t="s">
        <v>1018</v>
      </c>
      <c r="H1047" s="116">
        <v>13.718503999999999</v>
      </c>
      <c r="I1047" s="116">
        <v>100.586741</v>
      </c>
      <c r="J1047" s="116" t="s">
        <v>890</v>
      </c>
      <c r="K1047" s="115" t="s">
        <v>1212</v>
      </c>
      <c r="L1047" s="117" t="s">
        <v>1213</v>
      </c>
      <c r="M1047" s="117">
        <v>95459117</v>
      </c>
      <c r="N1047" s="121" t="s">
        <v>1050</v>
      </c>
      <c r="O1047" s="121" t="s">
        <v>984</v>
      </c>
      <c r="P1047" s="117" t="s">
        <v>894</v>
      </c>
      <c r="Q1047" s="118">
        <v>80057501</v>
      </c>
      <c r="R1047" s="125" t="s">
        <v>972</v>
      </c>
      <c r="S1047" s="125" t="s">
        <v>895</v>
      </c>
      <c r="T1047" s="222"/>
      <c r="U1047" s="222"/>
      <c r="V1047" s="222"/>
      <c r="W1047" s="230"/>
      <c r="X1047" s="331">
        <f t="shared" si="50"/>
        <v>0</v>
      </c>
      <c r="Y1047" s="222"/>
      <c r="Z1047" s="272">
        <f t="shared" si="48"/>
        <v>0</v>
      </c>
      <c r="AA1047" s="331"/>
      <c r="AB1047" s="331"/>
      <c r="AC1047" s="331"/>
      <c r="AD1047" s="331"/>
      <c r="AE1047" s="331"/>
      <c r="AF1047" s="331"/>
      <c r="AG1047" s="331"/>
      <c r="AH1047" s="241">
        <f t="shared" ca="1" si="49"/>
        <v>46153</v>
      </c>
      <c r="AI1047" s="272"/>
      <c r="AJ1047" s="222"/>
      <c r="AK1047" s="222"/>
    </row>
    <row r="1048" spans="1:37" ht="23" hidden="1">
      <c r="A1048" s="111">
        <v>532</v>
      </c>
      <c r="B1048" s="112">
        <v>1</v>
      </c>
      <c r="C1048" s="113" t="s">
        <v>3452</v>
      </c>
      <c r="D1048" s="147" t="s">
        <v>3453</v>
      </c>
      <c r="E1048" s="114" t="s">
        <v>3454</v>
      </c>
      <c r="F1048" s="115" t="s">
        <v>1159</v>
      </c>
      <c r="G1048" s="115" t="s">
        <v>984</v>
      </c>
      <c r="H1048" s="116">
        <v>13.706059</v>
      </c>
      <c r="I1048" s="116">
        <v>100.60046197</v>
      </c>
      <c r="J1048" s="115" t="s">
        <v>2108</v>
      </c>
      <c r="K1048" s="117" t="s">
        <v>2109</v>
      </c>
      <c r="L1048" s="117" t="s">
        <v>2110</v>
      </c>
      <c r="M1048" s="121" t="s">
        <v>972</v>
      </c>
      <c r="N1048" s="121" t="s">
        <v>972</v>
      </c>
      <c r="O1048" s="121" t="s">
        <v>984</v>
      </c>
      <c r="P1048" s="117" t="s">
        <v>1876</v>
      </c>
      <c r="Q1048" s="125" t="s">
        <v>972</v>
      </c>
      <c r="R1048" s="125" t="s">
        <v>972</v>
      </c>
      <c r="S1048" s="125" t="s">
        <v>972</v>
      </c>
      <c r="T1048" s="222"/>
      <c r="U1048" s="222"/>
      <c r="V1048" s="222"/>
      <c r="W1048" s="230"/>
      <c r="X1048" s="331">
        <f t="shared" si="50"/>
        <v>0</v>
      </c>
      <c r="Y1048" s="222"/>
      <c r="Z1048" s="272">
        <f t="shared" si="48"/>
        <v>0</v>
      </c>
      <c r="AA1048" s="331"/>
      <c r="AB1048" s="331"/>
      <c r="AC1048" s="331"/>
      <c r="AD1048" s="331"/>
      <c r="AE1048" s="331"/>
      <c r="AF1048" s="331"/>
      <c r="AG1048" s="331"/>
      <c r="AH1048" s="241">
        <f t="shared" ca="1" si="49"/>
        <v>46153</v>
      </c>
      <c r="AI1048" s="272"/>
      <c r="AJ1048" s="222"/>
      <c r="AK1048" s="222"/>
    </row>
    <row r="1049" spans="1:37" ht="23.25" hidden="1" customHeight="1">
      <c r="A1049" s="111">
        <v>538</v>
      </c>
      <c r="B1049" s="112">
        <v>8</v>
      </c>
      <c r="C1049" s="113" t="s">
        <v>3464</v>
      </c>
      <c r="D1049" s="147" t="s">
        <v>3465</v>
      </c>
      <c r="E1049" s="114" t="s">
        <v>3466</v>
      </c>
      <c r="F1049" s="115" t="s">
        <v>1159</v>
      </c>
      <c r="G1049" s="115" t="s">
        <v>984</v>
      </c>
      <c r="H1049" s="116">
        <v>13.713177099999999</v>
      </c>
      <c r="I1049" s="116">
        <v>100.5939525</v>
      </c>
      <c r="J1049" s="115" t="s">
        <v>2108</v>
      </c>
      <c r="K1049" s="117" t="s">
        <v>2109</v>
      </c>
      <c r="L1049" s="117" t="s">
        <v>2110</v>
      </c>
      <c r="M1049" s="121" t="s">
        <v>972</v>
      </c>
      <c r="N1049" s="121" t="s">
        <v>972</v>
      </c>
      <c r="O1049" s="121" t="s">
        <v>984</v>
      </c>
      <c r="P1049" s="117" t="s">
        <v>894</v>
      </c>
      <c r="Q1049" s="125" t="s">
        <v>972</v>
      </c>
      <c r="R1049" s="125" t="s">
        <v>972</v>
      </c>
      <c r="S1049" s="125" t="s">
        <v>972</v>
      </c>
      <c r="T1049" s="222"/>
      <c r="U1049" s="222"/>
      <c r="V1049" s="222"/>
      <c r="W1049" s="230"/>
      <c r="X1049" s="331">
        <f t="shared" si="50"/>
        <v>0</v>
      </c>
      <c r="Y1049" s="222"/>
      <c r="Z1049" s="272">
        <f t="shared" si="48"/>
        <v>0</v>
      </c>
      <c r="AA1049" s="331"/>
      <c r="AB1049" s="331"/>
      <c r="AC1049" s="331"/>
      <c r="AD1049" s="331"/>
      <c r="AE1049" s="331"/>
      <c r="AF1049" s="331"/>
      <c r="AG1049" s="331"/>
      <c r="AH1049" s="241">
        <f t="shared" ca="1" si="49"/>
        <v>46153</v>
      </c>
      <c r="AI1049" s="272"/>
      <c r="AJ1049" s="222"/>
      <c r="AK1049" s="222"/>
    </row>
    <row r="1050" spans="1:37" ht="23.25" hidden="1" customHeight="1">
      <c r="A1050" s="111">
        <v>551</v>
      </c>
      <c r="B1050" s="112" t="s">
        <v>1071</v>
      </c>
      <c r="C1050" s="122" t="s">
        <v>3484</v>
      </c>
      <c r="D1050" s="147" t="s">
        <v>3485</v>
      </c>
      <c r="E1050" s="123" t="s">
        <v>3486</v>
      </c>
      <c r="F1050" s="116" t="s">
        <v>1159</v>
      </c>
      <c r="G1050" s="116" t="s">
        <v>984</v>
      </c>
      <c r="H1050" s="116">
        <v>13.742502</v>
      </c>
      <c r="I1050" s="116">
        <v>100.5514428</v>
      </c>
      <c r="J1050" s="115" t="s">
        <v>2108</v>
      </c>
      <c r="K1050" s="117" t="s">
        <v>2759</v>
      </c>
      <c r="L1050" s="117" t="s">
        <v>2110</v>
      </c>
      <c r="M1050" s="121" t="s">
        <v>972</v>
      </c>
      <c r="N1050" s="121" t="s">
        <v>2828</v>
      </c>
      <c r="O1050" s="121" t="s">
        <v>984</v>
      </c>
      <c r="P1050" s="127" t="s">
        <v>1076</v>
      </c>
      <c r="Q1050" s="129" t="s">
        <v>972</v>
      </c>
      <c r="R1050" s="119" t="s">
        <v>2829</v>
      </c>
      <c r="S1050" s="119" t="s">
        <v>3487</v>
      </c>
      <c r="T1050" s="222"/>
      <c r="U1050" s="222"/>
      <c r="V1050" s="222"/>
      <c r="W1050" s="230"/>
      <c r="X1050" s="331">
        <f t="shared" si="50"/>
        <v>0</v>
      </c>
      <c r="Y1050" s="222"/>
      <c r="Z1050" s="272">
        <f t="shared" si="48"/>
        <v>0</v>
      </c>
      <c r="AA1050" s="331"/>
      <c r="AB1050" s="331"/>
      <c r="AC1050" s="331"/>
      <c r="AD1050" s="331"/>
      <c r="AE1050" s="331"/>
      <c r="AF1050" s="331"/>
      <c r="AG1050" s="331"/>
      <c r="AH1050" s="241">
        <f t="shared" ca="1" si="49"/>
        <v>46153</v>
      </c>
      <c r="AI1050" s="272"/>
      <c r="AJ1050" s="222"/>
      <c r="AK1050" s="222"/>
    </row>
    <row r="1051" spans="1:37" ht="23.25" hidden="1" customHeight="1">
      <c r="A1051" s="111">
        <v>553</v>
      </c>
      <c r="B1051" s="112" t="s">
        <v>1071</v>
      </c>
      <c r="C1051" s="113" t="s">
        <v>3488</v>
      </c>
      <c r="D1051" s="147" t="s">
        <v>3489</v>
      </c>
      <c r="E1051" s="114" t="s">
        <v>3490</v>
      </c>
      <c r="F1051" s="115" t="s">
        <v>1159</v>
      </c>
      <c r="G1051" s="115" t="s">
        <v>984</v>
      </c>
      <c r="H1051" s="116">
        <v>13.735242</v>
      </c>
      <c r="I1051" s="116">
        <v>100.562776</v>
      </c>
      <c r="J1051" s="115" t="s">
        <v>2108</v>
      </c>
      <c r="K1051" s="117" t="s">
        <v>2759</v>
      </c>
      <c r="L1051" s="117" t="s">
        <v>2110</v>
      </c>
      <c r="M1051" s="121" t="s">
        <v>972</v>
      </c>
      <c r="N1051" s="121" t="s">
        <v>2828</v>
      </c>
      <c r="O1051" s="121" t="s">
        <v>984</v>
      </c>
      <c r="P1051" s="127" t="s">
        <v>1076</v>
      </c>
      <c r="Q1051" s="129" t="s">
        <v>972</v>
      </c>
      <c r="R1051" s="119" t="s">
        <v>2829</v>
      </c>
      <c r="S1051" s="119" t="s">
        <v>3491</v>
      </c>
      <c r="T1051" s="222"/>
      <c r="U1051" s="222"/>
      <c r="V1051" s="222"/>
      <c r="W1051" s="230"/>
      <c r="X1051" s="331">
        <f t="shared" si="50"/>
        <v>0</v>
      </c>
      <c r="Y1051" s="222"/>
      <c r="Z1051" s="272">
        <f t="shared" si="48"/>
        <v>0</v>
      </c>
      <c r="AA1051" s="331"/>
      <c r="AB1051" s="331"/>
      <c r="AC1051" s="331"/>
      <c r="AD1051" s="331"/>
      <c r="AE1051" s="331"/>
      <c r="AF1051" s="331"/>
      <c r="AG1051" s="331"/>
      <c r="AH1051" s="241">
        <f t="shared" ca="1" si="49"/>
        <v>46153</v>
      </c>
      <c r="AI1051" s="272"/>
      <c r="AJ1051" s="222"/>
      <c r="AK1051" s="222"/>
    </row>
    <row r="1052" spans="1:37" ht="23" hidden="1">
      <c r="A1052" s="111">
        <v>613</v>
      </c>
      <c r="B1052" s="112">
        <v>3</v>
      </c>
      <c r="C1052" s="122" t="s">
        <v>3659</v>
      </c>
      <c r="D1052" s="557" t="s">
        <v>3660</v>
      </c>
      <c r="E1052" s="123" t="s">
        <v>3661</v>
      </c>
      <c r="F1052" s="115" t="s">
        <v>1159</v>
      </c>
      <c r="G1052" s="115" t="s">
        <v>984</v>
      </c>
      <c r="H1052" s="116">
        <v>13.733791</v>
      </c>
      <c r="I1052" s="116">
        <v>100.56485139999999</v>
      </c>
      <c r="J1052" s="116" t="s">
        <v>2097</v>
      </c>
      <c r="K1052" s="116" t="s">
        <v>2097</v>
      </c>
      <c r="L1052" s="117" t="s">
        <v>2132</v>
      </c>
      <c r="M1052" s="116" t="s">
        <v>1347</v>
      </c>
      <c r="N1052" s="121" t="s">
        <v>1050</v>
      </c>
      <c r="O1052" s="121" t="s">
        <v>984</v>
      </c>
      <c r="P1052" s="117" t="s">
        <v>894</v>
      </c>
      <c r="Q1052" s="125" t="s">
        <v>972</v>
      </c>
      <c r="R1052" s="125" t="s">
        <v>972</v>
      </c>
      <c r="S1052" s="125" t="s">
        <v>972</v>
      </c>
      <c r="T1052" s="222"/>
      <c r="U1052" s="222"/>
      <c r="V1052" s="222"/>
      <c r="W1052" s="230"/>
      <c r="X1052" s="331">
        <f t="shared" si="50"/>
        <v>0</v>
      </c>
      <c r="Y1052" s="222"/>
      <c r="Z1052" s="272">
        <f t="shared" si="48"/>
        <v>0</v>
      </c>
      <c r="AA1052" s="331"/>
      <c r="AB1052" s="331"/>
      <c r="AC1052" s="331"/>
      <c r="AD1052" s="331"/>
      <c r="AE1052" s="331"/>
      <c r="AF1052" s="331"/>
      <c r="AG1052" s="331"/>
      <c r="AH1052" s="241">
        <f t="shared" ca="1" si="49"/>
        <v>46153</v>
      </c>
      <c r="AI1052" s="272"/>
      <c r="AJ1052" s="222"/>
      <c r="AK1052" s="222"/>
    </row>
    <row r="1053" spans="1:37" ht="23.25" hidden="1" customHeight="1">
      <c r="A1053" s="111">
        <v>623</v>
      </c>
      <c r="B1053" s="112">
        <v>7</v>
      </c>
      <c r="C1053" s="113" t="s">
        <v>3688</v>
      </c>
      <c r="D1053" s="147" t="s">
        <v>3689</v>
      </c>
      <c r="E1053" s="114" t="s">
        <v>3690</v>
      </c>
      <c r="F1053" s="115" t="s">
        <v>1159</v>
      </c>
      <c r="G1053" s="115" t="s">
        <v>984</v>
      </c>
      <c r="H1053" s="116">
        <v>13.709325</v>
      </c>
      <c r="I1053" s="116">
        <v>100.598924</v>
      </c>
      <c r="J1053" s="115" t="s">
        <v>2108</v>
      </c>
      <c r="K1053" s="117" t="s">
        <v>2109</v>
      </c>
      <c r="L1053" s="117" t="s">
        <v>2110</v>
      </c>
      <c r="M1053" s="199" t="s">
        <v>972</v>
      </c>
      <c r="N1053" s="199" t="s">
        <v>972</v>
      </c>
      <c r="O1053" s="199" t="s">
        <v>984</v>
      </c>
      <c r="P1053" s="339" t="s">
        <v>894</v>
      </c>
      <c r="Q1053" s="340" t="s">
        <v>972</v>
      </c>
      <c r="R1053" s="340" t="s">
        <v>972</v>
      </c>
      <c r="S1053" s="340" t="s">
        <v>972</v>
      </c>
      <c r="T1053" s="342"/>
      <c r="U1053" s="342"/>
      <c r="V1053" s="342"/>
      <c r="W1053" s="553"/>
      <c r="X1053" s="331">
        <f t="shared" si="50"/>
        <v>0</v>
      </c>
      <c r="Y1053" s="342"/>
      <c r="Z1053" s="344">
        <f t="shared" si="48"/>
        <v>0</v>
      </c>
      <c r="AA1053" s="331"/>
      <c r="AB1053" s="331"/>
      <c r="AC1053" s="331"/>
      <c r="AD1053" s="331"/>
      <c r="AE1053" s="331"/>
      <c r="AF1053" s="331"/>
      <c r="AG1053" s="331"/>
      <c r="AH1053" s="343">
        <f t="shared" ca="1" si="49"/>
        <v>46153</v>
      </c>
      <c r="AI1053" s="344"/>
      <c r="AJ1053" s="342"/>
      <c r="AK1053" s="342"/>
    </row>
    <row r="1054" spans="1:37" ht="23" hidden="1">
      <c r="A1054" s="111">
        <v>662</v>
      </c>
      <c r="B1054" s="112" t="s">
        <v>1022</v>
      </c>
      <c r="C1054" s="122" t="s">
        <v>3776</v>
      </c>
      <c r="D1054" s="147" t="s">
        <v>3777</v>
      </c>
      <c r="E1054" s="114" t="s">
        <v>3778</v>
      </c>
      <c r="F1054" s="115" t="s">
        <v>1159</v>
      </c>
      <c r="G1054" s="115" t="s">
        <v>3779</v>
      </c>
      <c r="H1054" s="115">
        <v>13.680760100000001</v>
      </c>
      <c r="I1054" s="115">
        <v>100.60974969999999</v>
      </c>
      <c r="J1054" s="115" t="s">
        <v>2108</v>
      </c>
      <c r="K1054" s="117" t="s">
        <v>2109</v>
      </c>
      <c r="L1054" s="117" t="s">
        <v>2110</v>
      </c>
      <c r="M1054" s="121" t="s">
        <v>972</v>
      </c>
      <c r="N1054" s="121" t="s">
        <v>972</v>
      </c>
      <c r="O1054" s="121" t="s">
        <v>984</v>
      </c>
      <c r="P1054" s="118" t="s">
        <v>1876</v>
      </c>
      <c r="Q1054" s="125" t="s">
        <v>972</v>
      </c>
      <c r="R1054" s="125" t="s">
        <v>972</v>
      </c>
      <c r="S1054" s="125" t="s">
        <v>972</v>
      </c>
      <c r="T1054" s="222"/>
      <c r="U1054" s="222"/>
      <c r="V1054" s="222"/>
      <c r="W1054" s="230"/>
      <c r="X1054" s="331">
        <f t="shared" si="50"/>
        <v>0</v>
      </c>
      <c r="Y1054" s="222"/>
      <c r="Z1054" s="272">
        <f t="shared" si="48"/>
        <v>0</v>
      </c>
      <c r="AA1054" s="331"/>
      <c r="AB1054" s="331"/>
      <c r="AC1054" s="331"/>
      <c r="AD1054" s="331"/>
      <c r="AE1054" s="331"/>
      <c r="AF1054" s="331"/>
      <c r="AG1054" s="331"/>
      <c r="AH1054" s="241">
        <f t="shared" ca="1" si="49"/>
        <v>46153</v>
      </c>
      <c r="AI1054" s="272"/>
      <c r="AJ1054" s="222"/>
      <c r="AK1054" s="222"/>
    </row>
    <row r="1055" spans="1:37" ht="23.25" hidden="1" customHeight="1">
      <c r="A1055" s="111">
        <v>672</v>
      </c>
      <c r="B1055" s="112" t="s">
        <v>1071</v>
      </c>
      <c r="C1055" s="113" t="s">
        <v>3794</v>
      </c>
      <c r="D1055" s="557" t="s">
        <v>3795</v>
      </c>
      <c r="E1055" s="114" t="s">
        <v>3796</v>
      </c>
      <c r="F1055" s="115" t="s">
        <v>1159</v>
      </c>
      <c r="G1055" s="115" t="s">
        <v>1018</v>
      </c>
      <c r="H1055" s="116">
        <v>13.730656</v>
      </c>
      <c r="I1055" s="116">
        <v>100.56961800000001</v>
      </c>
      <c r="J1055" s="116" t="s">
        <v>2097</v>
      </c>
      <c r="K1055" s="121" t="s">
        <v>2097</v>
      </c>
      <c r="L1055" s="121" t="s">
        <v>3797</v>
      </c>
      <c r="M1055" s="116" t="s">
        <v>1347</v>
      </c>
      <c r="N1055" s="121" t="s">
        <v>2566</v>
      </c>
      <c r="O1055" s="121"/>
      <c r="P1055" s="127" t="s">
        <v>1076</v>
      </c>
      <c r="Q1055" s="129" t="s">
        <v>972</v>
      </c>
      <c r="R1055" s="119" t="s">
        <v>972</v>
      </c>
      <c r="S1055" s="119" t="s">
        <v>972</v>
      </c>
      <c r="T1055" s="222"/>
      <c r="U1055" s="222"/>
      <c r="V1055" s="222"/>
      <c r="W1055" s="230"/>
      <c r="X1055" s="331">
        <f t="shared" si="50"/>
        <v>0</v>
      </c>
      <c r="Y1055" s="222"/>
      <c r="Z1055" s="272">
        <f t="shared" si="48"/>
        <v>0</v>
      </c>
      <c r="AA1055" s="331"/>
      <c r="AB1055" s="331"/>
      <c r="AC1055" s="331"/>
      <c r="AD1055" s="331"/>
      <c r="AE1055" s="331"/>
      <c r="AF1055" s="331"/>
      <c r="AG1055" s="331"/>
      <c r="AH1055" s="241">
        <f t="shared" ca="1" si="49"/>
        <v>46153</v>
      </c>
      <c r="AI1055" s="272"/>
      <c r="AJ1055" s="222"/>
      <c r="AK1055" s="222"/>
    </row>
    <row r="1056" spans="1:37" ht="23" hidden="1">
      <c r="A1056" s="111">
        <v>1084</v>
      </c>
      <c r="B1056" s="112">
        <v>5</v>
      </c>
      <c r="C1056" s="122" t="s">
        <v>3863</v>
      </c>
      <c r="D1056" s="147" t="s">
        <v>3864</v>
      </c>
      <c r="E1056" s="123" t="s">
        <v>3865</v>
      </c>
      <c r="F1056" s="116" t="s">
        <v>1159</v>
      </c>
      <c r="G1056" s="116" t="s">
        <v>984</v>
      </c>
      <c r="H1056" s="116">
        <v>13.7404467</v>
      </c>
      <c r="I1056" s="116">
        <v>100.5554138</v>
      </c>
      <c r="J1056" s="116" t="s">
        <v>890</v>
      </c>
      <c r="K1056" s="115" t="s">
        <v>1212</v>
      </c>
      <c r="L1056" s="117" t="s">
        <v>1213</v>
      </c>
      <c r="M1056" s="117">
        <v>24018022</v>
      </c>
      <c r="N1056" s="121" t="s">
        <v>1050</v>
      </c>
      <c r="O1056" s="121" t="s">
        <v>984</v>
      </c>
      <c r="P1056" s="117" t="s">
        <v>894</v>
      </c>
      <c r="Q1056" s="118">
        <v>80057501</v>
      </c>
      <c r="R1056" s="125" t="s">
        <v>972</v>
      </c>
      <c r="S1056" s="125" t="s">
        <v>895</v>
      </c>
      <c r="T1056" s="222"/>
      <c r="U1056" s="222"/>
      <c r="V1056" s="222"/>
      <c r="W1056" s="230"/>
      <c r="X1056" s="331">
        <f t="shared" si="50"/>
        <v>0</v>
      </c>
      <c r="Y1056" s="222"/>
      <c r="Z1056" s="272">
        <f t="shared" si="48"/>
        <v>0</v>
      </c>
      <c r="AA1056" s="331"/>
      <c r="AB1056" s="331"/>
      <c r="AC1056" s="331"/>
      <c r="AD1056" s="331"/>
      <c r="AE1056" s="331"/>
      <c r="AF1056" s="331"/>
      <c r="AG1056" s="331"/>
      <c r="AH1056" s="241">
        <f t="shared" ca="1" si="49"/>
        <v>46153</v>
      </c>
      <c r="AI1056" s="272"/>
      <c r="AJ1056" s="222"/>
      <c r="AK1056" s="222"/>
    </row>
    <row r="1057" spans="1:37" ht="23" hidden="1">
      <c r="A1057" s="111">
        <v>1103</v>
      </c>
      <c r="B1057" s="112">
        <v>13</v>
      </c>
      <c r="C1057" s="113" t="s">
        <v>3910</v>
      </c>
      <c r="D1057" s="147" t="s">
        <v>3911</v>
      </c>
      <c r="E1057" s="114" t="s">
        <v>3912</v>
      </c>
      <c r="F1057" s="115" t="s">
        <v>1159</v>
      </c>
      <c r="G1057" s="115" t="s">
        <v>1018</v>
      </c>
      <c r="H1057" s="115">
        <v>13.721564300000001</v>
      </c>
      <c r="I1057" s="115">
        <v>100.5823607</v>
      </c>
      <c r="J1057" s="116" t="s">
        <v>890</v>
      </c>
      <c r="K1057" s="115" t="s">
        <v>1212</v>
      </c>
      <c r="L1057" s="117" t="s">
        <v>1213</v>
      </c>
      <c r="M1057" s="117">
        <v>26049801</v>
      </c>
      <c r="N1057" s="121" t="s">
        <v>1050</v>
      </c>
      <c r="O1057" s="121" t="s">
        <v>984</v>
      </c>
      <c r="P1057" s="117" t="s">
        <v>894</v>
      </c>
      <c r="Q1057" s="118">
        <v>80057501</v>
      </c>
      <c r="R1057" s="125" t="s">
        <v>972</v>
      </c>
      <c r="S1057" s="125" t="s">
        <v>895</v>
      </c>
      <c r="T1057" s="222"/>
      <c r="U1057" s="222"/>
      <c r="V1057" s="222"/>
      <c r="W1057" s="230"/>
      <c r="X1057" s="331">
        <f t="shared" si="50"/>
        <v>0</v>
      </c>
      <c r="Y1057" s="222"/>
      <c r="Z1057" s="272">
        <f t="shared" si="48"/>
        <v>0</v>
      </c>
      <c r="AA1057" s="331"/>
      <c r="AB1057" s="331"/>
      <c r="AC1057" s="331"/>
      <c r="AD1057" s="331"/>
      <c r="AE1057" s="331"/>
      <c r="AF1057" s="331"/>
      <c r="AG1057" s="331"/>
      <c r="AH1057" s="241">
        <f t="shared" ca="1" si="49"/>
        <v>46153</v>
      </c>
      <c r="AI1057" s="272"/>
      <c r="AJ1057" s="222"/>
      <c r="AK1057" s="222"/>
    </row>
    <row r="1058" spans="1:37" s="356" customFormat="1" ht="23" hidden="1">
      <c r="A1058" s="111">
        <v>1111</v>
      </c>
      <c r="B1058" s="112">
        <v>11</v>
      </c>
      <c r="C1058" s="113" t="s">
        <v>3929</v>
      </c>
      <c r="D1058" s="147" t="s">
        <v>3930</v>
      </c>
      <c r="E1058" s="114" t="s">
        <v>3931</v>
      </c>
      <c r="F1058" s="115" t="s">
        <v>1159</v>
      </c>
      <c r="G1058" s="115" t="s">
        <v>1018</v>
      </c>
      <c r="H1058" s="116">
        <v>13.719908999999999</v>
      </c>
      <c r="I1058" s="116">
        <v>100.58509100000001</v>
      </c>
      <c r="J1058" s="116" t="s">
        <v>890</v>
      </c>
      <c r="K1058" s="115" t="s">
        <v>1212</v>
      </c>
      <c r="L1058" s="117" t="s">
        <v>1213</v>
      </c>
      <c r="M1058" s="117">
        <v>26049824</v>
      </c>
      <c r="N1058" s="121" t="s">
        <v>1050</v>
      </c>
      <c r="O1058" s="121" t="s">
        <v>984</v>
      </c>
      <c r="P1058" s="117" t="s">
        <v>894</v>
      </c>
      <c r="Q1058" s="118">
        <v>80057501</v>
      </c>
      <c r="R1058" s="125" t="s">
        <v>972</v>
      </c>
      <c r="S1058" s="125" t="s">
        <v>895</v>
      </c>
      <c r="T1058" s="222"/>
      <c r="U1058" s="222"/>
      <c r="V1058" s="222"/>
      <c r="W1058" s="230"/>
      <c r="X1058" s="331">
        <f t="shared" si="50"/>
        <v>0</v>
      </c>
      <c r="Y1058" s="222"/>
      <c r="Z1058" s="272">
        <f t="shared" si="48"/>
        <v>0</v>
      </c>
      <c r="AA1058" s="331"/>
      <c r="AB1058" s="331"/>
      <c r="AC1058" s="331"/>
      <c r="AD1058" s="331"/>
      <c r="AE1058" s="331"/>
      <c r="AF1058" s="331"/>
      <c r="AG1058" s="331"/>
      <c r="AH1058" s="241">
        <f t="shared" ca="1" si="49"/>
        <v>46153</v>
      </c>
      <c r="AI1058" s="272"/>
      <c r="AJ1058" s="222"/>
      <c r="AK1058" s="222"/>
    </row>
    <row r="1059" spans="1:37" ht="23" hidden="1">
      <c r="A1059" s="111">
        <v>504</v>
      </c>
      <c r="B1059" s="112">
        <v>8</v>
      </c>
      <c r="C1059" s="122" t="s">
        <v>4220</v>
      </c>
      <c r="D1059" s="147" t="s">
        <v>4221</v>
      </c>
      <c r="E1059" s="123" t="s">
        <v>4222</v>
      </c>
      <c r="F1059" s="116" t="s">
        <v>1159</v>
      </c>
      <c r="G1059" s="116" t="s">
        <v>1018</v>
      </c>
      <c r="H1059" s="116">
        <v>13.7242043</v>
      </c>
      <c r="I1059" s="116">
        <v>100.5787325</v>
      </c>
      <c r="J1059" s="116" t="s">
        <v>2108</v>
      </c>
      <c r="K1059" s="115" t="s">
        <v>2110</v>
      </c>
      <c r="L1059" s="117" t="s">
        <v>4223</v>
      </c>
      <c r="M1059" s="121" t="s">
        <v>972</v>
      </c>
      <c r="N1059" s="121" t="s">
        <v>1050</v>
      </c>
      <c r="O1059" s="121" t="s">
        <v>984</v>
      </c>
      <c r="P1059" s="117" t="s">
        <v>1876</v>
      </c>
      <c r="Q1059" s="125" t="s">
        <v>972</v>
      </c>
      <c r="R1059" s="125" t="s">
        <v>972</v>
      </c>
      <c r="S1059" s="125" t="s">
        <v>2830</v>
      </c>
      <c r="T1059" s="222"/>
      <c r="U1059" s="222"/>
      <c r="V1059" s="222"/>
      <c r="W1059" s="230"/>
      <c r="X1059" s="331">
        <f t="shared" si="50"/>
        <v>0</v>
      </c>
      <c r="Y1059" s="222"/>
      <c r="Z1059" s="272">
        <f t="shared" si="48"/>
        <v>0</v>
      </c>
      <c r="AA1059" s="331"/>
      <c r="AB1059" s="331"/>
      <c r="AC1059" s="331"/>
      <c r="AD1059" s="331"/>
      <c r="AE1059" s="331"/>
      <c r="AF1059" s="331"/>
      <c r="AG1059" s="331"/>
      <c r="AH1059" s="241">
        <f t="shared" ca="1" si="49"/>
        <v>46153</v>
      </c>
      <c r="AI1059" s="272"/>
      <c r="AJ1059" s="222"/>
      <c r="AK1059" s="222"/>
    </row>
    <row r="1060" spans="1:37" ht="23" hidden="1">
      <c r="A1060" s="111">
        <v>947</v>
      </c>
      <c r="B1060" s="112" t="s">
        <v>1553</v>
      </c>
      <c r="C1060" s="180" t="s">
        <v>4486</v>
      </c>
      <c r="D1060" s="557" t="s">
        <v>4487</v>
      </c>
      <c r="E1060" s="114" t="s">
        <v>4488</v>
      </c>
      <c r="F1060" s="115" t="s">
        <v>1159</v>
      </c>
      <c r="G1060" s="115" t="s">
        <v>984</v>
      </c>
      <c r="H1060" s="116">
        <v>13.727620699999999</v>
      </c>
      <c r="I1060" s="116">
        <v>100.5735662</v>
      </c>
      <c r="J1060" s="116" t="s">
        <v>2097</v>
      </c>
      <c r="K1060" s="116" t="s">
        <v>2097</v>
      </c>
      <c r="L1060" s="117" t="s">
        <v>2098</v>
      </c>
      <c r="M1060" s="116" t="s">
        <v>1347</v>
      </c>
      <c r="N1060" s="121" t="s">
        <v>1050</v>
      </c>
      <c r="O1060" s="121" t="s">
        <v>984</v>
      </c>
      <c r="P1060" s="117" t="s">
        <v>894</v>
      </c>
      <c r="Q1060" s="125" t="s">
        <v>972</v>
      </c>
      <c r="R1060" s="125" t="s">
        <v>972</v>
      </c>
      <c r="S1060" s="125" t="s">
        <v>972</v>
      </c>
      <c r="T1060" s="222"/>
      <c r="U1060" s="222"/>
      <c r="V1060" s="222"/>
      <c r="W1060" s="230"/>
      <c r="X1060" s="331">
        <f t="shared" si="50"/>
        <v>0</v>
      </c>
      <c r="Y1060" s="222"/>
      <c r="Z1060" s="272">
        <f t="shared" si="48"/>
        <v>0</v>
      </c>
      <c r="AA1060" s="331"/>
      <c r="AB1060" s="331"/>
      <c r="AC1060" s="331"/>
      <c r="AD1060" s="331"/>
      <c r="AE1060" s="331"/>
      <c r="AF1060" s="331"/>
      <c r="AG1060" s="331"/>
      <c r="AH1060" s="241">
        <f t="shared" ca="1" si="49"/>
        <v>46153</v>
      </c>
      <c r="AI1060" s="272"/>
      <c r="AJ1060" s="222"/>
      <c r="AK1060" s="222"/>
    </row>
    <row r="1061" spans="1:37" ht="23" hidden="1">
      <c r="A1061" s="111">
        <v>953</v>
      </c>
      <c r="B1061" s="112">
        <v>10</v>
      </c>
      <c r="C1061" s="113" t="s">
        <v>4501</v>
      </c>
      <c r="D1061" s="147" t="s">
        <v>4502</v>
      </c>
      <c r="E1061" s="114" t="s">
        <v>4503</v>
      </c>
      <c r="F1061" s="115" t="s">
        <v>1159</v>
      </c>
      <c r="G1061" s="115" t="s">
        <v>1018</v>
      </c>
      <c r="H1061" s="116">
        <v>13.7136008</v>
      </c>
      <c r="I1061" s="116">
        <v>100.593603</v>
      </c>
      <c r="J1061" s="116" t="s">
        <v>2097</v>
      </c>
      <c r="K1061" s="116" t="s">
        <v>2097</v>
      </c>
      <c r="L1061" s="117" t="s">
        <v>4504</v>
      </c>
      <c r="M1061" s="116" t="s">
        <v>1347</v>
      </c>
      <c r="N1061" s="121" t="s">
        <v>1050</v>
      </c>
      <c r="O1061" s="121" t="s">
        <v>984</v>
      </c>
      <c r="P1061" s="117" t="s">
        <v>894</v>
      </c>
      <c r="Q1061" s="125" t="s">
        <v>972</v>
      </c>
      <c r="R1061" s="125" t="s">
        <v>972</v>
      </c>
      <c r="S1061" s="125" t="s">
        <v>972</v>
      </c>
      <c r="T1061" s="222"/>
      <c r="U1061" s="222"/>
      <c r="V1061" s="222"/>
      <c r="W1061" s="230"/>
      <c r="X1061" s="331">
        <f t="shared" si="50"/>
        <v>0</v>
      </c>
      <c r="Y1061" s="222"/>
      <c r="Z1061" s="272">
        <f t="shared" si="48"/>
        <v>0</v>
      </c>
      <c r="AA1061" s="331"/>
      <c r="AB1061" s="331"/>
      <c r="AC1061" s="331"/>
      <c r="AD1061" s="331"/>
      <c r="AE1061" s="331"/>
      <c r="AF1061" s="331"/>
      <c r="AG1061" s="331"/>
      <c r="AH1061" s="241">
        <f t="shared" ca="1" si="49"/>
        <v>46153</v>
      </c>
      <c r="AI1061" s="272"/>
      <c r="AJ1061" s="222"/>
      <c r="AK1061" s="222"/>
    </row>
    <row r="1062" spans="1:37" ht="23" hidden="1">
      <c r="A1062" s="111">
        <v>965</v>
      </c>
      <c r="B1062" s="112">
        <v>12</v>
      </c>
      <c r="C1062" s="113" t="s">
        <v>4535</v>
      </c>
      <c r="D1062" s="557" t="s">
        <v>4536</v>
      </c>
      <c r="E1062" s="114" t="s">
        <v>4537</v>
      </c>
      <c r="F1062" s="115" t="s">
        <v>1159</v>
      </c>
      <c r="G1062" s="115" t="s">
        <v>1018</v>
      </c>
      <c r="H1062" s="116">
        <v>13.732393200000001</v>
      </c>
      <c r="I1062" s="116">
        <v>100.5671238</v>
      </c>
      <c r="J1062" s="115" t="s">
        <v>2108</v>
      </c>
      <c r="K1062" s="117" t="s">
        <v>2109</v>
      </c>
      <c r="L1062" s="117" t="s">
        <v>2110</v>
      </c>
      <c r="M1062" s="121" t="s">
        <v>972</v>
      </c>
      <c r="N1062" s="121" t="s">
        <v>972</v>
      </c>
      <c r="O1062" s="121" t="s">
        <v>984</v>
      </c>
      <c r="P1062" s="117" t="s">
        <v>1876</v>
      </c>
      <c r="Q1062" s="125" t="s">
        <v>972</v>
      </c>
      <c r="R1062" s="125" t="s">
        <v>972</v>
      </c>
      <c r="S1062" s="125" t="s">
        <v>972</v>
      </c>
      <c r="T1062" s="305" t="s">
        <v>5212</v>
      </c>
      <c r="U1062" s="305" t="s">
        <v>5184</v>
      </c>
      <c r="V1062" s="331">
        <v>45108</v>
      </c>
      <c r="W1062" s="326">
        <v>4</v>
      </c>
      <c r="X1062" s="331">
        <f t="shared" si="50"/>
        <v>45112</v>
      </c>
      <c r="Y1062" s="331">
        <v>45116</v>
      </c>
      <c r="Z1062" s="332">
        <f t="shared" si="48"/>
        <v>4</v>
      </c>
      <c r="AA1062" s="331"/>
      <c r="AB1062" s="331"/>
      <c r="AC1062" s="331"/>
      <c r="AD1062" s="331"/>
      <c r="AE1062" s="331"/>
      <c r="AF1062" s="331"/>
      <c r="AG1062" s="331"/>
      <c r="AH1062" s="331">
        <f t="shared" ca="1" si="49"/>
        <v>46153</v>
      </c>
      <c r="AI1062" s="332"/>
      <c r="AJ1062" s="312" t="s">
        <v>5143</v>
      </c>
      <c r="AK1062" s="305"/>
    </row>
    <row r="1063" spans="1:37" ht="23" hidden="1">
      <c r="A1063" s="111">
        <v>969</v>
      </c>
      <c r="B1063" s="112">
        <v>10</v>
      </c>
      <c r="C1063" s="113" t="s">
        <v>4545</v>
      </c>
      <c r="D1063" s="147" t="s">
        <v>4546</v>
      </c>
      <c r="E1063" s="114" t="s">
        <v>4547</v>
      </c>
      <c r="F1063" s="115" t="s">
        <v>1159</v>
      </c>
      <c r="G1063" s="115" t="s">
        <v>984</v>
      </c>
      <c r="H1063" s="116">
        <v>13.716166100000001</v>
      </c>
      <c r="I1063" s="116">
        <v>100.5897172</v>
      </c>
      <c r="J1063" s="115" t="s">
        <v>2108</v>
      </c>
      <c r="K1063" s="117" t="s">
        <v>2109</v>
      </c>
      <c r="L1063" s="117" t="s">
        <v>2110</v>
      </c>
      <c r="M1063" s="121" t="s">
        <v>972</v>
      </c>
      <c r="N1063" s="121" t="s">
        <v>972</v>
      </c>
      <c r="O1063" s="121" t="s">
        <v>984</v>
      </c>
      <c r="P1063" s="117" t="s">
        <v>894</v>
      </c>
      <c r="Q1063" s="125" t="s">
        <v>972</v>
      </c>
      <c r="R1063" s="125" t="s">
        <v>972</v>
      </c>
      <c r="S1063" s="125" t="s">
        <v>972</v>
      </c>
      <c r="T1063" s="222"/>
      <c r="U1063" s="222"/>
      <c r="V1063" s="222"/>
      <c r="W1063" s="230"/>
      <c r="X1063" s="331">
        <f t="shared" si="50"/>
        <v>0</v>
      </c>
      <c r="Y1063" s="222"/>
      <c r="Z1063" s="272">
        <f t="shared" si="48"/>
        <v>0</v>
      </c>
      <c r="AA1063" s="331"/>
      <c r="AB1063" s="331"/>
      <c r="AC1063" s="331"/>
      <c r="AD1063" s="331"/>
      <c r="AE1063" s="331"/>
      <c r="AF1063" s="331"/>
      <c r="AG1063" s="331"/>
      <c r="AH1063" s="241">
        <f t="shared" ca="1" si="49"/>
        <v>46153</v>
      </c>
      <c r="AI1063" s="272"/>
      <c r="AJ1063" s="222"/>
      <c r="AK1063" s="222"/>
    </row>
    <row r="1064" spans="1:37" ht="23" hidden="1">
      <c r="A1064" s="111">
        <v>983</v>
      </c>
      <c r="B1064" s="112">
        <v>9</v>
      </c>
      <c r="C1064" s="122" t="s">
        <v>4582</v>
      </c>
      <c r="D1064" s="147" t="s">
        <v>4583</v>
      </c>
      <c r="E1064" s="114" t="s">
        <v>4584</v>
      </c>
      <c r="F1064" s="115" t="s">
        <v>1159</v>
      </c>
      <c r="G1064" s="115" t="s">
        <v>1018</v>
      </c>
      <c r="H1064" s="115">
        <v>13.7208477</v>
      </c>
      <c r="I1064" s="115">
        <v>100.5834498</v>
      </c>
      <c r="J1064" s="115" t="s">
        <v>2108</v>
      </c>
      <c r="K1064" s="117" t="s">
        <v>2109</v>
      </c>
      <c r="L1064" s="117" t="s">
        <v>2110</v>
      </c>
      <c r="M1064" s="121" t="s">
        <v>972</v>
      </c>
      <c r="N1064" s="121" t="s">
        <v>972</v>
      </c>
      <c r="O1064" s="121" t="s">
        <v>984</v>
      </c>
      <c r="P1064" s="117" t="s">
        <v>1876</v>
      </c>
      <c r="Q1064" s="125" t="s">
        <v>972</v>
      </c>
      <c r="R1064" s="125" t="s">
        <v>972</v>
      </c>
      <c r="S1064" s="125" t="s">
        <v>972</v>
      </c>
      <c r="T1064" s="222"/>
      <c r="U1064" s="222"/>
      <c r="V1064" s="222"/>
      <c r="W1064" s="230"/>
      <c r="X1064" s="331">
        <f t="shared" si="50"/>
        <v>0</v>
      </c>
      <c r="Y1064" s="222"/>
      <c r="Z1064" s="272">
        <f t="shared" si="48"/>
        <v>0</v>
      </c>
      <c r="AA1064" s="331"/>
      <c r="AB1064" s="331"/>
      <c r="AC1064" s="331"/>
      <c r="AD1064" s="331"/>
      <c r="AE1064" s="331"/>
      <c r="AF1064" s="331"/>
      <c r="AG1064" s="331"/>
      <c r="AH1064" s="241">
        <f t="shared" ca="1" si="49"/>
        <v>46153</v>
      </c>
      <c r="AI1064" s="272"/>
      <c r="AJ1064" s="222"/>
      <c r="AK1064" s="222"/>
    </row>
    <row r="1065" spans="1:37" ht="23" hidden="1">
      <c r="A1065" s="111">
        <v>1032</v>
      </c>
      <c r="B1065" s="112" t="s">
        <v>1459</v>
      </c>
      <c r="C1065" s="113" t="s">
        <v>4693</v>
      </c>
      <c r="D1065" s="147" t="s">
        <v>4694</v>
      </c>
      <c r="E1065" s="114" t="s">
        <v>4695</v>
      </c>
      <c r="F1065" s="115" t="s">
        <v>1159</v>
      </c>
      <c r="G1065" s="115" t="s">
        <v>984</v>
      </c>
      <c r="H1065" s="116">
        <v>13.724857999999999</v>
      </c>
      <c r="I1065" s="116">
        <v>100.577574</v>
      </c>
      <c r="J1065" s="116" t="s">
        <v>2097</v>
      </c>
      <c r="K1065" s="116" t="s">
        <v>2097</v>
      </c>
      <c r="L1065" s="117" t="s">
        <v>4696</v>
      </c>
      <c r="M1065" s="116" t="s">
        <v>1347</v>
      </c>
      <c r="N1065" s="121" t="s">
        <v>1050</v>
      </c>
      <c r="O1065" s="121" t="s">
        <v>984</v>
      </c>
      <c r="P1065" s="118" t="s">
        <v>894</v>
      </c>
      <c r="Q1065" s="125" t="s">
        <v>972</v>
      </c>
      <c r="R1065" s="125" t="s">
        <v>972</v>
      </c>
      <c r="S1065" s="125" t="s">
        <v>972</v>
      </c>
      <c r="T1065" s="222"/>
      <c r="U1065" s="222"/>
      <c r="V1065" s="222"/>
      <c r="W1065" s="230"/>
      <c r="X1065" s="331">
        <f t="shared" si="50"/>
        <v>0</v>
      </c>
      <c r="Y1065" s="222"/>
      <c r="Z1065" s="272">
        <f t="shared" si="48"/>
        <v>0</v>
      </c>
      <c r="AA1065" s="331"/>
      <c r="AB1065" s="331"/>
      <c r="AC1065" s="331"/>
      <c r="AD1065" s="331"/>
      <c r="AE1065" s="331"/>
      <c r="AF1065" s="331"/>
      <c r="AG1065" s="331"/>
      <c r="AH1065" s="241">
        <f t="shared" ca="1" si="49"/>
        <v>46153</v>
      </c>
      <c r="AI1065" s="272"/>
      <c r="AJ1065" s="222"/>
      <c r="AK1065" s="222"/>
    </row>
    <row r="1066" spans="1:37" ht="23.25" hidden="1" customHeight="1">
      <c r="A1066" s="111">
        <v>198</v>
      </c>
      <c r="B1066" s="112" t="s">
        <v>1818</v>
      </c>
      <c r="C1066" s="113" t="s">
        <v>4809</v>
      </c>
      <c r="D1066" s="160" t="s">
        <v>4810</v>
      </c>
      <c r="E1066" s="123" t="s">
        <v>5312</v>
      </c>
      <c r="F1066" s="116" t="s">
        <v>1159</v>
      </c>
      <c r="G1066" s="116" t="s">
        <v>984</v>
      </c>
      <c r="H1066" s="131">
        <v>13.7291346</v>
      </c>
      <c r="I1066" s="116">
        <v>100.5717661</v>
      </c>
      <c r="J1066" s="121" t="s">
        <v>2108</v>
      </c>
      <c r="K1066" s="121" t="s">
        <v>2108</v>
      </c>
      <c r="L1066" s="121" t="s">
        <v>2108</v>
      </c>
      <c r="M1066" s="196"/>
      <c r="N1066" s="120" t="s">
        <v>1050</v>
      </c>
      <c r="O1066" s="121" t="s">
        <v>984</v>
      </c>
      <c r="P1066" s="121" t="s">
        <v>5305</v>
      </c>
      <c r="Q1066" s="118">
        <v>80057501</v>
      </c>
      <c r="R1066" s="119"/>
      <c r="S1066" s="119" t="s">
        <v>4242</v>
      </c>
      <c r="T1066" s="222"/>
      <c r="U1066" s="222"/>
      <c r="V1066" s="222"/>
      <c r="W1066" s="230"/>
      <c r="X1066" s="331">
        <f t="shared" si="50"/>
        <v>0</v>
      </c>
      <c r="Y1066" s="222"/>
      <c r="Z1066" s="272">
        <f t="shared" si="48"/>
        <v>0</v>
      </c>
      <c r="AA1066" s="331"/>
      <c r="AB1066" s="331"/>
      <c r="AC1066" s="331"/>
      <c r="AD1066" s="331"/>
      <c r="AE1066" s="331"/>
      <c r="AF1066" s="331"/>
      <c r="AG1066" s="331"/>
      <c r="AH1066" s="241">
        <f t="shared" ca="1" si="49"/>
        <v>46153</v>
      </c>
      <c r="AI1066" s="272"/>
      <c r="AJ1066" s="222"/>
      <c r="AK1066" s="222"/>
    </row>
    <row r="1067" spans="1:37" ht="23" hidden="1">
      <c r="A1067" s="111">
        <v>227</v>
      </c>
      <c r="B1067" s="112" t="s">
        <v>1818</v>
      </c>
      <c r="C1067" s="122" t="s">
        <v>4815</v>
      </c>
      <c r="D1067" s="147" t="s">
        <v>4816</v>
      </c>
      <c r="E1067" s="123" t="s">
        <v>4817</v>
      </c>
      <c r="F1067" s="122" t="s">
        <v>1159</v>
      </c>
      <c r="G1067" s="168" t="s">
        <v>1018</v>
      </c>
      <c r="H1067" s="118">
        <v>13.7206694</v>
      </c>
      <c r="I1067" s="118">
        <v>100.5837389</v>
      </c>
      <c r="J1067" s="116" t="s">
        <v>890</v>
      </c>
      <c r="K1067" s="115" t="s">
        <v>1212</v>
      </c>
      <c r="L1067" s="117" t="s">
        <v>1213</v>
      </c>
      <c r="M1067" s="117">
        <v>96887292</v>
      </c>
      <c r="N1067" s="121" t="s">
        <v>1050</v>
      </c>
      <c r="O1067" s="121" t="s">
        <v>984</v>
      </c>
      <c r="P1067" s="117" t="s">
        <v>894</v>
      </c>
      <c r="Q1067" s="118">
        <v>80057501</v>
      </c>
      <c r="R1067" s="119" t="s">
        <v>895</v>
      </c>
      <c r="S1067" s="125" t="s">
        <v>4749</v>
      </c>
      <c r="T1067" s="222"/>
      <c r="U1067" s="222"/>
      <c r="V1067" s="222"/>
      <c r="W1067" s="230"/>
      <c r="X1067" s="331">
        <f t="shared" si="50"/>
        <v>0</v>
      </c>
      <c r="Y1067" s="222"/>
      <c r="Z1067" s="272">
        <f t="shared" si="48"/>
        <v>0</v>
      </c>
      <c r="AA1067" s="331"/>
      <c r="AB1067" s="331"/>
      <c r="AC1067" s="331"/>
      <c r="AD1067" s="331"/>
      <c r="AE1067" s="331"/>
      <c r="AF1067" s="331"/>
      <c r="AG1067" s="331"/>
      <c r="AH1067" s="241">
        <f t="shared" ca="1" si="49"/>
        <v>46153</v>
      </c>
      <c r="AI1067" s="272"/>
      <c r="AJ1067" s="222"/>
      <c r="AK1067" s="222"/>
    </row>
    <row r="1068" spans="1:37" ht="23.25" hidden="1" customHeight="1">
      <c r="A1068" s="111">
        <v>591</v>
      </c>
      <c r="B1068" s="112">
        <v>15</v>
      </c>
      <c r="C1068" s="122" t="s">
        <v>4818</v>
      </c>
      <c r="D1068" s="147" t="s">
        <v>4819</v>
      </c>
      <c r="E1068" s="181" t="s">
        <v>4820</v>
      </c>
      <c r="F1068" s="203" t="s">
        <v>1159</v>
      </c>
      <c r="G1068" s="203" t="s">
        <v>1018</v>
      </c>
      <c r="H1068" s="203">
        <v>13.721946900000001</v>
      </c>
      <c r="I1068" s="203">
        <v>100.5819303</v>
      </c>
      <c r="J1068" s="116" t="s">
        <v>890</v>
      </c>
      <c r="K1068" s="115" t="s">
        <v>1212</v>
      </c>
      <c r="L1068" s="117" t="s">
        <v>1213</v>
      </c>
      <c r="M1068" s="199">
        <v>26049824</v>
      </c>
      <c r="N1068" s="121" t="s">
        <v>1050</v>
      </c>
      <c r="O1068" s="121" t="s">
        <v>984</v>
      </c>
      <c r="P1068" s="117" t="s">
        <v>1876</v>
      </c>
      <c r="Q1068" s="125" t="s">
        <v>972</v>
      </c>
      <c r="R1068" s="125" t="s">
        <v>972</v>
      </c>
      <c r="S1068" s="125" t="s">
        <v>2830</v>
      </c>
      <c r="T1068" s="222"/>
      <c r="U1068" s="222"/>
      <c r="V1068" s="222"/>
      <c r="W1068" s="230"/>
      <c r="X1068" s="331">
        <f t="shared" si="50"/>
        <v>0</v>
      </c>
      <c r="Y1068" s="222"/>
      <c r="Z1068" s="272">
        <f t="shared" si="48"/>
        <v>0</v>
      </c>
      <c r="AA1068" s="331"/>
      <c r="AB1068" s="331"/>
      <c r="AC1068" s="331"/>
      <c r="AD1068" s="331"/>
      <c r="AE1068" s="331"/>
      <c r="AF1068" s="331"/>
      <c r="AG1068" s="331"/>
      <c r="AH1068" s="241">
        <f t="shared" ca="1" si="49"/>
        <v>46153</v>
      </c>
      <c r="AI1068" s="272"/>
      <c r="AJ1068" s="222"/>
      <c r="AK1068" s="222"/>
    </row>
    <row r="1069" spans="1:37" ht="23.25" hidden="1" customHeight="1">
      <c r="A1069" s="111">
        <v>721</v>
      </c>
      <c r="B1069" s="112" t="s">
        <v>1071</v>
      </c>
      <c r="C1069" s="113" t="s">
        <v>4834</v>
      </c>
      <c r="D1069" s="147" t="s">
        <v>4835</v>
      </c>
      <c r="E1069" s="183" t="s">
        <v>4836</v>
      </c>
      <c r="F1069" s="184" t="s">
        <v>1159</v>
      </c>
      <c r="G1069" s="184" t="s">
        <v>984</v>
      </c>
      <c r="H1069" s="187">
        <v>13.7301647</v>
      </c>
      <c r="I1069" s="187">
        <v>100.5700178</v>
      </c>
      <c r="J1069" s="116" t="s">
        <v>890</v>
      </c>
      <c r="K1069" s="115" t="s">
        <v>1212</v>
      </c>
      <c r="L1069" s="117" t="s">
        <v>1213</v>
      </c>
      <c r="M1069" s="121" t="s">
        <v>4837</v>
      </c>
      <c r="N1069" s="121" t="s">
        <v>892</v>
      </c>
      <c r="O1069" s="121"/>
      <c r="P1069" s="127" t="s">
        <v>1076</v>
      </c>
      <c r="Q1069" s="188" t="s">
        <v>972</v>
      </c>
      <c r="R1069" s="190" t="s">
        <v>972</v>
      </c>
      <c r="S1069" s="125" t="s">
        <v>4749</v>
      </c>
      <c r="T1069" s="222"/>
      <c r="U1069" s="222"/>
      <c r="V1069" s="222"/>
      <c r="W1069" s="230"/>
      <c r="X1069" s="331">
        <f t="shared" si="50"/>
        <v>0</v>
      </c>
      <c r="Y1069" s="222"/>
      <c r="Z1069" s="272">
        <f t="shared" si="48"/>
        <v>0</v>
      </c>
      <c r="AA1069" s="331"/>
      <c r="AB1069" s="331"/>
      <c r="AC1069" s="331"/>
      <c r="AD1069" s="331"/>
      <c r="AE1069" s="331"/>
      <c r="AF1069" s="331"/>
      <c r="AG1069" s="331"/>
      <c r="AH1069" s="241">
        <f t="shared" ca="1" si="49"/>
        <v>46153</v>
      </c>
      <c r="AI1069" s="272"/>
      <c r="AJ1069" s="222"/>
      <c r="AK1069" s="222"/>
    </row>
    <row r="1070" spans="1:37" ht="23.25" hidden="1" customHeight="1">
      <c r="A1070" s="111">
        <v>1099</v>
      </c>
      <c r="B1070" s="112" t="s">
        <v>1569</v>
      </c>
      <c r="C1070" s="113" t="s">
        <v>4846</v>
      </c>
      <c r="D1070" s="147" t="s">
        <v>4847</v>
      </c>
      <c r="E1070" s="183" t="s">
        <v>4848</v>
      </c>
      <c r="F1070" s="184" t="s">
        <v>1159</v>
      </c>
      <c r="G1070" s="184" t="s">
        <v>1653</v>
      </c>
      <c r="H1070" s="187">
        <v>13.692698999999999</v>
      </c>
      <c r="I1070" s="187">
        <v>100.607455</v>
      </c>
      <c r="J1070" s="115" t="s">
        <v>2108</v>
      </c>
      <c r="K1070" s="117" t="s">
        <v>2109</v>
      </c>
      <c r="L1070" s="117" t="s">
        <v>2110</v>
      </c>
      <c r="M1070" s="121" t="s">
        <v>972</v>
      </c>
      <c r="N1070" s="121" t="s">
        <v>972</v>
      </c>
      <c r="O1070" s="121" t="s">
        <v>984</v>
      </c>
      <c r="P1070" s="118" t="s">
        <v>1876</v>
      </c>
      <c r="Q1070" s="185" t="s">
        <v>972</v>
      </c>
      <c r="R1070" s="125" t="s">
        <v>972</v>
      </c>
      <c r="S1070" s="125" t="s">
        <v>972</v>
      </c>
      <c r="T1070" s="222"/>
      <c r="U1070" s="222"/>
      <c r="V1070" s="222"/>
      <c r="W1070" s="230"/>
      <c r="X1070" s="331">
        <f t="shared" si="50"/>
        <v>0</v>
      </c>
      <c r="Y1070" s="222"/>
      <c r="Z1070" s="272">
        <f t="shared" si="48"/>
        <v>0</v>
      </c>
      <c r="AA1070" s="331"/>
      <c r="AB1070" s="331"/>
      <c r="AC1070" s="331"/>
      <c r="AD1070" s="331"/>
      <c r="AE1070" s="331"/>
      <c r="AF1070" s="331"/>
      <c r="AG1070" s="331"/>
      <c r="AH1070" s="241">
        <f t="shared" ca="1" si="49"/>
        <v>46153</v>
      </c>
      <c r="AI1070" s="272"/>
      <c r="AJ1070" s="222"/>
      <c r="AK1070" s="222"/>
    </row>
    <row r="1071" spans="1:37" ht="23" hidden="1">
      <c r="A1071" s="111">
        <v>1101</v>
      </c>
      <c r="B1071" s="112">
        <v>8</v>
      </c>
      <c r="C1071" s="113" t="s">
        <v>4849</v>
      </c>
      <c r="D1071" s="147" t="s">
        <v>4850</v>
      </c>
      <c r="E1071" s="183" t="s">
        <v>4851</v>
      </c>
      <c r="F1071" s="184" t="s">
        <v>1159</v>
      </c>
      <c r="G1071" s="184" t="s">
        <v>1018</v>
      </c>
      <c r="H1071" s="187">
        <v>13.706518000000001</v>
      </c>
      <c r="I1071" s="187">
        <v>100.600632</v>
      </c>
      <c r="J1071" s="115" t="s">
        <v>2108</v>
      </c>
      <c r="K1071" s="117" t="s">
        <v>2109</v>
      </c>
      <c r="L1071" s="121" t="s">
        <v>2110</v>
      </c>
      <c r="M1071" s="121" t="s">
        <v>972</v>
      </c>
      <c r="N1071" s="121" t="s">
        <v>972</v>
      </c>
      <c r="O1071" s="121" t="s">
        <v>984</v>
      </c>
      <c r="P1071" s="121" t="s">
        <v>1876</v>
      </c>
      <c r="Q1071" s="185" t="s">
        <v>972</v>
      </c>
      <c r="R1071" s="186" t="s">
        <v>972</v>
      </c>
      <c r="S1071" s="125" t="s">
        <v>972</v>
      </c>
      <c r="T1071" s="333" t="s">
        <v>5178</v>
      </c>
      <c r="U1071" s="312" t="s">
        <v>5184</v>
      </c>
      <c r="V1071" s="329">
        <v>45154</v>
      </c>
      <c r="W1071" s="326"/>
      <c r="X1071" s="331">
        <f t="shared" si="50"/>
        <v>45154</v>
      </c>
      <c r="Y1071" s="312"/>
      <c r="Z1071" s="332" t="e">
        <f t="shared" si="48"/>
        <v>#NUM!</v>
      </c>
      <c r="AA1071" s="331"/>
      <c r="AB1071" s="331"/>
      <c r="AC1071" s="331"/>
      <c r="AD1071" s="331"/>
      <c r="AE1071" s="331"/>
      <c r="AF1071" s="331"/>
      <c r="AG1071" s="331"/>
      <c r="AH1071" s="329">
        <f t="shared" ca="1" si="49"/>
        <v>46153</v>
      </c>
      <c r="AI1071" s="330"/>
      <c r="AJ1071" s="312"/>
      <c r="AK1071" s="312"/>
    </row>
    <row r="1072" spans="1:37" ht="23" hidden="1">
      <c r="A1072" s="111">
        <v>1102</v>
      </c>
      <c r="B1072" s="112" t="s">
        <v>979</v>
      </c>
      <c r="C1072" s="113" t="s">
        <v>4852</v>
      </c>
      <c r="D1072" s="147" t="s">
        <v>4853</v>
      </c>
      <c r="E1072" s="183" t="s">
        <v>4854</v>
      </c>
      <c r="F1072" s="184" t="s">
        <v>1159</v>
      </c>
      <c r="G1072" s="184" t="s">
        <v>984</v>
      </c>
      <c r="H1072" s="187">
        <v>13.707305</v>
      </c>
      <c r="I1072" s="187">
        <v>100.600025</v>
      </c>
      <c r="J1072" s="115" t="s">
        <v>2108</v>
      </c>
      <c r="K1072" s="117" t="s">
        <v>2109</v>
      </c>
      <c r="L1072" s="117" t="s">
        <v>2110</v>
      </c>
      <c r="M1072" s="121" t="s">
        <v>972</v>
      </c>
      <c r="N1072" s="121" t="s">
        <v>972</v>
      </c>
      <c r="O1072" s="121" t="s">
        <v>984</v>
      </c>
      <c r="P1072" s="117" t="s">
        <v>894</v>
      </c>
      <c r="Q1072" s="185" t="s">
        <v>972</v>
      </c>
      <c r="R1072" s="186" t="s">
        <v>972</v>
      </c>
      <c r="S1072" s="125" t="s">
        <v>972</v>
      </c>
      <c r="T1072" s="274" t="s">
        <v>5212</v>
      </c>
      <c r="U1072" s="312" t="s">
        <v>5184</v>
      </c>
      <c r="V1072" s="329">
        <v>45005</v>
      </c>
      <c r="W1072" s="326">
        <v>14</v>
      </c>
      <c r="X1072" s="331">
        <f t="shared" si="50"/>
        <v>45019</v>
      </c>
      <c r="Y1072" s="312"/>
      <c r="Z1072" s="332" t="e">
        <f t="shared" si="48"/>
        <v>#NUM!</v>
      </c>
      <c r="AA1072" s="331"/>
      <c r="AB1072" s="331"/>
      <c r="AC1072" s="331"/>
      <c r="AD1072" s="331"/>
      <c r="AE1072" s="331"/>
      <c r="AF1072" s="331"/>
      <c r="AG1072" s="331"/>
      <c r="AH1072" s="329">
        <f t="shared" ca="1" si="49"/>
        <v>46153</v>
      </c>
      <c r="AI1072" s="330"/>
      <c r="AJ1072" s="312" t="s">
        <v>5143</v>
      </c>
      <c r="AK1072" s="312"/>
    </row>
    <row r="1073" spans="1:37" ht="23.25" hidden="1" customHeight="1">
      <c r="A1073" s="111">
        <v>1082</v>
      </c>
      <c r="B1073" s="112" t="s">
        <v>1071</v>
      </c>
      <c r="C1073" s="122" t="s">
        <v>4855</v>
      </c>
      <c r="D1073" s="147" t="s">
        <v>4856</v>
      </c>
      <c r="E1073" s="193" t="s">
        <v>4857</v>
      </c>
      <c r="F1073" s="187" t="s">
        <v>1159</v>
      </c>
      <c r="G1073" s="187" t="s">
        <v>984</v>
      </c>
      <c r="H1073" s="198">
        <v>13.733439000000001</v>
      </c>
      <c r="I1073" s="198">
        <v>100.56537400000001</v>
      </c>
      <c r="J1073" s="116" t="s">
        <v>890</v>
      </c>
      <c r="K1073" s="115" t="s">
        <v>1212</v>
      </c>
      <c r="L1073" s="117" t="s">
        <v>1213</v>
      </c>
      <c r="M1073" s="121">
        <v>3817571</v>
      </c>
      <c r="N1073" s="121" t="s">
        <v>892</v>
      </c>
      <c r="O1073" s="121"/>
      <c r="P1073" s="127" t="s">
        <v>1076</v>
      </c>
      <c r="Q1073" s="188" t="s">
        <v>972</v>
      </c>
      <c r="R1073" s="190" t="s">
        <v>972</v>
      </c>
      <c r="S1073" s="125" t="s">
        <v>4749</v>
      </c>
      <c r="T1073" s="222"/>
      <c r="U1073" s="222"/>
      <c r="V1073" s="222"/>
      <c r="W1073" s="230"/>
      <c r="X1073" s="331">
        <f t="shared" si="50"/>
        <v>0</v>
      </c>
      <c r="Y1073" s="222"/>
      <c r="Z1073" s="272">
        <f t="shared" si="48"/>
        <v>0</v>
      </c>
      <c r="AA1073" s="331"/>
      <c r="AB1073" s="331"/>
      <c r="AC1073" s="331"/>
      <c r="AD1073" s="331"/>
      <c r="AE1073" s="331"/>
      <c r="AF1073" s="331"/>
      <c r="AG1073" s="331"/>
      <c r="AH1073" s="241">
        <f t="shared" ca="1" si="49"/>
        <v>46153</v>
      </c>
      <c r="AI1073" s="272"/>
      <c r="AJ1073" s="222"/>
      <c r="AK1073" s="222"/>
    </row>
    <row r="1074" spans="1:37" ht="23" hidden="1">
      <c r="A1074" s="111">
        <v>1105</v>
      </c>
      <c r="B1074" s="112" t="s">
        <v>1013</v>
      </c>
      <c r="C1074" s="113" t="s">
        <v>4861</v>
      </c>
      <c r="D1074" s="147" t="s">
        <v>4862</v>
      </c>
      <c r="E1074" s="183" t="s">
        <v>4863</v>
      </c>
      <c r="F1074" s="184" t="s">
        <v>1159</v>
      </c>
      <c r="G1074" s="184" t="s">
        <v>1653</v>
      </c>
      <c r="H1074" s="187">
        <v>13.699094000000001</v>
      </c>
      <c r="I1074" s="187">
        <v>100.604331</v>
      </c>
      <c r="J1074" s="115" t="s">
        <v>2108</v>
      </c>
      <c r="K1074" s="117" t="s">
        <v>2109</v>
      </c>
      <c r="L1074" s="117" t="s">
        <v>2110</v>
      </c>
      <c r="M1074" s="121" t="s">
        <v>972</v>
      </c>
      <c r="N1074" s="121" t="s">
        <v>972</v>
      </c>
      <c r="O1074" s="121" t="s">
        <v>984</v>
      </c>
      <c r="P1074" s="117" t="s">
        <v>1876</v>
      </c>
      <c r="Q1074" s="185" t="s">
        <v>972</v>
      </c>
      <c r="R1074" s="186" t="s">
        <v>972</v>
      </c>
      <c r="S1074" s="125" t="s">
        <v>972</v>
      </c>
      <c r="T1074" s="222"/>
      <c r="U1074" s="222"/>
      <c r="V1074" s="222"/>
      <c r="W1074" s="230"/>
      <c r="X1074" s="331">
        <f t="shared" si="50"/>
        <v>0</v>
      </c>
      <c r="Y1074" s="222"/>
      <c r="Z1074" s="272">
        <f t="shared" si="48"/>
        <v>0</v>
      </c>
      <c r="AA1074" s="331"/>
      <c r="AB1074" s="331"/>
      <c r="AC1074" s="331"/>
      <c r="AD1074" s="331"/>
      <c r="AE1074" s="331"/>
      <c r="AF1074" s="331"/>
      <c r="AG1074" s="331"/>
      <c r="AH1074" s="241">
        <f t="shared" ca="1" si="49"/>
        <v>46153</v>
      </c>
      <c r="AI1074" s="272"/>
      <c r="AJ1074" s="222"/>
      <c r="AK1074" s="222"/>
    </row>
    <row r="1075" spans="1:37" ht="23" hidden="1">
      <c r="A1075" s="111">
        <v>1106</v>
      </c>
      <c r="B1075" s="112">
        <v>14</v>
      </c>
      <c r="C1075" s="113" t="s">
        <v>4864</v>
      </c>
      <c r="D1075" s="557" t="s">
        <v>4865</v>
      </c>
      <c r="E1075" s="183" t="s">
        <v>4866</v>
      </c>
      <c r="F1075" s="184" t="s">
        <v>1159</v>
      </c>
      <c r="G1075" s="184" t="s">
        <v>984</v>
      </c>
      <c r="H1075" s="184">
        <v>13.7255167</v>
      </c>
      <c r="I1075" s="184">
        <v>100.5765813</v>
      </c>
      <c r="J1075" s="116" t="s">
        <v>2097</v>
      </c>
      <c r="K1075" s="116" t="s">
        <v>2097</v>
      </c>
      <c r="L1075" s="117" t="s">
        <v>4696</v>
      </c>
      <c r="M1075" s="116" t="s">
        <v>1347</v>
      </c>
      <c r="N1075" s="121" t="s">
        <v>1050</v>
      </c>
      <c r="O1075" s="121" t="s">
        <v>984</v>
      </c>
      <c r="P1075" s="117" t="s">
        <v>894</v>
      </c>
      <c r="Q1075" s="185" t="s">
        <v>972</v>
      </c>
      <c r="R1075" s="186" t="s">
        <v>972</v>
      </c>
      <c r="S1075" s="125" t="s">
        <v>972</v>
      </c>
      <c r="T1075" s="222"/>
      <c r="U1075" s="222"/>
      <c r="V1075" s="222"/>
      <c r="W1075" s="230"/>
      <c r="X1075" s="331">
        <f t="shared" si="50"/>
        <v>0</v>
      </c>
      <c r="Y1075" s="222"/>
      <c r="Z1075" s="272">
        <f t="shared" si="48"/>
        <v>0</v>
      </c>
      <c r="AA1075" s="331"/>
      <c r="AB1075" s="331"/>
      <c r="AC1075" s="331"/>
      <c r="AD1075" s="331"/>
      <c r="AE1075" s="331"/>
      <c r="AF1075" s="331"/>
      <c r="AG1075" s="331"/>
      <c r="AH1075" s="241">
        <f t="shared" ca="1" si="49"/>
        <v>46153</v>
      </c>
      <c r="AI1075" s="272"/>
      <c r="AJ1075" s="222"/>
      <c r="AK1075" s="222"/>
    </row>
    <row r="1076" spans="1:37" ht="23.25" hidden="1" customHeight="1">
      <c r="A1076" s="111">
        <v>1187</v>
      </c>
      <c r="B1076" s="112" t="s">
        <v>1818</v>
      </c>
      <c r="C1076" s="168" t="s">
        <v>5153</v>
      </c>
      <c r="D1076" s="168" t="s">
        <v>5154</v>
      </c>
      <c r="E1076" s="540" t="s">
        <v>5162</v>
      </c>
      <c r="F1076" s="541" t="s">
        <v>1159</v>
      </c>
      <c r="G1076" s="542" t="s">
        <v>984</v>
      </c>
      <c r="H1076" s="541">
        <v>13.742587869999999</v>
      </c>
      <c r="I1076" s="541">
        <v>100.55130749999999</v>
      </c>
      <c r="J1076" s="305" t="s">
        <v>2097</v>
      </c>
      <c r="K1076" s="305" t="s">
        <v>2711</v>
      </c>
      <c r="L1076" s="305" t="s">
        <v>2711</v>
      </c>
      <c r="M1076" s="222"/>
      <c r="N1076" s="222"/>
      <c r="O1076" s="222"/>
      <c r="P1076" s="222"/>
      <c r="Q1076" s="501"/>
      <c r="R1076" s="505"/>
      <c r="S1076" s="222"/>
      <c r="T1076" s="222"/>
      <c r="U1076" s="222"/>
      <c r="V1076" s="222"/>
      <c r="W1076" s="230"/>
      <c r="X1076" s="331">
        <f t="shared" si="50"/>
        <v>0</v>
      </c>
      <c r="Y1076" s="222"/>
      <c r="Z1076" s="272">
        <f t="shared" si="48"/>
        <v>0</v>
      </c>
      <c r="AA1076" s="331"/>
      <c r="AB1076" s="331"/>
      <c r="AC1076" s="331"/>
      <c r="AD1076" s="331"/>
      <c r="AE1076" s="331"/>
      <c r="AF1076" s="331"/>
      <c r="AG1076" s="331"/>
      <c r="AH1076" s="241">
        <f t="shared" ca="1" si="49"/>
        <v>46153</v>
      </c>
      <c r="AI1076" s="272"/>
      <c r="AJ1076" s="222"/>
      <c r="AK1076" s="222"/>
    </row>
    <row r="1077" spans="1:37" ht="14.5" hidden="1">
      <c r="A1077" s="111">
        <v>1188</v>
      </c>
      <c r="B1077" s="112" t="s">
        <v>1818</v>
      </c>
      <c r="C1077" s="168" t="s">
        <v>5155</v>
      </c>
      <c r="D1077" s="168" t="s">
        <v>5156</v>
      </c>
      <c r="E1077" s="540" t="s">
        <v>5163</v>
      </c>
      <c r="F1077" s="541" t="s">
        <v>1159</v>
      </c>
      <c r="G1077" s="542" t="s">
        <v>984</v>
      </c>
      <c r="H1077" s="541">
        <v>13.7426098</v>
      </c>
      <c r="I1077" s="541">
        <v>100.55100539999999</v>
      </c>
      <c r="J1077" s="305" t="s">
        <v>969</v>
      </c>
      <c r="K1077" s="305" t="s">
        <v>5257</v>
      </c>
      <c r="L1077" s="305" t="s">
        <v>5258</v>
      </c>
      <c r="M1077" s="222"/>
      <c r="N1077" s="222"/>
      <c r="O1077" s="222"/>
      <c r="P1077" s="222"/>
      <c r="Q1077" s="501"/>
      <c r="R1077" s="505"/>
      <c r="S1077" s="222"/>
      <c r="T1077" s="222"/>
      <c r="U1077" s="222"/>
      <c r="V1077" s="222"/>
      <c r="W1077" s="230"/>
      <c r="X1077" s="331">
        <f t="shared" si="50"/>
        <v>0</v>
      </c>
      <c r="Y1077" s="222"/>
      <c r="Z1077" s="272">
        <f t="shared" si="48"/>
        <v>0</v>
      </c>
      <c r="AA1077" s="331"/>
      <c r="AB1077" s="331"/>
      <c r="AC1077" s="331"/>
      <c r="AD1077" s="331"/>
      <c r="AE1077" s="331"/>
      <c r="AF1077" s="331"/>
      <c r="AG1077" s="331"/>
      <c r="AH1077" s="241">
        <f t="shared" ca="1" si="49"/>
        <v>46153</v>
      </c>
      <c r="AI1077" s="272"/>
      <c r="AJ1077" s="222"/>
      <c r="AK1077" s="222"/>
    </row>
    <row r="1078" spans="1:37" ht="23" hidden="1">
      <c r="A1078" s="111">
        <v>154</v>
      </c>
      <c r="B1078" s="112">
        <v>14</v>
      </c>
      <c r="C1078" s="122" t="s">
        <v>2508</v>
      </c>
      <c r="D1078" s="147" t="s">
        <v>2509</v>
      </c>
      <c r="E1078" s="476" t="s">
        <v>2510</v>
      </c>
      <c r="F1078" s="191" t="s">
        <v>2511</v>
      </c>
      <c r="G1078" s="488" t="s">
        <v>1018</v>
      </c>
      <c r="H1078" s="117" t="s">
        <v>2512</v>
      </c>
      <c r="I1078" s="117">
        <v>100.572203</v>
      </c>
      <c r="J1078" s="117" t="s">
        <v>2097</v>
      </c>
      <c r="K1078" s="121" t="s">
        <v>2097</v>
      </c>
      <c r="L1078" s="121" t="s">
        <v>2513</v>
      </c>
      <c r="M1078" s="117" t="s">
        <v>1347</v>
      </c>
      <c r="N1078" s="117" t="s">
        <v>1347</v>
      </c>
      <c r="O1078" s="117" t="s">
        <v>984</v>
      </c>
      <c r="P1078" s="117"/>
      <c r="Q1078" s="502"/>
      <c r="R1078" s="190"/>
      <c r="S1078" s="119"/>
      <c r="T1078" s="222"/>
      <c r="U1078" s="222"/>
      <c r="V1078" s="222"/>
      <c r="W1078" s="230"/>
      <c r="X1078" s="331">
        <f t="shared" si="50"/>
        <v>0</v>
      </c>
      <c r="Y1078" s="222"/>
      <c r="Z1078" s="272">
        <f t="shared" si="48"/>
        <v>0</v>
      </c>
      <c r="AA1078" s="331"/>
      <c r="AB1078" s="331"/>
      <c r="AC1078" s="331"/>
      <c r="AD1078" s="331"/>
      <c r="AE1078" s="331"/>
      <c r="AF1078" s="331"/>
      <c r="AG1078" s="331"/>
      <c r="AH1078" s="241">
        <f t="shared" ca="1" si="49"/>
        <v>46153</v>
      </c>
      <c r="AI1078" s="272"/>
      <c r="AJ1078" s="222"/>
      <c r="AK1078" s="222"/>
    </row>
    <row r="1079" spans="1:37" ht="14.5" hidden="1">
      <c r="A1079" s="111">
        <v>1189</v>
      </c>
      <c r="B1079" s="531" t="s">
        <v>1818</v>
      </c>
      <c r="C1079" s="532" t="s">
        <v>5295</v>
      </c>
      <c r="D1079" s="532" t="s">
        <v>5157</v>
      </c>
      <c r="E1079" s="543" t="s">
        <v>5164</v>
      </c>
      <c r="F1079" s="544" t="s">
        <v>5165</v>
      </c>
      <c r="G1079" s="545" t="s">
        <v>1018</v>
      </c>
      <c r="H1079" s="532">
        <v>13.744231660000001</v>
      </c>
      <c r="I1079" s="532">
        <v>100.562297</v>
      </c>
      <c r="J1079" s="305" t="s">
        <v>890</v>
      </c>
      <c r="K1079" s="305" t="s">
        <v>891</v>
      </c>
      <c r="L1079" s="305" t="s">
        <v>891</v>
      </c>
      <c r="M1079" s="222">
        <v>97278281</v>
      </c>
      <c r="N1079" s="222"/>
      <c r="O1079" s="222"/>
      <c r="P1079" s="222"/>
      <c r="Q1079" s="501"/>
      <c r="R1079" s="505"/>
      <c r="S1079" s="222"/>
      <c r="T1079" s="222"/>
      <c r="U1079" s="222"/>
      <c r="V1079" s="222"/>
      <c r="W1079" s="230"/>
      <c r="X1079" s="331">
        <f t="shared" si="50"/>
        <v>0</v>
      </c>
      <c r="Y1079" s="222"/>
      <c r="Z1079" s="272">
        <f t="shared" si="48"/>
        <v>0</v>
      </c>
      <c r="AA1079" s="331"/>
      <c r="AB1079" s="331"/>
      <c r="AC1079" s="331"/>
      <c r="AD1079" s="331"/>
      <c r="AE1079" s="331"/>
      <c r="AF1079" s="331"/>
      <c r="AG1079" s="331"/>
      <c r="AH1079" s="241">
        <f t="shared" ca="1" si="49"/>
        <v>46153</v>
      </c>
      <c r="AI1079" s="272"/>
      <c r="AJ1079" s="222"/>
      <c r="AK1079" s="222"/>
    </row>
    <row r="1080" spans="1:37" ht="14.5" hidden="1">
      <c r="A1080" s="111">
        <v>1190</v>
      </c>
      <c r="B1080" s="531" t="s">
        <v>1818</v>
      </c>
      <c r="C1080" s="532" t="s">
        <v>5296</v>
      </c>
      <c r="D1080" s="532" t="s">
        <v>5158</v>
      </c>
      <c r="E1080" s="543" t="s">
        <v>5166</v>
      </c>
      <c r="F1080" s="544" t="s">
        <v>5165</v>
      </c>
      <c r="G1080" s="545" t="s">
        <v>1018</v>
      </c>
      <c r="H1080" s="532">
        <v>13.74452267</v>
      </c>
      <c r="I1080" s="532">
        <v>100.56237950000001</v>
      </c>
      <c r="J1080" s="305" t="s">
        <v>890</v>
      </c>
      <c r="K1080" s="305" t="s">
        <v>891</v>
      </c>
      <c r="L1080" s="305" t="s">
        <v>891</v>
      </c>
      <c r="M1080" s="222">
        <v>97269176</v>
      </c>
      <c r="N1080" s="222"/>
      <c r="O1080" s="222"/>
      <c r="P1080" s="222"/>
      <c r="Q1080" s="501"/>
      <c r="R1080" s="505"/>
      <c r="S1080" s="222"/>
      <c r="T1080" s="222"/>
      <c r="U1080" s="222"/>
      <c r="V1080" s="222"/>
      <c r="W1080" s="230"/>
      <c r="X1080" s="331">
        <f t="shared" si="50"/>
        <v>0</v>
      </c>
      <c r="Y1080" s="222"/>
      <c r="Z1080" s="272">
        <f t="shared" si="48"/>
        <v>0</v>
      </c>
      <c r="AA1080" s="331"/>
      <c r="AB1080" s="331"/>
      <c r="AC1080" s="331"/>
      <c r="AD1080" s="331"/>
      <c r="AE1080" s="331"/>
      <c r="AF1080" s="331"/>
      <c r="AG1080" s="331"/>
      <c r="AH1080" s="241">
        <f t="shared" ca="1" si="49"/>
        <v>46153</v>
      </c>
      <c r="AI1080" s="272"/>
      <c r="AJ1080" s="222"/>
      <c r="AK1080" s="222"/>
    </row>
    <row r="1081" spans="1:37" ht="23.25" hidden="1" customHeight="1">
      <c r="A1081" s="111">
        <v>188</v>
      </c>
      <c r="B1081" s="112" t="s">
        <v>1114</v>
      </c>
      <c r="C1081" s="113" t="s">
        <v>1115</v>
      </c>
      <c r="D1081" s="147" t="s">
        <v>1116</v>
      </c>
      <c r="E1081" s="478" t="s">
        <v>1117</v>
      </c>
      <c r="F1081" s="184" t="s">
        <v>1118</v>
      </c>
      <c r="G1081" s="184" t="s">
        <v>1018</v>
      </c>
      <c r="H1081" s="116">
        <v>13.747620700000001</v>
      </c>
      <c r="I1081" s="116">
        <v>100.5540623</v>
      </c>
      <c r="J1081" s="116" t="s">
        <v>890</v>
      </c>
      <c r="K1081" s="117" t="s">
        <v>891</v>
      </c>
      <c r="L1081" s="117" t="s">
        <v>891</v>
      </c>
      <c r="M1081" s="117">
        <v>96898209</v>
      </c>
      <c r="N1081" s="117" t="s">
        <v>1050</v>
      </c>
      <c r="O1081" s="121" t="s">
        <v>984</v>
      </c>
      <c r="P1081" s="117" t="s">
        <v>894</v>
      </c>
      <c r="Q1081" s="197">
        <v>80057501</v>
      </c>
      <c r="R1081" s="190" t="s">
        <v>895</v>
      </c>
      <c r="S1081" s="119" t="s">
        <v>895</v>
      </c>
      <c r="T1081" s="222"/>
      <c r="U1081" s="222"/>
      <c r="V1081" s="222"/>
      <c r="W1081" s="230"/>
      <c r="X1081" s="331">
        <f t="shared" si="50"/>
        <v>0</v>
      </c>
      <c r="Y1081" s="222"/>
      <c r="Z1081" s="272">
        <f t="shared" si="48"/>
        <v>0</v>
      </c>
      <c r="AA1081" s="331"/>
      <c r="AB1081" s="331"/>
      <c r="AC1081" s="331"/>
      <c r="AD1081" s="331"/>
      <c r="AE1081" s="331"/>
      <c r="AF1081" s="331"/>
      <c r="AG1081" s="331"/>
      <c r="AH1081" s="241">
        <f t="shared" ca="1" si="49"/>
        <v>46153</v>
      </c>
      <c r="AI1081" s="272"/>
      <c r="AJ1081" s="222"/>
      <c r="AK1081" s="222"/>
    </row>
    <row r="1082" spans="1:37" ht="23" hidden="1">
      <c r="A1082" s="111">
        <v>567</v>
      </c>
      <c r="B1082" s="112" t="s">
        <v>919</v>
      </c>
      <c r="C1082" s="122" t="s">
        <v>3536</v>
      </c>
      <c r="D1082" s="147" t="s">
        <v>3537</v>
      </c>
      <c r="E1082" s="193" t="s">
        <v>3538</v>
      </c>
      <c r="F1082" s="187" t="s">
        <v>1118</v>
      </c>
      <c r="G1082" s="194" t="s">
        <v>1018</v>
      </c>
      <c r="H1082" s="116">
        <v>13.745742699999999</v>
      </c>
      <c r="I1082" s="116">
        <v>100.5536962</v>
      </c>
      <c r="J1082" s="116" t="s">
        <v>969</v>
      </c>
      <c r="K1082" s="115" t="s">
        <v>1048</v>
      </c>
      <c r="L1082" s="118" t="s">
        <v>3539</v>
      </c>
      <c r="M1082" s="117">
        <v>96938123</v>
      </c>
      <c r="N1082" s="121" t="s">
        <v>1050</v>
      </c>
      <c r="O1082" s="121" t="s">
        <v>984</v>
      </c>
      <c r="P1082" s="117" t="s">
        <v>894</v>
      </c>
      <c r="Q1082" s="185" t="s">
        <v>972</v>
      </c>
      <c r="R1082" s="186" t="s">
        <v>972</v>
      </c>
      <c r="S1082" s="125" t="s">
        <v>972</v>
      </c>
      <c r="T1082" s="222"/>
      <c r="U1082" s="222"/>
      <c r="V1082" s="222"/>
      <c r="W1082" s="230"/>
      <c r="X1082" s="331">
        <f t="shared" si="50"/>
        <v>0</v>
      </c>
      <c r="Y1082" s="222"/>
      <c r="Z1082" s="272">
        <f t="shared" si="48"/>
        <v>0</v>
      </c>
      <c r="AA1082" s="331"/>
      <c r="AB1082" s="331"/>
      <c r="AC1082" s="331"/>
      <c r="AD1082" s="331"/>
      <c r="AE1082" s="331"/>
      <c r="AF1082" s="331"/>
      <c r="AG1082" s="331"/>
      <c r="AH1082" s="241">
        <f t="shared" ca="1" si="49"/>
        <v>46153</v>
      </c>
      <c r="AI1082" s="272"/>
      <c r="AJ1082" s="222"/>
      <c r="AK1082" s="222"/>
    </row>
    <row r="1083" spans="1:37" ht="23" hidden="1">
      <c r="A1083" s="111">
        <v>992</v>
      </c>
      <c r="B1083" s="112">
        <v>16</v>
      </c>
      <c r="C1083" s="122" t="s">
        <v>4602</v>
      </c>
      <c r="D1083" s="147" t="s">
        <v>4603</v>
      </c>
      <c r="E1083" s="183" t="s">
        <v>4604</v>
      </c>
      <c r="F1083" s="184" t="s">
        <v>4605</v>
      </c>
      <c r="G1083" s="192" t="s">
        <v>984</v>
      </c>
      <c r="H1083" s="115">
        <v>13.706272</v>
      </c>
      <c r="I1083" s="115">
        <v>100.5997785</v>
      </c>
      <c r="J1083" s="115" t="s">
        <v>2108</v>
      </c>
      <c r="K1083" s="117" t="s">
        <v>2109</v>
      </c>
      <c r="L1083" s="117" t="s">
        <v>2110</v>
      </c>
      <c r="M1083" s="121" t="s">
        <v>972</v>
      </c>
      <c r="N1083" s="121" t="s">
        <v>972</v>
      </c>
      <c r="O1083" s="121" t="s">
        <v>984</v>
      </c>
      <c r="P1083" s="117" t="s">
        <v>902</v>
      </c>
      <c r="Q1083" s="185" t="s">
        <v>972</v>
      </c>
      <c r="R1083" s="186" t="s">
        <v>972</v>
      </c>
      <c r="S1083" s="125" t="s">
        <v>972</v>
      </c>
      <c r="T1083" s="222"/>
      <c r="U1083" s="222"/>
      <c r="V1083" s="222"/>
      <c r="W1083" s="230"/>
      <c r="X1083" s="331">
        <f t="shared" si="50"/>
        <v>0</v>
      </c>
      <c r="Y1083" s="222"/>
      <c r="Z1083" s="272">
        <f t="shared" si="48"/>
        <v>0</v>
      </c>
      <c r="AA1083" s="331"/>
      <c r="AB1083" s="331"/>
      <c r="AC1083" s="331"/>
      <c r="AD1083" s="331"/>
      <c r="AE1083" s="331"/>
      <c r="AF1083" s="331"/>
      <c r="AG1083" s="331"/>
      <c r="AH1083" s="241">
        <f t="shared" ca="1" si="49"/>
        <v>46153</v>
      </c>
      <c r="AI1083" s="272"/>
      <c r="AJ1083" s="222"/>
      <c r="AK1083" s="222"/>
    </row>
    <row r="1084" spans="1:37" ht="23.25" hidden="1" customHeight="1">
      <c r="A1084" s="111">
        <v>98</v>
      </c>
      <c r="B1084" s="112" t="s">
        <v>1013</v>
      </c>
      <c r="C1084" s="113" t="s">
        <v>1014</v>
      </c>
      <c r="D1084" s="147" t="s">
        <v>1015</v>
      </c>
      <c r="E1084" s="183" t="s">
        <v>1016</v>
      </c>
      <c r="F1084" s="184" t="s">
        <v>1017</v>
      </c>
      <c r="G1084" s="184" t="s">
        <v>1018</v>
      </c>
      <c r="H1084" s="116">
        <v>13.740954</v>
      </c>
      <c r="I1084" s="116">
        <v>100.58492</v>
      </c>
      <c r="J1084" s="116" t="s">
        <v>890</v>
      </c>
      <c r="K1084" s="117" t="s">
        <v>891</v>
      </c>
      <c r="L1084" s="117" t="s">
        <v>891</v>
      </c>
      <c r="M1084" s="117">
        <v>96893848</v>
      </c>
      <c r="N1084" s="117" t="s">
        <v>892</v>
      </c>
      <c r="O1084" s="121" t="s">
        <v>984</v>
      </c>
      <c r="P1084" s="117" t="s">
        <v>894</v>
      </c>
      <c r="Q1084" s="197">
        <v>80057501</v>
      </c>
      <c r="R1084" s="190" t="s">
        <v>895</v>
      </c>
      <c r="S1084" s="119" t="s">
        <v>895</v>
      </c>
      <c r="T1084" s="222"/>
      <c r="U1084" s="222"/>
      <c r="V1084" s="222"/>
      <c r="W1084" s="230"/>
      <c r="X1084" s="331">
        <f t="shared" si="50"/>
        <v>0</v>
      </c>
      <c r="Y1084" s="222"/>
      <c r="Z1084" s="272">
        <f t="shared" si="48"/>
        <v>0</v>
      </c>
      <c r="AA1084" s="331"/>
      <c r="AB1084" s="331"/>
      <c r="AC1084" s="331"/>
      <c r="AD1084" s="331"/>
      <c r="AE1084" s="331"/>
      <c r="AF1084" s="331"/>
      <c r="AG1084" s="331"/>
      <c r="AH1084" s="241">
        <f t="shared" ca="1" si="49"/>
        <v>46153</v>
      </c>
      <c r="AI1084" s="272"/>
      <c r="AJ1084" s="222"/>
      <c r="AK1084" s="222"/>
    </row>
    <row r="1085" spans="1:37" ht="23.25" hidden="1" customHeight="1">
      <c r="A1085" s="111">
        <v>101</v>
      </c>
      <c r="B1085" s="112">
        <v>6</v>
      </c>
      <c r="C1085" s="113" t="s">
        <v>1019</v>
      </c>
      <c r="D1085" s="147" t="s">
        <v>1020</v>
      </c>
      <c r="E1085" s="183" t="s">
        <v>1021</v>
      </c>
      <c r="F1085" s="184" t="s">
        <v>1017</v>
      </c>
      <c r="G1085" s="184" t="s">
        <v>1018</v>
      </c>
      <c r="H1085" s="116">
        <v>13.740417000000001</v>
      </c>
      <c r="I1085" s="116">
        <v>100.5848307</v>
      </c>
      <c r="J1085" s="116" t="s">
        <v>890</v>
      </c>
      <c r="K1085" s="117" t="s">
        <v>891</v>
      </c>
      <c r="L1085" s="117" t="s">
        <v>891</v>
      </c>
      <c r="M1085" s="117">
        <v>96893857</v>
      </c>
      <c r="N1085" s="117" t="s">
        <v>892</v>
      </c>
      <c r="O1085" s="121" t="s">
        <v>984</v>
      </c>
      <c r="P1085" s="117" t="s">
        <v>894</v>
      </c>
      <c r="Q1085" s="197">
        <v>80057501</v>
      </c>
      <c r="R1085" s="190" t="s">
        <v>895</v>
      </c>
      <c r="S1085" s="119" t="s">
        <v>895</v>
      </c>
      <c r="T1085" s="222"/>
      <c r="U1085" s="222"/>
      <c r="V1085" s="222"/>
      <c r="W1085" s="230"/>
      <c r="X1085" s="331">
        <f t="shared" si="50"/>
        <v>0</v>
      </c>
      <c r="Y1085" s="222"/>
      <c r="Z1085" s="272">
        <f t="shared" si="48"/>
        <v>0</v>
      </c>
      <c r="AA1085" s="331"/>
      <c r="AB1085" s="331"/>
      <c r="AC1085" s="331"/>
      <c r="AD1085" s="331"/>
      <c r="AE1085" s="331"/>
      <c r="AF1085" s="331"/>
      <c r="AG1085" s="331"/>
      <c r="AH1085" s="241">
        <f t="shared" ca="1" si="49"/>
        <v>46153</v>
      </c>
      <c r="AI1085" s="272"/>
      <c r="AJ1085" s="222"/>
      <c r="AK1085" s="222"/>
    </row>
    <row r="1086" spans="1:37" ht="23" hidden="1">
      <c r="A1086" s="111">
        <v>119</v>
      </c>
      <c r="B1086" s="112">
        <v>7</v>
      </c>
      <c r="C1086" s="113" t="s">
        <v>1037</v>
      </c>
      <c r="D1086" s="147" t="s">
        <v>1038</v>
      </c>
      <c r="E1086" s="183" t="s">
        <v>1039</v>
      </c>
      <c r="F1086" s="184" t="s">
        <v>1017</v>
      </c>
      <c r="G1086" s="184" t="s">
        <v>1018</v>
      </c>
      <c r="H1086" s="116">
        <v>13.740847</v>
      </c>
      <c r="I1086" s="116">
        <v>100.584976</v>
      </c>
      <c r="J1086" s="116" t="s">
        <v>969</v>
      </c>
      <c r="K1086" s="116" t="s">
        <v>970</v>
      </c>
      <c r="L1086" s="117" t="s">
        <v>1040</v>
      </c>
      <c r="M1086" s="117">
        <v>96893869</v>
      </c>
      <c r="N1086" s="121" t="s">
        <v>892</v>
      </c>
      <c r="O1086" s="121" t="s">
        <v>984</v>
      </c>
      <c r="P1086" s="117" t="s">
        <v>894</v>
      </c>
      <c r="Q1086" s="185" t="s">
        <v>972</v>
      </c>
      <c r="R1086" s="186" t="s">
        <v>972</v>
      </c>
      <c r="S1086" s="125" t="s">
        <v>972</v>
      </c>
      <c r="T1086" s="222"/>
      <c r="U1086" s="222"/>
      <c r="V1086" s="222"/>
      <c r="W1086" s="230"/>
      <c r="X1086" s="331">
        <f t="shared" si="50"/>
        <v>0</v>
      </c>
      <c r="Y1086" s="222"/>
      <c r="Z1086" s="272">
        <f t="shared" si="48"/>
        <v>0</v>
      </c>
      <c r="AA1086" s="331"/>
      <c r="AB1086" s="331"/>
      <c r="AC1086" s="331"/>
      <c r="AD1086" s="331"/>
      <c r="AE1086" s="331"/>
      <c r="AF1086" s="331"/>
      <c r="AG1086" s="331"/>
      <c r="AH1086" s="241">
        <f t="shared" ca="1" si="49"/>
        <v>46153</v>
      </c>
      <c r="AI1086" s="272"/>
      <c r="AJ1086" s="222"/>
      <c r="AK1086" s="222"/>
    </row>
    <row r="1087" spans="1:37" ht="23.25" hidden="1" customHeight="1">
      <c r="A1087" s="111">
        <v>121</v>
      </c>
      <c r="B1087" s="112">
        <v>6</v>
      </c>
      <c r="C1087" s="113" t="s">
        <v>1041</v>
      </c>
      <c r="D1087" s="147" t="s">
        <v>1042</v>
      </c>
      <c r="E1087" s="183" t="s">
        <v>1043</v>
      </c>
      <c r="F1087" s="184" t="s">
        <v>1017</v>
      </c>
      <c r="G1087" s="184" t="s">
        <v>1018</v>
      </c>
      <c r="H1087" s="116">
        <v>13.7375182</v>
      </c>
      <c r="I1087" s="116">
        <v>100.5838892</v>
      </c>
      <c r="J1087" s="116" t="s">
        <v>890</v>
      </c>
      <c r="K1087" s="117" t="s">
        <v>891</v>
      </c>
      <c r="L1087" s="117" t="s">
        <v>891</v>
      </c>
      <c r="M1087" s="117">
        <v>96893852</v>
      </c>
      <c r="N1087" s="117" t="s">
        <v>892</v>
      </c>
      <c r="O1087" s="121" t="s">
        <v>984</v>
      </c>
      <c r="P1087" s="117" t="s">
        <v>894</v>
      </c>
      <c r="Q1087" s="197">
        <v>80057501</v>
      </c>
      <c r="R1087" s="190" t="s">
        <v>895</v>
      </c>
      <c r="S1087" s="119" t="s">
        <v>895</v>
      </c>
      <c r="T1087" s="222"/>
      <c r="U1087" s="222"/>
      <c r="V1087" s="222"/>
      <c r="W1087" s="230"/>
      <c r="X1087" s="331">
        <f t="shared" si="50"/>
        <v>0</v>
      </c>
      <c r="Y1087" s="222"/>
      <c r="Z1087" s="272">
        <f t="shared" si="48"/>
        <v>0</v>
      </c>
      <c r="AA1087" s="331"/>
      <c r="AB1087" s="331"/>
      <c r="AC1087" s="331"/>
      <c r="AD1087" s="331"/>
      <c r="AE1087" s="331"/>
      <c r="AF1087" s="331"/>
      <c r="AG1087" s="331"/>
      <c r="AH1087" s="241">
        <f t="shared" ca="1" si="49"/>
        <v>46153</v>
      </c>
      <c r="AI1087" s="272"/>
      <c r="AJ1087" s="222"/>
      <c r="AK1087" s="222"/>
    </row>
    <row r="1088" spans="1:37" ht="23.25" hidden="1" customHeight="1">
      <c r="A1088" s="111">
        <v>153</v>
      </c>
      <c r="B1088" s="112" t="s">
        <v>985</v>
      </c>
      <c r="C1088" s="113" t="s">
        <v>1068</v>
      </c>
      <c r="D1088" s="147" t="s">
        <v>1069</v>
      </c>
      <c r="E1088" s="183" t="s">
        <v>1070</v>
      </c>
      <c r="F1088" s="184" t="s">
        <v>1017</v>
      </c>
      <c r="G1088" s="184" t="s">
        <v>1018</v>
      </c>
      <c r="H1088" s="116">
        <v>13.729658000000001</v>
      </c>
      <c r="I1088" s="116">
        <v>100.58107099999999</v>
      </c>
      <c r="J1088" s="116" t="s">
        <v>890</v>
      </c>
      <c r="K1088" s="117" t="s">
        <v>891</v>
      </c>
      <c r="L1088" s="117" t="s">
        <v>891</v>
      </c>
      <c r="M1088" s="117">
        <v>96893854</v>
      </c>
      <c r="N1088" s="117" t="s">
        <v>892</v>
      </c>
      <c r="O1088" s="121" t="s">
        <v>984</v>
      </c>
      <c r="P1088" s="117" t="s">
        <v>894</v>
      </c>
      <c r="Q1088" s="197">
        <v>80057501</v>
      </c>
      <c r="R1088" s="190" t="s">
        <v>895</v>
      </c>
      <c r="S1088" s="119" t="s">
        <v>895</v>
      </c>
      <c r="T1088" s="222"/>
      <c r="U1088" s="222"/>
      <c r="V1088" s="222"/>
      <c r="W1088" s="230"/>
      <c r="X1088" s="331">
        <f t="shared" si="50"/>
        <v>0</v>
      </c>
      <c r="Y1088" s="222"/>
      <c r="Z1088" s="272">
        <f t="shared" si="48"/>
        <v>0</v>
      </c>
      <c r="AA1088" s="331"/>
      <c r="AB1088" s="331"/>
      <c r="AC1088" s="331"/>
      <c r="AD1088" s="331"/>
      <c r="AE1088" s="331"/>
      <c r="AF1088" s="331"/>
      <c r="AG1088" s="331"/>
      <c r="AH1088" s="241">
        <f t="shared" ca="1" si="49"/>
        <v>46153</v>
      </c>
      <c r="AI1088" s="272"/>
      <c r="AJ1088" s="222"/>
      <c r="AK1088" s="222"/>
    </row>
    <row r="1089" spans="1:37" ht="23.25" hidden="1" customHeight="1">
      <c r="A1089" s="111">
        <v>159</v>
      </c>
      <c r="B1089" s="112" t="s">
        <v>1082</v>
      </c>
      <c r="C1089" s="113" t="s">
        <v>1083</v>
      </c>
      <c r="D1089" s="147" t="s">
        <v>1084</v>
      </c>
      <c r="E1089" s="183" t="s">
        <v>1085</v>
      </c>
      <c r="F1089" s="184" t="s">
        <v>1017</v>
      </c>
      <c r="G1089" s="192" t="s">
        <v>1018</v>
      </c>
      <c r="H1089" s="116">
        <v>13.7275271</v>
      </c>
      <c r="I1089" s="116">
        <v>100.5807701</v>
      </c>
      <c r="J1089" s="116" t="s">
        <v>890</v>
      </c>
      <c r="K1089" s="117" t="s">
        <v>891</v>
      </c>
      <c r="L1089" s="117" t="s">
        <v>891</v>
      </c>
      <c r="M1089" s="117">
        <v>96893864</v>
      </c>
      <c r="N1089" s="117" t="s">
        <v>892</v>
      </c>
      <c r="O1089" s="121" t="s">
        <v>984</v>
      </c>
      <c r="P1089" s="117" t="s">
        <v>894</v>
      </c>
      <c r="Q1089" s="197">
        <v>80057501</v>
      </c>
      <c r="R1089" s="190" t="s">
        <v>895</v>
      </c>
      <c r="S1089" s="119" t="s">
        <v>895</v>
      </c>
      <c r="T1089" s="222"/>
      <c r="U1089" s="222"/>
      <c r="V1089" s="222"/>
      <c r="W1089" s="230"/>
      <c r="X1089" s="331">
        <f t="shared" si="50"/>
        <v>0</v>
      </c>
      <c r="Y1089" s="222"/>
      <c r="Z1089" s="272">
        <f t="shared" si="48"/>
        <v>0</v>
      </c>
      <c r="AA1089" s="331"/>
      <c r="AB1089" s="331"/>
      <c r="AC1089" s="331"/>
      <c r="AD1089" s="331"/>
      <c r="AE1089" s="331"/>
      <c r="AF1089" s="331"/>
      <c r="AG1089" s="331"/>
      <c r="AH1089" s="241">
        <f t="shared" ca="1" si="49"/>
        <v>46153</v>
      </c>
      <c r="AI1089" s="272"/>
      <c r="AJ1089" s="222"/>
      <c r="AK1089" s="222"/>
    </row>
    <row r="1090" spans="1:37" ht="23" hidden="1">
      <c r="A1090" s="111">
        <v>161</v>
      </c>
      <c r="B1090" s="128" t="s">
        <v>1086</v>
      </c>
      <c r="C1090" s="113" t="s">
        <v>1087</v>
      </c>
      <c r="D1090" s="147" t="s">
        <v>1088</v>
      </c>
      <c r="E1090" s="193" t="s">
        <v>1089</v>
      </c>
      <c r="F1090" s="187" t="s">
        <v>1017</v>
      </c>
      <c r="G1090" s="187" t="s">
        <v>1018</v>
      </c>
      <c r="H1090" s="187">
        <v>13.7414004</v>
      </c>
      <c r="I1090" s="187">
        <v>100.58516590000001</v>
      </c>
      <c r="J1090" s="116" t="s">
        <v>890</v>
      </c>
      <c r="K1090" s="117" t="s">
        <v>891</v>
      </c>
      <c r="L1090" s="117" t="s">
        <v>891</v>
      </c>
      <c r="M1090" s="191">
        <v>96893869</v>
      </c>
      <c r="N1090" s="117" t="s">
        <v>892</v>
      </c>
      <c r="O1090" s="121" t="s">
        <v>984</v>
      </c>
      <c r="P1090" s="117" t="s">
        <v>894</v>
      </c>
      <c r="Q1090" s="197">
        <v>80057501</v>
      </c>
      <c r="R1090" s="119" t="s">
        <v>895</v>
      </c>
      <c r="S1090" s="119" t="s">
        <v>895</v>
      </c>
      <c r="T1090" s="222"/>
      <c r="U1090" s="222"/>
      <c r="V1090" s="222"/>
      <c r="W1090" s="230"/>
      <c r="X1090" s="331">
        <f t="shared" si="50"/>
        <v>0</v>
      </c>
      <c r="Y1090" s="222"/>
      <c r="Z1090" s="272">
        <f t="shared" si="48"/>
        <v>0</v>
      </c>
      <c r="AA1090" s="331"/>
      <c r="AB1090" s="331"/>
      <c r="AC1090" s="331"/>
      <c r="AD1090" s="331"/>
      <c r="AE1090" s="331"/>
      <c r="AF1090" s="331"/>
      <c r="AG1090" s="331"/>
      <c r="AH1090" s="241">
        <f t="shared" ca="1" si="49"/>
        <v>46153</v>
      </c>
      <c r="AI1090" s="272"/>
      <c r="AJ1090" s="222"/>
      <c r="AK1090" s="222"/>
    </row>
    <row r="1091" spans="1:37" ht="23.25" hidden="1" customHeight="1">
      <c r="A1091" s="111">
        <v>182</v>
      </c>
      <c r="B1091" s="112">
        <v>12</v>
      </c>
      <c r="C1091" s="122" t="s">
        <v>1105</v>
      </c>
      <c r="D1091" s="147" t="s">
        <v>1106</v>
      </c>
      <c r="E1091" s="193" t="s">
        <v>1107</v>
      </c>
      <c r="F1091" s="187" t="s">
        <v>1017</v>
      </c>
      <c r="G1091" s="187" t="s">
        <v>1018</v>
      </c>
      <c r="H1091" s="187">
        <v>13.7392368</v>
      </c>
      <c r="I1091" s="187">
        <v>100.5843352</v>
      </c>
      <c r="J1091" s="116" t="s">
        <v>890</v>
      </c>
      <c r="K1091" s="117" t="s">
        <v>891</v>
      </c>
      <c r="L1091" s="117" t="s">
        <v>891</v>
      </c>
      <c r="M1091" s="117">
        <v>96893872</v>
      </c>
      <c r="N1091" s="117" t="s">
        <v>892</v>
      </c>
      <c r="O1091" s="121" t="s">
        <v>984</v>
      </c>
      <c r="P1091" s="117" t="s">
        <v>894</v>
      </c>
      <c r="Q1091" s="197">
        <v>80057501</v>
      </c>
      <c r="R1091" s="190" t="s">
        <v>895</v>
      </c>
      <c r="S1091" s="119" t="s">
        <v>895</v>
      </c>
      <c r="T1091" s="222"/>
      <c r="U1091" s="222"/>
      <c r="V1091" s="222"/>
      <c r="W1091" s="230"/>
      <c r="X1091" s="331">
        <f t="shared" si="50"/>
        <v>0</v>
      </c>
      <c r="Y1091" s="222"/>
      <c r="Z1091" s="272">
        <f t="shared" ref="Z1091:Z1154" si="51">DATEDIF(X1091,Y1091,"d")</f>
        <v>0</v>
      </c>
      <c r="AA1091" s="331"/>
      <c r="AB1091" s="331"/>
      <c r="AC1091" s="331"/>
      <c r="AD1091" s="331"/>
      <c r="AE1091" s="331"/>
      <c r="AF1091" s="331"/>
      <c r="AG1091" s="331"/>
      <c r="AH1091" s="241">
        <f t="shared" ref="AH1091:AH1154" ca="1" si="52">TODAY()</f>
        <v>46153</v>
      </c>
      <c r="AI1091" s="272"/>
      <c r="AJ1091" s="222"/>
      <c r="AK1091" s="222"/>
    </row>
    <row r="1092" spans="1:37" ht="23.25" hidden="1" customHeight="1">
      <c r="A1092" s="111">
        <v>183</v>
      </c>
      <c r="B1092" s="112">
        <v>13</v>
      </c>
      <c r="C1092" s="113" t="s">
        <v>1108</v>
      </c>
      <c r="D1092" s="147" t="s">
        <v>1109</v>
      </c>
      <c r="E1092" s="183" t="s">
        <v>1110</v>
      </c>
      <c r="F1092" s="184" t="s">
        <v>1017</v>
      </c>
      <c r="G1092" s="184" t="s">
        <v>1018</v>
      </c>
      <c r="H1092" s="187">
        <v>13.729998</v>
      </c>
      <c r="I1092" s="187">
        <v>100.581277</v>
      </c>
      <c r="J1092" s="116" t="s">
        <v>890</v>
      </c>
      <c r="K1092" s="117" t="s">
        <v>891</v>
      </c>
      <c r="L1092" s="117" t="s">
        <v>891</v>
      </c>
      <c r="M1092" s="117">
        <v>96893878</v>
      </c>
      <c r="N1092" s="117" t="s">
        <v>892</v>
      </c>
      <c r="O1092" s="121" t="s">
        <v>984</v>
      </c>
      <c r="P1092" s="117" t="s">
        <v>894</v>
      </c>
      <c r="Q1092" s="197">
        <v>80057501</v>
      </c>
      <c r="R1092" s="190" t="s">
        <v>895</v>
      </c>
      <c r="S1092" s="119" t="s">
        <v>895</v>
      </c>
      <c r="T1092" s="222"/>
      <c r="U1092" s="222"/>
      <c r="V1092" s="222"/>
      <c r="W1092" s="230"/>
      <c r="X1092" s="331">
        <f t="shared" ref="X1092:X1155" si="53">V1092+(W1092)</f>
        <v>0</v>
      </c>
      <c r="Y1092" s="222"/>
      <c r="Z1092" s="272">
        <f t="shared" si="51"/>
        <v>0</v>
      </c>
      <c r="AA1092" s="331"/>
      <c r="AB1092" s="331"/>
      <c r="AC1092" s="331"/>
      <c r="AD1092" s="331"/>
      <c r="AE1092" s="331"/>
      <c r="AF1092" s="331"/>
      <c r="AG1092" s="331"/>
      <c r="AH1092" s="241">
        <f t="shared" ca="1" si="52"/>
        <v>46153</v>
      </c>
      <c r="AI1092" s="272"/>
      <c r="AJ1092" s="222"/>
      <c r="AK1092" s="222"/>
    </row>
    <row r="1093" spans="1:37" ht="23" hidden="1">
      <c r="A1093" s="315">
        <v>625</v>
      </c>
      <c r="B1093" s="233">
        <v>4</v>
      </c>
      <c r="C1093" s="319" t="s">
        <v>1573</v>
      </c>
      <c r="D1093" s="352" t="s">
        <v>1574</v>
      </c>
      <c r="E1093" s="546" t="s">
        <v>1575</v>
      </c>
      <c r="F1093" s="547" t="s">
        <v>1017</v>
      </c>
      <c r="G1093" s="547" t="s">
        <v>1018</v>
      </c>
      <c r="H1093" s="547">
        <v>13.7365812</v>
      </c>
      <c r="I1093" s="547">
        <v>100.5835218</v>
      </c>
      <c r="J1093" s="354" t="s">
        <v>890</v>
      </c>
      <c r="K1093" s="353" t="s">
        <v>1212</v>
      </c>
      <c r="L1093" s="300" t="s">
        <v>1213</v>
      </c>
      <c r="M1093" s="300">
        <v>96896573</v>
      </c>
      <c r="N1093" s="300" t="s">
        <v>892</v>
      </c>
      <c r="O1093" s="301" t="s">
        <v>984</v>
      </c>
      <c r="P1093" s="300" t="s">
        <v>902</v>
      </c>
      <c r="Q1093" s="548">
        <v>80057501</v>
      </c>
      <c r="R1093" s="549" t="s">
        <v>895</v>
      </c>
      <c r="S1093" s="355" t="s">
        <v>895</v>
      </c>
      <c r="T1093" s="222" t="s">
        <v>5178</v>
      </c>
      <c r="U1093" s="222" t="s">
        <v>5367</v>
      </c>
      <c r="V1093" s="241">
        <v>45468</v>
      </c>
      <c r="W1093" s="230">
        <v>30</v>
      </c>
      <c r="X1093" s="331">
        <f t="shared" si="53"/>
        <v>45498</v>
      </c>
      <c r="Y1093" s="241"/>
      <c r="Z1093" s="272" t="e">
        <f t="shared" si="51"/>
        <v>#NUM!</v>
      </c>
      <c r="AA1093" s="331"/>
      <c r="AB1093" s="331"/>
      <c r="AC1093" s="331"/>
      <c r="AD1093" s="331"/>
      <c r="AE1093" s="331"/>
      <c r="AF1093" s="331"/>
      <c r="AG1093" s="331"/>
      <c r="AH1093" s="241">
        <f t="shared" ca="1" si="52"/>
        <v>46153</v>
      </c>
      <c r="AI1093" s="272"/>
      <c r="AJ1093" s="222"/>
      <c r="AK1093" s="222"/>
    </row>
    <row r="1094" spans="1:37" ht="23" hidden="1">
      <c r="A1094" s="111">
        <v>325</v>
      </c>
      <c r="B1094" s="112" t="s">
        <v>1553</v>
      </c>
      <c r="C1094" s="113" t="s">
        <v>2700</v>
      </c>
      <c r="D1094" s="147" t="s">
        <v>2701</v>
      </c>
      <c r="E1094" s="183" t="s">
        <v>2702</v>
      </c>
      <c r="F1094" s="184" t="s">
        <v>1017</v>
      </c>
      <c r="G1094" s="184" t="s">
        <v>1018</v>
      </c>
      <c r="H1094" s="187">
        <v>13.728522999999999</v>
      </c>
      <c r="I1094" s="187">
        <v>100.580893</v>
      </c>
      <c r="J1094" s="116" t="s">
        <v>890</v>
      </c>
      <c r="K1094" s="115" t="s">
        <v>1212</v>
      </c>
      <c r="L1094" s="117" t="s">
        <v>1213</v>
      </c>
      <c r="M1094" s="117" t="s">
        <v>2703</v>
      </c>
      <c r="N1094" s="121" t="s">
        <v>892</v>
      </c>
      <c r="O1094" s="121" t="s">
        <v>984</v>
      </c>
      <c r="P1094" s="117" t="s">
        <v>894</v>
      </c>
      <c r="Q1094" s="185" t="s">
        <v>972</v>
      </c>
      <c r="R1094" s="186" t="s">
        <v>972</v>
      </c>
      <c r="S1094" s="125" t="s">
        <v>895</v>
      </c>
      <c r="T1094" s="222"/>
      <c r="U1094" s="222"/>
      <c r="V1094" s="222"/>
      <c r="W1094" s="230"/>
      <c r="X1094" s="331">
        <f t="shared" si="53"/>
        <v>0</v>
      </c>
      <c r="Y1094" s="222"/>
      <c r="Z1094" s="272">
        <f t="shared" si="51"/>
        <v>0</v>
      </c>
      <c r="AA1094" s="331"/>
      <c r="AB1094" s="331"/>
      <c r="AC1094" s="331"/>
      <c r="AD1094" s="331"/>
      <c r="AE1094" s="331"/>
      <c r="AF1094" s="331"/>
      <c r="AG1094" s="331"/>
      <c r="AH1094" s="241">
        <f t="shared" ca="1" si="52"/>
        <v>46153</v>
      </c>
      <c r="AI1094" s="272"/>
      <c r="AJ1094" s="222"/>
      <c r="AK1094" s="222"/>
    </row>
    <row r="1095" spans="1:37" ht="23" hidden="1">
      <c r="A1095" s="111">
        <v>634</v>
      </c>
      <c r="B1095" s="112" t="s">
        <v>1459</v>
      </c>
      <c r="C1095" s="113" t="s">
        <v>3709</v>
      </c>
      <c r="D1095" s="147" t="s">
        <v>3710</v>
      </c>
      <c r="E1095" s="183" t="s">
        <v>3711</v>
      </c>
      <c r="F1095" s="184" t="s">
        <v>1017</v>
      </c>
      <c r="G1095" s="184" t="s">
        <v>1018</v>
      </c>
      <c r="H1095" s="187">
        <v>13.725797999999999</v>
      </c>
      <c r="I1095" s="187">
        <v>100.579758</v>
      </c>
      <c r="J1095" s="115" t="s">
        <v>2108</v>
      </c>
      <c r="K1095" s="117" t="s">
        <v>2109</v>
      </c>
      <c r="L1095" s="117" t="s">
        <v>2110</v>
      </c>
      <c r="M1095" s="121" t="s">
        <v>972</v>
      </c>
      <c r="N1095" s="121" t="s">
        <v>972</v>
      </c>
      <c r="O1095" s="121" t="s">
        <v>984</v>
      </c>
      <c r="P1095" s="117" t="s">
        <v>894</v>
      </c>
      <c r="Q1095" s="185" t="s">
        <v>972</v>
      </c>
      <c r="R1095" s="186" t="s">
        <v>972</v>
      </c>
      <c r="S1095" s="125" t="s">
        <v>972</v>
      </c>
      <c r="T1095" s="222"/>
      <c r="U1095" s="222"/>
      <c r="V1095" s="222"/>
      <c r="W1095" s="230"/>
      <c r="X1095" s="331">
        <f t="shared" si="53"/>
        <v>0</v>
      </c>
      <c r="Y1095" s="222"/>
      <c r="Z1095" s="272">
        <f t="shared" si="51"/>
        <v>0</v>
      </c>
      <c r="AA1095" s="331"/>
      <c r="AB1095" s="331"/>
      <c r="AC1095" s="331"/>
      <c r="AD1095" s="331"/>
      <c r="AE1095" s="331"/>
      <c r="AF1095" s="331"/>
      <c r="AG1095" s="331"/>
      <c r="AH1095" s="241">
        <f t="shared" ca="1" si="52"/>
        <v>46153</v>
      </c>
      <c r="AI1095" s="272"/>
      <c r="AJ1095" s="222"/>
      <c r="AK1095" s="222"/>
    </row>
    <row r="1096" spans="1:37" ht="23" hidden="1">
      <c r="A1096" s="111">
        <v>635</v>
      </c>
      <c r="B1096" s="112">
        <v>8</v>
      </c>
      <c r="C1096" s="113" t="s">
        <v>3712</v>
      </c>
      <c r="D1096" s="147" t="s">
        <v>3713</v>
      </c>
      <c r="E1096" s="183" t="s">
        <v>3714</v>
      </c>
      <c r="F1096" s="184" t="s">
        <v>1017</v>
      </c>
      <c r="G1096" s="184" t="s">
        <v>1018</v>
      </c>
      <c r="H1096" s="187">
        <v>13.730525999999999</v>
      </c>
      <c r="I1096" s="187">
        <v>100.581456</v>
      </c>
      <c r="J1096" s="115" t="s">
        <v>2108</v>
      </c>
      <c r="K1096" s="117" t="s">
        <v>2109</v>
      </c>
      <c r="L1096" s="117" t="s">
        <v>2110</v>
      </c>
      <c r="M1096" s="121" t="s">
        <v>972</v>
      </c>
      <c r="N1096" s="121" t="s">
        <v>972</v>
      </c>
      <c r="O1096" s="121" t="s">
        <v>984</v>
      </c>
      <c r="P1096" s="117" t="s">
        <v>894</v>
      </c>
      <c r="Q1096" s="185" t="s">
        <v>972</v>
      </c>
      <c r="R1096" s="186" t="s">
        <v>972</v>
      </c>
      <c r="S1096" s="125" t="s">
        <v>972</v>
      </c>
      <c r="T1096" s="222"/>
      <c r="U1096" s="222"/>
      <c r="V1096" s="222"/>
      <c r="W1096" s="230"/>
      <c r="X1096" s="331">
        <f t="shared" si="53"/>
        <v>0</v>
      </c>
      <c r="Y1096" s="222"/>
      <c r="Z1096" s="272">
        <f t="shared" si="51"/>
        <v>0</v>
      </c>
      <c r="AA1096" s="331"/>
      <c r="AB1096" s="331"/>
      <c r="AC1096" s="331"/>
      <c r="AD1096" s="331"/>
      <c r="AE1096" s="331"/>
      <c r="AF1096" s="331"/>
      <c r="AG1096" s="331"/>
      <c r="AH1096" s="241">
        <f t="shared" ca="1" si="52"/>
        <v>46153</v>
      </c>
      <c r="AI1096" s="272"/>
      <c r="AJ1096" s="222"/>
      <c r="AK1096" s="222"/>
    </row>
    <row r="1097" spans="1:37" ht="23" hidden="1">
      <c r="A1097" s="111">
        <v>94</v>
      </c>
      <c r="B1097" s="112">
        <v>8</v>
      </c>
      <c r="C1097" s="122" t="s">
        <v>4858</v>
      </c>
      <c r="D1097" s="147" t="s">
        <v>4859</v>
      </c>
      <c r="E1097" s="193" t="s">
        <v>4860</v>
      </c>
      <c r="F1097" s="187" t="s">
        <v>1017</v>
      </c>
      <c r="G1097" s="187" t="s">
        <v>1018</v>
      </c>
      <c r="H1097" s="187">
        <v>13.734785799999999</v>
      </c>
      <c r="I1097" s="497">
        <v>100.5829079</v>
      </c>
      <c r="J1097" s="116" t="s">
        <v>890</v>
      </c>
      <c r="K1097" s="115" t="s">
        <v>1212</v>
      </c>
      <c r="L1097" s="117" t="s">
        <v>1213</v>
      </c>
      <c r="M1097" s="199">
        <v>26955039</v>
      </c>
      <c r="N1097" s="121" t="s">
        <v>892</v>
      </c>
      <c r="O1097" s="121" t="s">
        <v>984</v>
      </c>
      <c r="P1097" s="117" t="s">
        <v>894</v>
      </c>
      <c r="Q1097" s="185" t="s">
        <v>972</v>
      </c>
      <c r="R1097" s="186" t="s">
        <v>972</v>
      </c>
      <c r="S1097" s="125" t="s">
        <v>4749</v>
      </c>
      <c r="T1097" s="222"/>
      <c r="U1097" s="222"/>
      <c r="V1097" s="222"/>
      <c r="W1097" s="230"/>
      <c r="X1097" s="331">
        <f t="shared" si="53"/>
        <v>0</v>
      </c>
      <c r="Y1097" s="222"/>
      <c r="Z1097" s="272">
        <f t="shared" si="51"/>
        <v>0</v>
      </c>
      <c r="AA1097" s="331"/>
      <c r="AB1097" s="331"/>
      <c r="AC1097" s="331"/>
      <c r="AD1097" s="331"/>
      <c r="AE1097" s="331"/>
      <c r="AF1097" s="331"/>
      <c r="AG1097" s="331"/>
      <c r="AH1097" s="241">
        <f t="shared" ca="1" si="52"/>
        <v>46153</v>
      </c>
      <c r="AI1097" s="272"/>
      <c r="AJ1097" s="222"/>
      <c r="AK1097" s="222"/>
    </row>
    <row r="1098" spans="1:37" ht="23.25" hidden="1" customHeight="1">
      <c r="A1098" s="111">
        <v>710</v>
      </c>
      <c r="B1098" s="112" t="s">
        <v>979</v>
      </c>
      <c r="C1098" s="113" t="s">
        <v>4878</v>
      </c>
      <c r="D1098" s="147" t="s">
        <v>4879</v>
      </c>
      <c r="E1098" s="183" t="s">
        <v>4880</v>
      </c>
      <c r="F1098" s="184" t="s">
        <v>1017</v>
      </c>
      <c r="G1098" s="184" t="s">
        <v>1018</v>
      </c>
      <c r="H1098" s="187">
        <v>13.728349</v>
      </c>
      <c r="I1098" s="187">
        <v>100.580786</v>
      </c>
      <c r="J1098" s="116" t="s">
        <v>890</v>
      </c>
      <c r="K1098" s="117" t="s">
        <v>891</v>
      </c>
      <c r="L1098" s="118" t="s">
        <v>891</v>
      </c>
      <c r="M1098" s="117">
        <v>96822589</v>
      </c>
      <c r="N1098" s="117" t="s">
        <v>892</v>
      </c>
      <c r="O1098" s="121" t="s">
        <v>984</v>
      </c>
      <c r="P1098" s="117" t="s">
        <v>894</v>
      </c>
      <c r="Q1098" s="197">
        <v>80057501</v>
      </c>
      <c r="R1098" s="190"/>
      <c r="S1098" s="119" t="s">
        <v>4242</v>
      </c>
      <c r="T1098" s="222"/>
      <c r="U1098" s="222"/>
      <c r="V1098" s="222"/>
      <c r="W1098" s="230"/>
      <c r="X1098" s="331">
        <f t="shared" si="53"/>
        <v>0</v>
      </c>
      <c r="Y1098" s="222"/>
      <c r="Z1098" s="272">
        <f t="shared" si="51"/>
        <v>0</v>
      </c>
      <c r="AA1098" s="331"/>
      <c r="AB1098" s="331"/>
      <c r="AC1098" s="331"/>
      <c r="AD1098" s="331"/>
      <c r="AE1098" s="331"/>
      <c r="AF1098" s="331"/>
      <c r="AG1098" s="331"/>
      <c r="AH1098" s="241">
        <f t="shared" ca="1" si="52"/>
        <v>46153</v>
      </c>
      <c r="AI1098" s="272"/>
      <c r="AJ1098" s="222"/>
      <c r="AK1098" s="222"/>
    </row>
    <row r="1099" spans="1:37" ht="23.25" hidden="1" customHeight="1">
      <c r="A1099" s="111">
        <v>996</v>
      </c>
      <c r="B1099" s="112" t="s">
        <v>1071</v>
      </c>
      <c r="C1099" s="122" t="s">
        <v>4928</v>
      </c>
      <c r="D1099" s="147" t="s">
        <v>4929</v>
      </c>
      <c r="E1099" s="480" t="s">
        <v>4930</v>
      </c>
      <c r="F1099" s="485" t="s">
        <v>1017</v>
      </c>
      <c r="G1099" s="485" t="s">
        <v>1018</v>
      </c>
      <c r="H1099" s="189">
        <v>13.734211500000001</v>
      </c>
      <c r="I1099" s="189">
        <v>100.58262209999999</v>
      </c>
      <c r="J1099" s="116" t="s">
        <v>890</v>
      </c>
      <c r="K1099" s="115" t="s">
        <v>1212</v>
      </c>
      <c r="L1099" s="117" t="s">
        <v>1213</v>
      </c>
      <c r="M1099" s="199">
        <v>26955039</v>
      </c>
      <c r="N1099" s="121" t="s">
        <v>892</v>
      </c>
      <c r="O1099" s="121"/>
      <c r="P1099" s="127" t="s">
        <v>1076</v>
      </c>
      <c r="Q1099" s="188" t="s">
        <v>972</v>
      </c>
      <c r="R1099" s="190" t="s">
        <v>972</v>
      </c>
      <c r="S1099" s="125" t="s">
        <v>4749</v>
      </c>
      <c r="T1099" s="222"/>
      <c r="U1099" s="222"/>
      <c r="V1099" s="222"/>
      <c r="W1099" s="230"/>
      <c r="X1099" s="331">
        <f t="shared" si="53"/>
        <v>0</v>
      </c>
      <c r="Y1099" s="222"/>
      <c r="Z1099" s="272">
        <f t="shared" si="51"/>
        <v>0</v>
      </c>
      <c r="AA1099" s="331"/>
      <c r="AB1099" s="331"/>
      <c r="AC1099" s="331"/>
      <c r="AD1099" s="331"/>
      <c r="AE1099" s="331"/>
      <c r="AF1099" s="331"/>
      <c r="AG1099" s="331"/>
      <c r="AH1099" s="241">
        <f t="shared" ca="1" si="52"/>
        <v>46153</v>
      </c>
      <c r="AI1099" s="272"/>
      <c r="AJ1099" s="222"/>
      <c r="AK1099" s="222"/>
    </row>
    <row r="1100" spans="1:37" ht="23.25" hidden="1" customHeight="1">
      <c r="A1100" s="111">
        <v>292</v>
      </c>
      <c r="B1100" s="112">
        <v>16</v>
      </c>
      <c r="C1100" s="122" t="s">
        <v>1208</v>
      </c>
      <c r="D1100" s="147" t="s">
        <v>1209</v>
      </c>
      <c r="E1100" s="193" t="s">
        <v>1210</v>
      </c>
      <c r="F1100" s="184" t="s">
        <v>1211</v>
      </c>
      <c r="G1100" s="187" t="s">
        <v>1018</v>
      </c>
      <c r="H1100" s="187">
        <v>13.7368249</v>
      </c>
      <c r="I1100" s="187">
        <v>100.5883834</v>
      </c>
      <c r="J1100" s="116" t="s">
        <v>890</v>
      </c>
      <c r="K1100" s="115" t="s">
        <v>1212</v>
      </c>
      <c r="L1100" s="117" t="s">
        <v>1213</v>
      </c>
      <c r="M1100" s="117">
        <v>96888299</v>
      </c>
      <c r="N1100" s="121" t="s">
        <v>892</v>
      </c>
      <c r="O1100" s="121" t="s">
        <v>984</v>
      </c>
      <c r="P1100" s="117" t="s">
        <v>894</v>
      </c>
      <c r="Q1100" s="197">
        <v>80057501</v>
      </c>
      <c r="R1100" s="190" t="s">
        <v>895</v>
      </c>
      <c r="S1100" s="125" t="s">
        <v>895</v>
      </c>
      <c r="T1100" s="222"/>
      <c r="U1100" s="222"/>
      <c r="V1100" s="222"/>
      <c r="W1100" s="230"/>
      <c r="X1100" s="331">
        <f t="shared" si="53"/>
        <v>0</v>
      </c>
      <c r="Y1100" s="222"/>
      <c r="Z1100" s="272">
        <f t="shared" si="51"/>
        <v>0</v>
      </c>
      <c r="AA1100" s="331"/>
      <c r="AB1100" s="331"/>
      <c r="AC1100" s="331"/>
      <c r="AD1100" s="331"/>
      <c r="AE1100" s="331"/>
      <c r="AF1100" s="331"/>
      <c r="AG1100" s="331"/>
      <c r="AH1100" s="241">
        <f t="shared" ca="1" si="52"/>
        <v>46153</v>
      </c>
      <c r="AI1100" s="272"/>
      <c r="AJ1100" s="222"/>
      <c r="AK1100" s="222"/>
    </row>
    <row r="1101" spans="1:37" ht="23.25" hidden="1" customHeight="1">
      <c r="A1101" s="111">
        <v>295</v>
      </c>
      <c r="B1101" s="112" t="s">
        <v>1022</v>
      </c>
      <c r="C1101" s="113" t="s">
        <v>1218</v>
      </c>
      <c r="D1101" s="147" t="s">
        <v>1219</v>
      </c>
      <c r="E1101" s="183" t="s">
        <v>1220</v>
      </c>
      <c r="F1101" s="184" t="s">
        <v>1211</v>
      </c>
      <c r="G1101" s="184" t="s">
        <v>1018</v>
      </c>
      <c r="H1101" s="184">
        <v>13.739833300000001</v>
      </c>
      <c r="I1101" s="184">
        <v>100.5894406</v>
      </c>
      <c r="J1101" s="116" t="s">
        <v>890</v>
      </c>
      <c r="K1101" s="117" t="s">
        <v>891</v>
      </c>
      <c r="L1101" s="117" t="s">
        <v>891</v>
      </c>
      <c r="M1101" s="117">
        <v>96898208</v>
      </c>
      <c r="N1101" s="117" t="s">
        <v>892</v>
      </c>
      <c r="O1101" s="121" t="s">
        <v>984</v>
      </c>
      <c r="P1101" s="117" t="s">
        <v>894</v>
      </c>
      <c r="Q1101" s="197">
        <v>80057501</v>
      </c>
      <c r="R1101" s="190" t="s">
        <v>895</v>
      </c>
      <c r="S1101" s="119" t="s">
        <v>895</v>
      </c>
      <c r="T1101" s="222"/>
      <c r="U1101" s="222"/>
      <c r="V1101" s="222"/>
      <c r="W1101" s="230"/>
      <c r="X1101" s="331">
        <f t="shared" si="53"/>
        <v>0</v>
      </c>
      <c r="Y1101" s="222"/>
      <c r="Z1101" s="272">
        <f t="shared" si="51"/>
        <v>0</v>
      </c>
      <c r="AA1101" s="331"/>
      <c r="AB1101" s="331"/>
      <c r="AC1101" s="331"/>
      <c r="AD1101" s="331"/>
      <c r="AE1101" s="331"/>
      <c r="AF1101" s="331"/>
      <c r="AG1101" s="331"/>
      <c r="AH1101" s="241">
        <f t="shared" ca="1" si="52"/>
        <v>46153</v>
      </c>
      <c r="AI1101" s="272"/>
      <c r="AJ1101" s="222"/>
      <c r="AK1101" s="222"/>
    </row>
    <row r="1102" spans="1:37" ht="23.25" hidden="1" customHeight="1">
      <c r="A1102" s="111">
        <v>348</v>
      </c>
      <c r="B1102" s="112" t="s">
        <v>919</v>
      </c>
      <c r="C1102" s="113" t="s">
        <v>1289</v>
      </c>
      <c r="D1102" s="147" t="s">
        <v>1290</v>
      </c>
      <c r="E1102" s="183" t="s">
        <v>1291</v>
      </c>
      <c r="F1102" s="184" t="s">
        <v>1211</v>
      </c>
      <c r="G1102" s="184" t="s">
        <v>1018</v>
      </c>
      <c r="H1102" s="187">
        <v>13.724007</v>
      </c>
      <c r="I1102" s="195">
        <v>100.58458</v>
      </c>
      <c r="J1102" s="116" t="s">
        <v>890</v>
      </c>
      <c r="K1102" s="117" t="s">
        <v>891</v>
      </c>
      <c r="L1102" s="117" t="s">
        <v>891</v>
      </c>
      <c r="M1102" s="117">
        <v>96898207</v>
      </c>
      <c r="N1102" s="117" t="s">
        <v>892</v>
      </c>
      <c r="O1102" s="121" t="s">
        <v>984</v>
      </c>
      <c r="P1102" s="117" t="s">
        <v>894</v>
      </c>
      <c r="Q1102" s="197">
        <v>80057501</v>
      </c>
      <c r="R1102" s="190" t="s">
        <v>895</v>
      </c>
      <c r="S1102" s="119" t="s">
        <v>895</v>
      </c>
      <c r="T1102" s="222"/>
      <c r="U1102" s="222"/>
      <c r="V1102" s="222"/>
      <c r="W1102" s="230"/>
      <c r="X1102" s="331">
        <f t="shared" si="53"/>
        <v>0</v>
      </c>
      <c r="Y1102" s="222"/>
      <c r="Z1102" s="272">
        <f t="shared" si="51"/>
        <v>0</v>
      </c>
      <c r="AA1102" s="331"/>
      <c r="AB1102" s="331"/>
      <c r="AC1102" s="331"/>
      <c r="AD1102" s="331"/>
      <c r="AE1102" s="331"/>
      <c r="AF1102" s="331"/>
      <c r="AG1102" s="331"/>
      <c r="AH1102" s="241">
        <f t="shared" ca="1" si="52"/>
        <v>46153</v>
      </c>
      <c r="AI1102" s="272"/>
      <c r="AJ1102" s="222"/>
      <c r="AK1102" s="222"/>
    </row>
    <row r="1103" spans="1:37" ht="23.25" hidden="1" customHeight="1">
      <c r="A1103" s="111">
        <v>401</v>
      </c>
      <c r="B1103" s="112">
        <v>4</v>
      </c>
      <c r="C1103" s="113" t="s">
        <v>1358</v>
      </c>
      <c r="D1103" s="147" t="s">
        <v>1359</v>
      </c>
      <c r="E1103" s="183" t="s">
        <v>1360</v>
      </c>
      <c r="F1103" s="184" t="s">
        <v>1211</v>
      </c>
      <c r="G1103" s="184" t="s">
        <v>1018</v>
      </c>
      <c r="H1103" s="184">
        <v>13.7345612</v>
      </c>
      <c r="I1103" s="184">
        <v>100.5876403</v>
      </c>
      <c r="J1103" s="116" t="s">
        <v>890</v>
      </c>
      <c r="K1103" s="117" t="s">
        <v>891</v>
      </c>
      <c r="L1103" s="117" t="s">
        <v>891</v>
      </c>
      <c r="M1103" s="117">
        <v>96898206</v>
      </c>
      <c r="N1103" s="117" t="s">
        <v>892</v>
      </c>
      <c r="O1103" s="121" t="s">
        <v>984</v>
      </c>
      <c r="P1103" s="117" t="s">
        <v>894</v>
      </c>
      <c r="Q1103" s="197">
        <v>80057501</v>
      </c>
      <c r="R1103" s="190" t="s">
        <v>895</v>
      </c>
      <c r="S1103" s="119" t="s">
        <v>895</v>
      </c>
      <c r="T1103" s="222"/>
      <c r="U1103" s="222"/>
      <c r="V1103" s="222"/>
      <c r="W1103" s="230"/>
      <c r="X1103" s="331">
        <f t="shared" si="53"/>
        <v>0</v>
      </c>
      <c r="Y1103" s="222"/>
      <c r="Z1103" s="272">
        <f t="shared" si="51"/>
        <v>0</v>
      </c>
      <c r="AA1103" s="331"/>
      <c r="AB1103" s="331"/>
      <c r="AC1103" s="331"/>
      <c r="AD1103" s="331"/>
      <c r="AE1103" s="331"/>
      <c r="AF1103" s="331"/>
      <c r="AG1103" s="331"/>
      <c r="AH1103" s="241">
        <f t="shared" ca="1" si="52"/>
        <v>46153</v>
      </c>
      <c r="AI1103" s="272"/>
      <c r="AJ1103" s="222"/>
      <c r="AK1103" s="222"/>
    </row>
    <row r="1104" spans="1:37" ht="23" hidden="1">
      <c r="A1104" s="111">
        <v>677</v>
      </c>
      <c r="B1104" s="128" t="s">
        <v>1155</v>
      </c>
      <c r="C1104" s="113" t="s">
        <v>1636</v>
      </c>
      <c r="D1104" s="472" t="s">
        <v>1637</v>
      </c>
      <c r="E1104" s="473" t="s">
        <v>1638</v>
      </c>
      <c r="F1104" s="482" t="s">
        <v>1211</v>
      </c>
      <c r="G1104" s="482" t="s">
        <v>1018</v>
      </c>
      <c r="H1104" s="187">
        <v>13.7353457</v>
      </c>
      <c r="I1104" s="187">
        <v>100.58789950000001</v>
      </c>
      <c r="J1104" s="116" t="s">
        <v>890</v>
      </c>
      <c r="K1104" s="117" t="s">
        <v>891</v>
      </c>
      <c r="L1104" s="117" t="s">
        <v>891</v>
      </c>
      <c r="M1104" s="117">
        <v>96898202</v>
      </c>
      <c r="N1104" s="117" t="s">
        <v>892</v>
      </c>
      <c r="O1104" s="121" t="s">
        <v>984</v>
      </c>
      <c r="P1104" s="117" t="s">
        <v>894</v>
      </c>
      <c r="Q1104" s="197">
        <v>80057501</v>
      </c>
      <c r="R1104" s="190" t="s">
        <v>895</v>
      </c>
      <c r="S1104" s="119" t="s">
        <v>895</v>
      </c>
      <c r="T1104" s="222"/>
      <c r="U1104" s="222"/>
      <c r="V1104" s="222"/>
      <c r="W1104" s="230"/>
      <c r="X1104" s="331">
        <f t="shared" si="53"/>
        <v>0</v>
      </c>
      <c r="Y1104" s="222"/>
      <c r="Z1104" s="272">
        <f t="shared" si="51"/>
        <v>0</v>
      </c>
      <c r="AA1104" s="331"/>
      <c r="AB1104" s="331"/>
      <c r="AC1104" s="331"/>
      <c r="AD1104" s="331"/>
      <c r="AE1104" s="331"/>
      <c r="AF1104" s="331"/>
      <c r="AG1104" s="331"/>
      <c r="AH1104" s="241">
        <f t="shared" ca="1" si="52"/>
        <v>46153</v>
      </c>
      <c r="AI1104" s="272"/>
      <c r="AJ1104" s="222"/>
      <c r="AK1104" s="222"/>
    </row>
    <row r="1105" spans="1:37" ht="23" hidden="1">
      <c r="A1105" s="111">
        <v>680</v>
      </c>
      <c r="B1105" s="112" t="s">
        <v>1013</v>
      </c>
      <c r="C1105" s="122" t="s">
        <v>1643</v>
      </c>
      <c r="D1105" s="147" t="s">
        <v>1644</v>
      </c>
      <c r="E1105" s="193" t="s">
        <v>1645</v>
      </c>
      <c r="F1105" s="187" t="s">
        <v>1211</v>
      </c>
      <c r="G1105" s="187" t="s">
        <v>1018</v>
      </c>
      <c r="H1105" s="187">
        <v>13.740181</v>
      </c>
      <c r="I1105" s="187">
        <v>100.589457</v>
      </c>
      <c r="J1105" s="116" t="s">
        <v>890</v>
      </c>
      <c r="K1105" s="117" t="s">
        <v>891</v>
      </c>
      <c r="L1105" s="117" t="s">
        <v>891</v>
      </c>
      <c r="M1105" s="191">
        <v>96898200</v>
      </c>
      <c r="N1105" s="117" t="s">
        <v>892</v>
      </c>
      <c r="O1105" s="121" t="s">
        <v>984</v>
      </c>
      <c r="P1105" s="117" t="s">
        <v>894</v>
      </c>
      <c r="Q1105" s="197">
        <v>80057501</v>
      </c>
      <c r="R1105" s="190" t="s">
        <v>895</v>
      </c>
      <c r="S1105" s="119" t="s">
        <v>895</v>
      </c>
      <c r="T1105" s="222"/>
      <c r="U1105" s="222"/>
      <c r="V1105" s="222"/>
      <c r="W1105" s="230"/>
      <c r="X1105" s="331">
        <f t="shared" si="53"/>
        <v>0</v>
      </c>
      <c r="Y1105" s="222"/>
      <c r="Z1105" s="272">
        <f t="shared" si="51"/>
        <v>0</v>
      </c>
      <c r="AA1105" s="331"/>
      <c r="AB1105" s="331"/>
      <c r="AC1105" s="331"/>
      <c r="AD1105" s="331"/>
      <c r="AE1105" s="331"/>
      <c r="AF1105" s="331"/>
      <c r="AG1105" s="331"/>
      <c r="AH1105" s="241">
        <f t="shared" ca="1" si="52"/>
        <v>46153</v>
      </c>
      <c r="AI1105" s="272"/>
      <c r="AJ1105" s="222"/>
      <c r="AK1105" s="222"/>
    </row>
    <row r="1106" spans="1:37" ht="34.5" hidden="1">
      <c r="A1106" s="111">
        <v>32</v>
      </c>
      <c r="B1106" s="112" t="s">
        <v>1098</v>
      </c>
      <c r="C1106" s="113" t="s">
        <v>2102</v>
      </c>
      <c r="D1106" s="147" t="s">
        <v>2103</v>
      </c>
      <c r="E1106" s="476" t="s">
        <v>2104</v>
      </c>
      <c r="F1106" s="191" t="s">
        <v>1211</v>
      </c>
      <c r="G1106" s="487" t="s">
        <v>1018</v>
      </c>
      <c r="H1106" s="493">
        <v>13.727283</v>
      </c>
      <c r="I1106" s="191">
        <v>100.585312</v>
      </c>
      <c r="J1106" s="116" t="s">
        <v>890</v>
      </c>
      <c r="K1106" s="115" t="s">
        <v>1212</v>
      </c>
      <c r="L1106" s="117" t="s">
        <v>1213</v>
      </c>
      <c r="M1106" s="117">
        <v>55048</v>
      </c>
      <c r="N1106" s="121" t="s">
        <v>892</v>
      </c>
      <c r="O1106" s="117" t="s">
        <v>984</v>
      </c>
      <c r="P1106" s="117"/>
      <c r="Q1106" s="502"/>
      <c r="R1106" s="119"/>
      <c r="S1106" s="119" t="s">
        <v>895</v>
      </c>
      <c r="T1106" s="222"/>
      <c r="U1106" s="222"/>
      <c r="V1106" s="222"/>
      <c r="W1106" s="230"/>
      <c r="X1106" s="331">
        <f t="shared" si="53"/>
        <v>0</v>
      </c>
      <c r="Y1106" s="222"/>
      <c r="Z1106" s="272">
        <f t="shared" si="51"/>
        <v>0</v>
      </c>
      <c r="AA1106" s="331"/>
      <c r="AB1106" s="331"/>
      <c r="AC1106" s="331"/>
      <c r="AD1106" s="331"/>
      <c r="AE1106" s="331"/>
      <c r="AF1106" s="331"/>
      <c r="AG1106" s="331"/>
      <c r="AH1106" s="241">
        <f t="shared" ca="1" si="52"/>
        <v>46153</v>
      </c>
      <c r="AI1106" s="272"/>
      <c r="AJ1106" s="222"/>
      <c r="AK1106" s="222"/>
    </row>
    <row r="1107" spans="1:37" ht="23.25" hidden="1" customHeight="1">
      <c r="A1107" s="111">
        <v>28</v>
      </c>
      <c r="B1107" s="112" t="s">
        <v>1098</v>
      </c>
      <c r="C1107" s="113" t="s">
        <v>2148</v>
      </c>
      <c r="D1107" s="147" t="s">
        <v>2149</v>
      </c>
      <c r="E1107" s="475" t="s">
        <v>2150</v>
      </c>
      <c r="F1107" s="191" t="s">
        <v>1211</v>
      </c>
      <c r="G1107" s="487" t="s">
        <v>1018</v>
      </c>
      <c r="H1107" s="191">
        <v>13.738103000000001</v>
      </c>
      <c r="I1107" s="191">
        <v>100.588874</v>
      </c>
      <c r="J1107" s="116" t="s">
        <v>969</v>
      </c>
      <c r="K1107" s="115" t="s">
        <v>970</v>
      </c>
      <c r="L1107" s="117" t="s">
        <v>2151</v>
      </c>
      <c r="M1107" s="117" t="s">
        <v>1347</v>
      </c>
      <c r="N1107" s="117" t="s">
        <v>1347</v>
      </c>
      <c r="O1107" s="117" t="s">
        <v>984</v>
      </c>
      <c r="P1107" s="117"/>
      <c r="Q1107" s="502"/>
      <c r="R1107" s="119"/>
      <c r="S1107" s="119"/>
      <c r="T1107" s="222"/>
      <c r="U1107" s="222"/>
      <c r="V1107" s="222"/>
      <c r="W1107" s="230"/>
      <c r="X1107" s="331">
        <f t="shared" si="53"/>
        <v>0</v>
      </c>
      <c r="Y1107" s="222"/>
      <c r="Z1107" s="272">
        <f t="shared" si="51"/>
        <v>0</v>
      </c>
      <c r="AA1107" s="331"/>
      <c r="AB1107" s="331"/>
      <c r="AC1107" s="331"/>
      <c r="AD1107" s="331"/>
      <c r="AE1107" s="331"/>
      <c r="AF1107" s="331"/>
      <c r="AG1107" s="331"/>
      <c r="AH1107" s="241">
        <f t="shared" ca="1" si="52"/>
        <v>46153</v>
      </c>
      <c r="AI1107" s="272"/>
      <c r="AJ1107" s="222"/>
      <c r="AK1107" s="222"/>
    </row>
    <row r="1108" spans="1:37" ht="23.25" hidden="1" customHeight="1">
      <c r="A1108" s="111">
        <v>87</v>
      </c>
      <c r="B1108" s="112" t="s">
        <v>1098</v>
      </c>
      <c r="C1108" s="113" t="s">
        <v>2186</v>
      </c>
      <c r="D1108" s="147" t="s">
        <v>2187</v>
      </c>
      <c r="E1108" s="479" t="s">
        <v>2188</v>
      </c>
      <c r="F1108" s="197" t="s">
        <v>1211</v>
      </c>
      <c r="G1108" s="490" t="s">
        <v>1018</v>
      </c>
      <c r="H1108" s="197">
        <v>13.734889000000001</v>
      </c>
      <c r="I1108" s="191">
        <v>100.587827</v>
      </c>
      <c r="J1108" s="117" t="s">
        <v>890</v>
      </c>
      <c r="K1108" s="121" t="s">
        <v>891</v>
      </c>
      <c r="L1108" s="121" t="s">
        <v>891</v>
      </c>
      <c r="M1108" s="117">
        <v>96983044</v>
      </c>
      <c r="N1108" s="117" t="s">
        <v>892</v>
      </c>
      <c r="O1108" s="117" t="s">
        <v>984</v>
      </c>
      <c r="P1108" s="117"/>
      <c r="Q1108" s="502"/>
      <c r="R1108" s="190" t="s">
        <v>895</v>
      </c>
      <c r="S1108" s="119" t="s">
        <v>895</v>
      </c>
      <c r="T1108" s="222"/>
      <c r="U1108" s="222"/>
      <c r="V1108" s="222"/>
      <c r="W1108" s="230"/>
      <c r="X1108" s="331">
        <f t="shared" si="53"/>
        <v>0</v>
      </c>
      <c r="Y1108" s="222"/>
      <c r="Z1108" s="272">
        <f t="shared" si="51"/>
        <v>0</v>
      </c>
      <c r="AA1108" s="331"/>
      <c r="AB1108" s="331"/>
      <c r="AC1108" s="331"/>
      <c r="AD1108" s="331"/>
      <c r="AE1108" s="331"/>
      <c r="AF1108" s="331"/>
      <c r="AG1108" s="331"/>
      <c r="AH1108" s="241">
        <f t="shared" ca="1" si="52"/>
        <v>46153</v>
      </c>
      <c r="AI1108" s="272"/>
      <c r="AJ1108" s="222"/>
      <c r="AK1108" s="222"/>
    </row>
    <row r="1109" spans="1:37" ht="23" hidden="1">
      <c r="A1109" s="111">
        <v>466</v>
      </c>
      <c r="B1109" s="164" t="s">
        <v>919</v>
      </c>
      <c r="C1109" s="165" t="s">
        <v>2808</v>
      </c>
      <c r="D1109" s="147" t="s">
        <v>2809</v>
      </c>
      <c r="E1109" s="183" t="s">
        <v>2810</v>
      </c>
      <c r="F1109" s="184" t="s">
        <v>1211</v>
      </c>
      <c r="G1109" s="184" t="s">
        <v>1018</v>
      </c>
      <c r="H1109" s="187">
        <v>13.739166000000001</v>
      </c>
      <c r="I1109" s="187">
        <v>100.589207</v>
      </c>
      <c r="J1109" s="116" t="s">
        <v>890</v>
      </c>
      <c r="K1109" s="115" t="s">
        <v>1212</v>
      </c>
      <c r="L1109" s="117" t="s">
        <v>1213</v>
      </c>
      <c r="M1109" s="117">
        <v>26055051</v>
      </c>
      <c r="N1109" s="121" t="s">
        <v>892</v>
      </c>
      <c r="O1109" s="121" t="s">
        <v>984</v>
      </c>
      <c r="P1109" s="117" t="s">
        <v>894</v>
      </c>
      <c r="Q1109" s="197">
        <v>80057501</v>
      </c>
      <c r="R1109" s="186" t="s">
        <v>972</v>
      </c>
      <c r="S1109" s="125" t="s">
        <v>895</v>
      </c>
      <c r="T1109" s="222"/>
      <c r="U1109" s="222"/>
      <c r="V1109" s="222"/>
      <c r="W1109" s="230"/>
      <c r="X1109" s="331">
        <f t="shared" si="53"/>
        <v>0</v>
      </c>
      <c r="Y1109" s="222"/>
      <c r="Z1109" s="272">
        <f t="shared" si="51"/>
        <v>0</v>
      </c>
      <c r="AA1109" s="331"/>
      <c r="AB1109" s="331"/>
      <c r="AC1109" s="331"/>
      <c r="AD1109" s="331"/>
      <c r="AE1109" s="331"/>
      <c r="AF1109" s="331"/>
      <c r="AG1109" s="331"/>
      <c r="AH1109" s="241">
        <f t="shared" ca="1" si="52"/>
        <v>46153</v>
      </c>
      <c r="AI1109" s="272"/>
      <c r="AJ1109" s="222"/>
      <c r="AK1109" s="222"/>
    </row>
    <row r="1110" spans="1:37" ht="23.25" hidden="1" customHeight="1">
      <c r="A1110" s="111">
        <v>813</v>
      </c>
      <c r="B1110" s="112" t="s">
        <v>1098</v>
      </c>
      <c r="C1110" s="113" t="s">
        <v>3407</v>
      </c>
      <c r="D1110" s="147" t="s">
        <v>3408</v>
      </c>
      <c r="E1110" s="481" t="s">
        <v>3409</v>
      </c>
      <c r="F1110" s="197" t="s">
        <v>1211</v>
      </c>
      <c r="G1110" s="490" t="s">
        <v>1018</v>
      </c>
      <c r="H1110" s="496" t="s">
        <v>3410</v>
      </c>
      <c r="I1110" s="191">
        <v>100.58616000000001</v>
      </c>
      <c r="J1110" s="117" t="s">
        <v>890</v>
      </c>
      <c r="K1110" s="121" t="s">
        <v>891</v>
      </c>
      <c r="L1110" s="121" t="s">
        <v>891</v>
      </c>
      <c r="M1110" s="191">
        <v>96983045</v>
      </c>
      <c r="N1110" s="117" t="s">
        <v>892</v>
      </c>
      <c r="O1110" s="117" t="s">
        <v>984</v>
      </c>
      <c r="P1110" s="117"/>
      <c r="Q1110" s="502"/>
      <c r="R1110" s="190" t="s">
        <v>895</v>
      </c>
      <c r="S1110" s="119" t="s">
        <v>895</v>
      </c>
      <c r="T1110" s="222"/>
      <c r="U1110" s="222"/>
      <c r="V1110" s="222"/>
      <c r="W1110" s="230"/>
      <c r="X1110" s="331">
        <f t="shared" si="53"/>
        <v>0</v>
      </c>
      <c r="Y1110" s="222"/>
      <c r="Z1110" s="272">
        <f t="shared" si="51"/>
        <v>0</v>
      </c>
      <c r="AA1110" s="331"/>
      <c r="AB1110" s="331"/>
      <c r="AC1110" s="331"/>
      <c r="AD1110" s="331"/>
      <c r="AE1110" s="331"/>
      <c r="AF1110" s="331"/>
      <c r="AG1110" s="331"/>
      <c r="AH1110" s="241">
        <f t="shared" ca="1" si="52"/>
        <v>46153</v>
      </c>
      <c r="AI1110" s="272"/>
      <c r="AJ1110" s="222"/>
      <c r="AK1110" s="222"/>
    </row>
    <row r="1111" spans="1:37" ht="27" hidden="1">
      <c r="A1111" s="111">
        <v>26</v>
      </c>
      <c r="B1111" s="112">
        <v>2</v>
      </c>
      <c r="C1111" s="113" t="s">
        <v>5046</v>
      </c>
      <c r="D1111" s="147" t="s">
        <v>5047</v>
      </c>
      <c r="E1111" s="550" t="s">
        <v>5048</v>
      </c>
      <c r="F1111" s="184" t="s">
        <v>1211</v>
      </c>
      <c r="G1111" s="184" t="s">
        <v>1018</v>
      </c>
      <c r="H1111" s="184">
        <v>13.73761403</v>
      </c>
      <c r="I1111" s="184">
        <v>100.5888033</v>
      </c>
      <c r="J1111" s="116" t="s">
        <v>890</v>
      </c>
      <c r="K1111" s="115" t="s">
        <v>1212</v>
      </c>
      <c r="L1111" s="117" t="s">
        <v>1213</v>
      </c>
      <c r="M1111" s="121">
        <v>55071</v>
      </c>
      <c r="N1111" s="121" t="s">
        <v>892</v>
      </c>
      <c r="O1111" s="121" t="s">
        <v>984</v>
      </c>
      <c r="P1111" s="117" t="s">
        <v>894</v>
      </c>
      <c r="Q1111" s="185" t="s">
        <v>972</v>
      </c>
      <c r="R1111" s="186" t="s">
        <v>972</v>
      </c>
      <c r="S1111" s="125" t="s">
        <v>2830</v>
      </c>
      <c r="T1111" s="222"/>
      <c r="U1111" s="222"/>
      <c r="V1111" s="222"/>
      <c r="W1111" s="230"/>
      <c r="X1111" s="331">
        <f t="shared" si="53"/>
        <v>0</v>
      </c>
      <c r="Y1111" s="222"/>
      <c r="Z1111" s="272">
        <f t="shared" si="51"/>
        <v>0</v>
      </c>
      <c r="AA1111" s="331"/>
      <c r="AB1111" s="331"/>
      <c r="AC1111" s="331"/>
      <c r="AD1111" s="331"/>
      <c r="AE1111" s="331"/>
      <c r="AF1111" s="331"/>
      <c r="AG1111" s="331"/>
      <c r="AH1111" s="241">
        <f t="shared" ca="1" si="52"/>
        <v>46153</v>
      </c>
      <c r="AI1111" s="272"/>
      <c r="AJ1111" s="222"/>
      <c r="AK1111" s="222"/>
    </row>
    <row r="1112" spans="1:37" ht="23" hidden="1">
      <c r="A1112" s="111">
        <v>35</v>
      </c>
      <c r="B1112" s="112" t="s">
        <v>1098</v>
      </c>
      <c r="C1112" s="113" t="s">
        <v>5049</v>
      </c>
      <c r="D1112" s="147" t="s">
        <v>5050</v>
      </c>
      <c r="E1112" s="475" t="s">
        <v>5051</v>
      </c>
      <c r="F1112" s="191" t="s">
        <v>1211</v>
      </c>
      <c r="G1112" s="487" t="s">
        <v>1018</v>
      </c>
      <c r="H1112" s="493">
        <v>13.725383000000001</v>
      </c>
      <c r="I1112" s="191">
        <v>100.584846</v>
      </c>
      <c r="J1112" s="116" t="s">
        <v>890</v>
      </c>
      <c r="K1112" s="115" t="s">
        <v>1212</v>
      </c>
      <c r="L1112" s="117" t="s">
        <v>1213</v>
      </c>
      <c r="M1112" s="117">
        <v>55047</v>
      </c>
      <c r="N1112" s="121" t="s">
        <v>892</v>
      </c>
      <c r="O1112" s="117" t="s">
        <v>984</v>
      </c>
      <c r="P1112" s="117"/>
      <c r="Q1112" s="502"/>
      <c r="R1112" s="190"/>
      <c r="S1112" s="125" t="s">
        <v>4749</v>
      </c>
      <c r="T1112" s="222"/>
      <c r="U1112" s="222"/>
      <c r="V1112" s="222"/>
      <c r="W1112" s="230"/>
      <c r="X1112" s="331">
        <f t="shared" si="53"/>
        <v>0</v>
      </c>
      <c r="Y1112" s="222"/>
      <c r="Z1112" s="272">
        <f t="shared" si="51"/>
        <v>0</v>
      </c>
      <c r="AA1112" s="331"/>
      <c r="AB1112" s="331"/>
      <c r="AC1112" s="331"/>
      <c r="AD1112" s="331"/>
      <c r="AE1112" s="331"/>
      <c r="AF1112" s="331"/>
      <c r="AG1112" s="331"/>
      <c r="AH1112" s="241">
        <f t="shared" ca="1" si="52"/>
        <v>46153</v>
      </c>
      <c r="AI1112" s="272"/>
      <c r="AJ1112" s="222"/>
      <c r="AK1112" s="222"/>
    </row>
    <row r="1113" spans="1:37" ht="23.25" hidden="1" customHeight="1">
      <c r="A1113" s="111">
        <v>123</v>
      </c>
      <c r="B1113" s="112" t="s">
        <v>1098</v>
      </c>
      <c r="C1113" s="113" t="s">
        <v>5052</v>
      </c>
      <c r="D1113" s="147" t="s">
        <v>5053</v>
      </c>
      <c r="E1113" s="476" t="s">
        <v>5054</v>
      </c>
      <c r="F1113" s="191" t="s">
        <v>1211</v>
      </c>
      <c r="G1113" s="487" t="s">
        <v>1018</v>
      </c>
      <c r="H1113" s="493">
        <v>13.733081</v>
      </c>
      <c r="I1113" s="191">
        <v>100.58713400000001</v>
      </c>
      <c r="J1113" s="116" t="s">
        <v>890</v>
      </c>
      <c r="K1113" s="115" t="s">
        <v>1212</v>
      </c>
      <c r="L1113" s="117" t="s">
        <v>1213</v>
      </c>
      <c r="M1113" s="117">
        <v>55063</v>
      </c>
      <c r="N1113" s="117" t="s">
        <v>892</v>
      </c>
      <c r="O1113" s="117" t="s">
        <v>984</v>
      </c>
      <c r="P1113" s="117"/>
      <c r="Q1113" s="502"/>
      <c r="R1113" s="190"/>
      <c r="S1113" s="125" t="s">
        <v>4749</v>
      </c>
      <c r="T1113" s="222"/>
      <c r="U1113" s="222"/>
      <c r="V1113" s="222"/>
      <c r="W1113" s="230"/>
      <c r="X1113" s="331">
        <f t="shared" si="53"/>
        <v>0</v>
      </c>
      <c r="Y1113" s="222"/>
      <c r="Z1113" s="272">
        <f t="shared" si="51"/>
        <v>0</v>
      </c>
      <c r="AA1113" s="331"/>
      <c r="AB1113" s="331"/>
      <c r="AC1113" s="331"/>
      <c r="AD1113" s="331"/>
      <c r="AE1113" s="331"/>
      <c r="AF1113" s="331"/>
      <c r="AG1113" s="331"/>
      <c r="AH1113" s="241">
        <f t="shared" ca="1" si="52"/>
        <v>46153</v>
      </c>
      <c r="AI1113" s="272"/>
      <c r="AJ1113" s="222"/>
      <c r="AK1113" s="222"/>
    </row>
    <row r="1114" spans="1:37" ht="23.25" hidden="1" customHeight="1">
      <c r="A1114" s="111">
        <v>462</v>
      </c>
      <c r="B1114" s="112" t="s">
        <v>1071</v>
      </c>
      <c r="C1114" s="113" t="s">
        <v>5055</v>
      </c>
      <c r="D1114" s="147" t="s">
        <v>5056</v>
      </c>
      <c r="E1114" s="183" t="s">
        <v>5057</v>
      </c>
      <c r="F1114" s="184" t="s">
        <v>1211</v>
      </c>
      <c r="G1114" s="184" t="s">
        <v>1018</v>
      </c>
      <c r="H1114" s="195">
        <v>13.73114</v>
      </c>
      <c r="I1114" s="187">
        <v>100.58651500000001</v>
      </c>
      <c r="J1114" s="116" t="s">
        <v>890</v>
      </c>
      <c r="K1114" s="115" t="s">
        <v>1212</v>
      </c>
      <c r="L1114" s="117" t="s">
        <v>1213</v>
      </c>
      <c r="M1114" s="121" t="s">
        <v>5058</v>
      </c>
      <c r="N1114" s="121" t="s">
        <v>892</v>
      </c>
      <c r="O1114" s="121"/>
      <c r="P1114" s="127" t="s">
        <v>1076</v>
      </c>
      <c r="Q1114" s="188" t="s">
        <v>972</v>
      </c>
      <c r="R1114" s="190" t="s">
        <v>972</v>
      </c>
      <c r="S1114" s="125" t="s">
        <v>4749</v>
      </c>
      <c r="T1114" s="222"/>
      <c r="U1114" s="222"/>
      <c r="V1114" s="222"/>
      <c r="W1114" s="230"/>
      <c r="X1114" s="331">
        <f t="shared" si="53"/>
        <v>0</v>
      </c>
      <c r="Y1114" s="222"/>
      <c r="Z1114" s="272">
        <f t="shared" si="51"/>
        <v>0</v>
      </c>
      <c r="AA1114" s="331"/>
      <c r="AB1114" s="331"/>
      <c r="AC1114" s="331"/>
      <c r="AD1114" s="331"/>
      <c r="AE1114" s="331"/>
      <c r="AF1114" s="331"/>
      <c r="AG1114" s="331"/>
      <c r="AH1114" s="241">
        <f t="shared" ca="1" si="52"/>
        <v>46153</v>
      </c>
      <c r="AI1114" s="272"/>
      <c r="AJ1114" s="222"/>
      <c r="AK1114" s="222"/>
    </row>
    <row r="1115" spans="1:37" ht="23.25" hidden="1" customHeight="1">
      <c r="A1115" s="111">
        <v>1040</v>
      </c>
      <c r="B1115" s="112">
        <v>5</v>
      </c>
      <c r="C1115" s="122" t="s">
        <v>5059</v>
      </c>
      <c r="D1115" s="147" t="s">
        <v>5060</v>
      </c>
      <c r="E1115" s="193" t="s">
        <v>5061</v>
      </c>
      <c r="F1115" s="184" t="s">
        <v>1211</v>
      </c>
      <c r="G1115" s="187" t="s">
        <v>1018</v>
      </c>
      <c r="H1115" s="187">
        <v>13.721275</v>
      </c>
      <c r="I1115" s="187">
        <v>100.584608</v>
      </c>
      <c r="J1115" s="116" t="s">
        <v>890</v>
      </c>
      <c r="K1115" s="115" t="s">
        <v>1212</v>
      </c>
      <c r="L1115" s="117" t="s">
        <v>1213</v>
      </c>
      <c r="M1115" s="121">
        <v>55067</v>
      </c>
      <c r="N1115" s="121" t="s">
        <v>892</v>
      </c>
      <c r="O1115" s="121" t="s">
        <v>984</v>
      </c>
      <c r="P1115" s="117" t="s">
        <v>952</v>
      </c>
      <c r="Q1115" s="185" t="s">
        <v>972</v>
      </c>
      <c r="R1115" s="186" t="s">
        <v>972</v>
      </c>
      <c r="S1115" s="125" t="s">
        <v>2830</v>
      </c>
      <c r="T1115" s="222"/>
      <c r="U1115" s="222"/>
      <c r="V1115" s="222"/>
      <c r="W1115" s="230"/>
      <c r="X1115" s="331">
        <f t="shared" si="53"/>
        <v>0</v>
      </c>
      <c r="Y1115" s="222"/>
      <c r="Z1115" s="272">
        <f t="shared" si="51"/>
        <v>0</v>
      </c>
      <c r="AA1115" s="331"/>
      <c r="AB1115" s="331"/>
      <c r="AC1115" s="331"/>
      <c r="AD1115" s="331"/>
      <c r="AE1115" s="331"/>
      <c r="AF1115" s="331"/>
      <c r="AG1115" s="331"/>
      <c r="AH1115" s="241">
        <f t="shared" ca="1" si="52"/>
        <v>46153</v>
      </c>
      <c r="AI1115" s="272"/>
      <c r="AJ1115" s="222"/>
      <c r="AK1115" s="222"/>
    </row>
    <row r="1116" spans="1:37" ht="23.25" hidden="1" customHeight="1">
      <c r="A1116" s="111">
        <v>291</v>
      </c>
      <c r="B1116" s="112">
        <v>6</v>
      </c>
      <c r="C1116" s="113" t="s">
        <v>2524</v>
      </c>
      <c r="D1116" s="147" t="s">
        <v>2525</v>
      </c>
      <c r="E1116" s="183" t="s">
        <v>2526</v>
      </c>
      <c r="F1116" s="184" t="s">
        <v>2527</v>
      </c>
      <c r="G1116" s="184" t="s">
        <v>1018</v>
      </c>
      <c r="H1116" s="187">
        <v>13.7358353</v>
      </c>
      <c r="I1116" s="187">
        <v>100.5980265</v>
      </c>
      <c r="J1116" s="116" t="s">
        <v>890</v>
      </c>
      <c r="K1116" s="117" t="s">
        <v>891</v>
      </c>
      <c r="L1116" s="117" t="s">
        <v>891</v>
      </c>
      <c r="M1116" s="117">
        <v>96822586</v>
      </c>
      <c r="N1116" s="117" t="s">
        <v>892</v>
      </c>
      <c r="O1116" s="121" t="s">
        <v>984</v>
      </c>
      <c r="P1116" s="117" t="s">
        <v>894</v>
      </c>
      <c r="Q1116" s="197">
        <v>80057501</v>
      </c>
      <c r="R1116" s="190"/>
      <c r="S1116" s="119" t="s">
        <v>895</v>
      </c>
      <c r="T1116" s="222"/>
      <c r="U1116" s="222"/>
      <c r="V1116" s="222"/>
      <c r="W1116" s="230"/>
      <c r="X1116" s="331">
        <f t="shared" si="53"/>
        <v>0</v>
      </c>
      <c r="Y1116" s="222"/>
      <c r="Z1116" s="272">
        <f t="shared" si="51"/>
        <v>0</v>
      </c>
      <c r="AA1116" s="331"/>
      <c r="AB1116" s="331"/>
      <c r="AC1116" s="331"/>
      <c r="AD1116" s="331"/>
      <c r="AE1116" s="331"/>
      <c r="AF1116" s="331"/>
      <c r="AG1116" s="331"/>
      <c r="AH1116" s="241">
        <f t="shared" ca="1" si="52"/>
        <v>46153</v>
      </c>
      <c r="AI1116" s="272"/>
      <c r="AJ1116" s="222"/>
      <c r="AK1116" s="222"/>
    </row>
    <row r="1117" spans="1:37" ht="23" hidden="1">
      <c r="A1117" s="111">
        <v>235</v>
      </c>
      <c r="B1117" s="112">
        <v>3</v>
      </c>
      <c r="C1117" s="122" t="s">
        <v>2723</v>
      </c>
      <c r="D1117" s="147" t="s">
        <v>2724</v>
      </c>
      <c r="E1117" s="193" t="s">
        <v>2725</v>
      </c>
      <c r="F1117" s="184" t="s">
        <v>2527</v>
      </c>
      <c r="G1117" s="184" t="s">
        <v>1018</v>
      </c>
      <c r="H1117" s="187">
        <v>13.7325605</v>
      </c>
      <c r="I1117" s="187">
        <v>100.59717120000001</v>
      </c>
      <c r="J1117" s="115" t="s">
        <v>2108</v>
      </c>
      <c r="K1117" s="117" t="s">
        <v>2109</v>
      </c>
      <c r="L1117" s="117" t="s">
        <v>2110</v>
      </c>
      <c r="M1117" s="121" t="s">
        <v>972</v>
      </c>
      <c r="N1117" s="121" t="s">
        <v>972</v>
      </c>
      <c r="O1117" s="121" t="s">
        <v>984</v>
      </c>
      <c r="P1117" s="117" t="s">
        <v>894</v>
      </c>
      <c r="Q1117" s="185" t="s">
        <v>972</v>
      </c>
      <c r="R1117" s="186" t="s">
        <v>972</v>
      </c>
      <c r="S1117" s="130" t="s">
        <v>972</v>
      </c>
      <c r="T1117" s="222"/>
      <c r="U1117" s="222"/>
      <c r="V1117" s="222"/>
      <c r="W1117" s="230"/>
      <c r="X1117" s="331">
        <f t="shared" si="53"/>
        <v>0</v>
      </c>
      <c r="Y1117" s="222"/>
      <c r="Z1117" s="272">
        <f t="shared" si="51"/>
        <v>0</v>
      </c>
      <c r="AA1117" s="331"/>
      <c r="AB1117" s="331"/>
      <c r="AC1117" s="331"/>
      <c r="AD1117" s="331"/>
      <c r="AE1117" s="331"/>
      <c r="AF1117" s="331"/>
      <c r="AG1117" s="331"/>
      <c r="AH1117" s="241">
        <f t="shared" ca="1" si="52"/>
        <v>46153</v>
      </c>
      <c r="AI1117" s="272"/>
      <c r="AJ1117" s="222"/>
      <c r="AK1117" s="222"/>
    </row>
    <row r="1118" spans="1:37" ht="23" hidden="1">
      <c r="A1118" s="111">
        <v>263</v>
      </c>
      <c r="B1118" s="112">
        <v>3</v>
      </c>
      <c r="C1118" s="122" t="s">
        <v>2802</v>
      </c>
      <c r="D1118" s="147" t="s">
        <v>2803</v>
      </c>
      <c r="E1118" s="193" t="s">
        <v>2804</v>
      </c>
      <c r="F1118" s="184" t="s">
        <v>2527</v>
      </c>
      <c r="G1118" s="184" t="s">
        <v>1018</v>
      </c>
      <c r="H1118" s="187">
        <v>13.717247</v>
      </c>
      <c r="I1118" s="187">
        <v>100.59558</v>
      </c>
      <c r="J1118" s="115" t="s">
        <v>2108</v>
      </c>
      <c r="K1118" s="117" t="s">
        <v>2109</v>
      </c>
      <c r="L1118" s="117" t="s">
        <v>2110</v>
      </c>
      <c r="M1118" s="121" t="s">
        <v>972</v>
      </c>
      <c r="N1118" s="121" t="s">
        <v>972</v>
      </c>
      <c r="O1118" s="121" t="s">
        <v>984</v>
      </c>
      <c r="P1118" s="117" t="s">
        <v>1876</v>
      </c>
      <c r="Q1118" s="302" t="s">
        <v>972</v>
      </c>
      <c r="R1118" s="303" t="s">
        <v>972</v>
      </c>
      <c r="S1118" s="304" t="s">
        <v>972</v>
      </c>
      <c r="T1118" s="222"/>
      <c r="U1118" s="222"/>
      <c r="V1118" s="222"/>
      <c r="W1118" s="230"/>
      <c r="X1118" s="331">
        <f t="shared" si="53"/>
        <v>0</v>
      </c>
      <c r="Y1118" s="222"/>
      <c r="Z1118" s="272">
        <f t="shared" si="51"/>
        <v>0</v>
      </c>
      <c r="AA1118" s="331"/>
      <c r="AB1118" s="331"/>
      <c r="AC1118" s="331"/>
      <c r="AD1118" s="331"/>
      <c r="AE1118" s="331"/>
      <c r="AF1118" s="331"/>
      <c r="AG1118" s="331"/>
      <c r="AH1118" s="241">
        <f t="shared" ca="1" si="52"/>
        <v>46153</v>
      </c>
      <c r="AI1118" s="272"/>
      <c r="AJ1118" s="222"/>
      <c r="AK1118" s="222"/>
    </row>
    <row r="1119" spans="1:37" ht="23.25" hidden="1" customHeight="1">
      <c r="A1119" s="111">
        <v>467</v>
      </c>
      <c r="B1119" s="112">
        <v>7</v>
      </c>
      <c r="C1119" s="113" t="s">
        <v>3269</v>
      </c>
      <c r="D1119" s="147" t="s">
        <v>3270</v>
      </c>
      <c r="E1119" s="114" t="s">
        <v>3271</v>
      </c>
      <c r="F1119" s="115" t="s">
        <v>2527</v>
      </c>
      <c r="G1119" s="115" t="s">
        <v>1018</v>
      </c>
      <c r="H1119" s="116">
        <v>13.731604000000001</v>
      </c>
      <c r="I1119" s="116">
        <v>100.596914</v>
      </c>
      <c r="J1119" s="115" t="s">
        <v>2108</v>
      </c>
      <c r="K1119" s="117" t="s">
        <v>2109</v>
      </c>
      <c r="L1119" s="117" t="s">
        <v>2110</v>
      </c>
      <c r="M1119" s="121" t="s">
        <v>972</v>
      </c>
      <c r="N1119" s="121" t="s">
        <v>972</v>
      </c>
      <c r="O1119" s="121" t="s">
        <v>984</v>
      </c>
      <c r="P1119" s="117" t="s">
        <v>1876</v>
      </c>
      <c r="Q1119" s="125" t="s">
        <v>972</v>
      </c>
      <c r="R1119" s="125" t="s">
        <v>972</v>
      </c>
      <c r="S1119" s="125" t="s">
        <v>972</v>
      </c>
      <c r="T1119" s="222"/>
      <c r="U1119" s="222"/>
      <c r="V1119" s="222"/>
      <c r="W1119" s="230"/>
      <c r="X1119" s="331">
        <f t="shared" si="53"/>
        <v>0</v>
      </c>
      <c r="Y1119" s="222"/>
      <c r="Z1119" s="272">
        <f t="shared" si="51"/>
        <v>0</v>
      </c>
      <c r="AA1119" s="331"/>
      <c r="AB1119" s="331"/>
      <c r="AC1119" s="331"/>
      <c r="AD1119" s="331"/>
      <c r="AE1119" s="331"/>
      <c r="AF1119" s="331"/>
      <c r="AG1119" s="331"/>
      <c r="AH1119" s="241">
        <f t="shared" ca="1" si="52"/>
        <v>46153</v>
      </c>
      <c r="AI1119" s="272"/>
      <c r="AJ1119" s="222"/>
      <c r="AK1119" s="222"/>
    </row>
    <row r="1120" spans="1:37" ht="23.25" hidden="1" customHeight="1">
      <c r="A1120" s="111">
        <v>1005</v>
      </c>
      <c r="B1120" s="112" t="s">
        <v>1071</v>
      </c>
      <c r="C1120" s="122" t="s">
        <v>1942</v>
      </c>
      <c r="D1120" s="557" t="s">
        <v>1943</v>
      </c>
      <c r="E1120" s="142" t="s">
        <v>1944</v>
      </c>
      <c r="F1120" s="143" t="s">
        <v>1945</v>
      </c>
      <c r="G1120" s="143" t="s">
        <v>1018</v>
      </c>
      <c r="H1120" s="144">
        <v>13.731247</v>
      </c>
      <c r="I1120" s="144">
        <v>100.568692</v>
      </c>
      <c r="J1120" s="116" t="s">
        <v>890</v>
      </c>
      <c r="K1120" s="121" t="s">
        <v>891</v>
      </c>
      <c r="L1120" s="121" t="s">
        <v>891</v>
      </c>
      <c r="M1120" s="121">
        <v>96894793</v>
      </c>
      <c r="N1120" s="121" t="s">
        <v>892</v>
      </c>
      <c r="O1120" s="121"/>
      <c r="P1120" s="127" t="s">
        <v>1076</v>
      </c>
      <c r="Q1120" s="129" t="s">
        <v>972</v>
      </c>
      <c r="R1120" s="119" t="s">
        <v>895</v>
      </c>
      <c r="S1120" s="119" t="s">
        <v>895</v>
      </c>
      <c r="T1120" s="222"/>
      <c r="U1120" s="222"/>
      <c r="V1120" s="222"/>
      <c r="W1120" s="230"/>
      <c r="X1120" s="331">
        <f t="shared" si="53"/>
        <v>0</v>
      </c>
      <c r="Y1120" s="222"/>
      <c r="Z1120" s="272">
        <f t="shared" si="51"/>
        <v>0</v>
      </c>
      <c r="AA1120" s="331"/>
      <c r="AB1120" s="331"/>
      <c r="AC1120" s="331"/>
      <c r="AD1120" s="331"/>
      <c r="AE1120" s="331"/>
      <c r="AF1120" s="331"/>
      <c r="AG1120" s="331"/>
      <c r="AH1120" s="241">
        <f t="shared" ca="1" si="52"/>
        <v>46153</v>
      </c>
      <c r="AI1120" s="272"/>
      <c r="AJ1120" s="222"/>
      <c r="AK1120" s="222"/>
    </row>
    <row r="1121" spans="1:37" ht="23.25" hidden="1" customHeight="1">
      <c r="A1121" s="111">
        <v>1006</v>
      </c>
      <c r="B1121" s="112" t="s">
        <v>1071</v>
      </c>
      <c r="C1121" s="122" t="s">
        <v>3791</v>
      </c>
      <c r="D1121" s="147" t="s">
        <v>3792</v>
      </c>
      <c r="E1121" s="171" t="s">
        <v>3793</v>
      </c>
      <c r="F1121" s="143" t="s">
        <v>1945</v>
      </c>
      <c r="G1121" s="143" t="s">
        <v>1018</v>
      </c>
      <c r="H1121" s="172">
        <v>13.737868000000001</v>
      </c>
      <c r="I1121" s="172">
        <v>100.559388</v>
      </c>
      <c r="J1121" s="116" t="s">
        <v>890</v>
      </c>
      <c r="K1121" s="115" t="s">
        <v>1212</v>
      </c>
      <c r="L1121" s="117" t="s">
        <v>1213</v>
      </c>
      <c r="M1121" s="121">
        <v>33016572</v>
      </c>
      <c r="N1121" s="121" t="s">
        <v>2566</v>
      </c>
      <c r="O1121" s="121" t="s">
        <v>984</v>
      </c>
      <c r="P1121" s="127" t="s">
        <v>1076</v>
      </c>
      <c r="Q1121" s="118">
        <v>80057501</v>
      </c>
      <c r="R1121" s="119" t="s">
        <v>972</v>
      </c>
      <c r="S1121" s="125" t="s">
        <v>895</v>
      </c>
      <c r="T1121" s="222"/>
      <c r="U1121" s="222"/>
      <c r="V1121" s="222"/>
      <c r="W1121" s="230"/>
      <c r="X1121" s="331">
        <f t="shared" si="53"/>
        <v>0</v>
      </c>
      <c r="Y1121" s="222"/>
      <c r="Z1121" s="272">
        <f t="shared" si="51"/>
        <v>0</v>
      </c>
      <c r="AA1121" s="331"/>
      <c r="AB1121" s="331"/>
      <c r="AC1121" s="331"/>
      <c r="AD1121" s="331"/>
      <c r="AE1121" s="331"/>
      <c r="AF1121" s="331"/>
      <c r="AG1121" s="331"/>
      <c r="AH1121" s="241">
        <f t="shared" ca="1" si="52"/>
        <v>46153</v>
      </c>
      <c r="AI1121" s="272"/>
      <c r="AJ1121" s="222"/>
      <c r="AK1121" s="222"/>
    </row>
    <row r="1122" spans="1:37" ht="23" hidden="1">
      <c r="A1122" s="111">
        <v>177</v>
      </c>
      <c r="B1122" s="112">
        <v>2</v>
      </c>
      <c r="C1122" s="113" t="s">
        <v>2567</v>
      </c>
      <c r="D1122" s="147" t="s">
        <v>2568</v>
      </c>
      <c r="E1122" s="114" t="s">
        <v>2569</v>
      </c>
      <c r="F1122" s="115" t="s">
        <v>2570</v>
      </c>
      <c r="G1122" s="115" t="s">
        <v>1000</v>
      </c>
      <c r="H1122" s="116">
        <v>13.775384000000001</v>
      </c>
      <c r="I1122" s="116">
        <v>100.52318</v>
      </c>
      <c r="J1122" s="115" t="s">
        <v>2108</v>
      </c>
      <c r="K1122" s="115" t="s">
        <v>2136</v>
      </c>
      <c r="L1122" s="117" t="s">
        <v>2571</v>
      </c>
      <c r="M1122" s="121" t="s">
        <v>972</v>
      </c>
      <c r="N1122" s="121" t="s">
        <v>972</v>
      </c>
      <c r="O1122" s="121" t="s">
        <v>958</v>
      </c>
      <c r="P1122" s="117" t="s">
        <v>1876</v>
      </c>
      <c r="Q1122" s="125" t="s">
        <v>972</v>
      </c>
      <c r="R1122" s="125" t="s">
        <v>972</v>
      </c>
      <c r="S1122" s="125" t="s">
        <v>972</v>
      </c>
      <c r="T1122" s="222"/>
      <c r="U1122" s="222"/>
      <c r="V1122" s="222"/>
      <c r="W1122" s="230"/>
      <c r="X1122" s="331">
        <f t="shared" si="53"/>
        <v>0</v>
      </c>
      <c r="Y1122" s="222"/>
      <c r="Z1122" s="272">
        <f t="shared" si="51"/>
        <v>0</v>
      </c>
      <c r="AA1122" s="331"/>
      <c r="AB1122" s="331"/>
      <c r="AC1122" s="331"/>
      <c r="AD1122" s="331"/>
      <c r="AE1122" s="331"/>
      <c r="AF1122" s="331"/>
      <c r="AG1122" s="331"/>
      <c r="AH1122" s="241">
        <f t="shared" ca="1" si="52"/>
        <v>46153</v>
      </c>
      <c r="AI1122" s="272"/>
      <c r="AJ1122" s="222"/>
      <c r="AK1122" s="222"/>
    </row>
    <row r="1123" spans="1:37" ht="23" hidden="1">
      <c r="A1123" s="111">
        <v>713</v>
      </c>
      <c r="B1123" s="112">
        <v>7</v>
      </c>
      <c r="C1123" s="113" t="s">
        <v>3882</v>
      </c>
      <c r="D1123" s="147" t="s">
        <v>3883</v>
      </c>
      <c r="E1123" s="114" t="s">
        <v>3884</v>
      </c>
      <c r="F1123" s="115" t="s">
        <v>3885</v>
      </c>
      <c r="G1123" s="115" t="s">
        <v>968</v>
      </c>
      <c r="H1123" s="116">
        <v>13.789422</v>
      </c>
      <c r="I1123" s="116">
        <v>100.564887</v>
      </c>
      <c r="J1123" s="115" t="s">
        <v>2108</v>
      </c>
      <c r="K1123" s="117" t="s">
        <v>2109</v>
      </c>
      <c r="L1123" s="117" t="s">
        <v>2110</v>
      </c>
      <c r="M1123" s="121" t="s">
        <v>972</v>
      </c>
      <c r="N1123" s="121" t="s">
        <v>972</v>
      </c>
      <c r="O1123" s="121" t="s">
        <v>958</v>
      </c>
      <c r="P1123" s="117" t="s">
        <v>1876</v>
      </c>
      <c r="Q1123" s="125" t="s">
        <v>972</v>
      </c>
      <c r="R1123" s="125" t="s">
        <v>972</v>
      </c>
      <c r="S1123" s="125" t="s">
        <v>972</v>
      </c>
      <c r="T1123" s="222"/>
      <c r="U1123" s="222"/>
      <c r="V1123" s="222"/>
      <c r="W1123" s="230"/>
      <c r="X1123" s="331">
        <f t="shared" si="53"/>
        <v>0</v>
      </c>
      <c r="Y1123" s="222"/>
      <c r="Z1123" s="272">
        <f t="shared" si="51"/>
        <v>0</v>
      </c>
      <c r="AA1123" s="331"/>
      <c r="AB1123" s="331"/>
      <c r="AC1123" s="331"/>
      <c r="AD1123" s="331"/>
      <c r="AE1123" s="331"/>
      <c r="AF1123" s="331"/>
      <c r="AG1123" s="331"/>
      <c r="AH1123" s="241">
        <f t="shared" ca="1" si="52"/>
        <v>46153</v>
      </c>
      <c r="AI1123" s="272"/>
      <c r="AJ1123" s="222"/>
      <c r="AK1123" s="222"/>
    </row>
    <row r="1124" spans="1:37" ht="23" hidden="1">
      <c r="A1124" s="111">
        <v>733</v>
      </c>
      <c r="B1124" s="112" t="s">
        <v>919</v>
      </c>
      <c r="C1124" s="113" t="s">
        <v>3942</v>
      </c>
      <c r="D1124" s="147" t="s">
        <v>3943</v>
      </c>
      <c r="E1124" s="114" t="s">
        <v>3944</v>
      </c>
      <c r="F1124" s="115" t="s">
        <v>3885</v>
      </c>
      <c r="G1124" s="115" t="s">
        <v>968</v>
      </c>
      <c r="H1124" s="116">
        <v>13.789562</v>
      </c>
      <c r="I1124" s="116">
        <v>100.567564</v>
      </c>
      <c r="J1124" s="115" t="s">
        <v>2108</v>
      </c>
      <c r="K1124" s="117" t="s">
        <v>2109</v>
      </c>
      <c r="L1124" s="117" t="s">
        <v>2110</v>
      </c>
      <c r="M1124" s="121" t="s">
        <v>972</v>
      </c>
      <c r="N1124" s="121" t="s">
        <v>972</v>
      </c>
      <c r="O1124" s="121" t="s">
        <v>958</v>
      </c>
      <c r="P1124" s="117" t="s">
        <v>1876</v>
      </c>
      <c r="Q1124" s="125" t="s">
        <v>972</v>
      </c>
      <c r="R1124" s="125" t="s">
        <v>972</v>
      </c>
      <c r="S1124" s="125" t="s">
        <v>972</v>
      </c>
      <c r="T1124" s="222"/>
      <c r="U1124" s="222"/>
      <c r="V1124" s="222"/>
      <c r="W1124" s="230"/>
      <c r="X1124" s="331">
        <f t="shared" si="53"/>
        <v>0</v>
      </c>
      <c r="Y1124" s="222"/>
      <c r="Z1124" s="272">
        <f t="shared" si="51"/>
        <v>0</v>
      </c>
      <c r="AA1124" s="331"/>
      <c r="AB1124" s="331"/>
      <c r="AC1124" s="331"/>
      <c r="AD1124" s="331"/>
      <c r="AE1124" s="331"/>
      <c r="AF1124" s="331"/>
      <c r="AG1124" s="331"/>
      <c r="AH1124" s="241">
        <f t="shared" ca="1" si="52"/>
        <v>46153</v>
      </c>
      <c r="AI1124" s="272"/>
      <c r="AJ1124" s="222"/>
      <c r="AK1124" s="222"/>
    </row>
    <row r="1125" spans="1:37" ht="23" hidden="1">
      <c r="A1125" s="111">
        <v>740</v>
      </c>
      <c r="B1125" s="112">
        <v>16</v>
      </c>
      <c r="C1125" s="122" t="s">
        <v>3963</v>
      </c>
      <c r="D1125" s="147" t="s">
        <v>3964</v>
      </c>
      <c r="E1125" s="123" t="s">
        <v>3965</v>
      </c>
      <c r="F1125" s="116" t="s">
        <v>3885</v>
      </c>
      <c r="G1125" s="116" t="s">
        <v>968</v>
      </c>
      <c r="H1125" s="116">
        <v>13.789618900000001</v>
      </c>
      <c r="I1125" s="116">
        <v>100.5685879</v>
      </c>
      <c r="J1125" s="115" t="s">
        <v>2108</v>
      </c>
      <c r="K1125" s="117" t="s">
        <v>2109</v>
      </c>
      <c r="L1125" s="117" t="s">
        <v>2110</v>
      </c>
      <c r="M1125" s="121" t="s">
        <v>972</v>
      </c>
      <c r="N1125" s="121" t="s">
        <v>972</v>
      </c>
      <c r="O1125" s="121" t="s">
        <v>958</v>
      </c>
      <c r="P1125" s="117" t="s">
        <v>952</v>
      </c>
      <c r="Q1125" s="125" t="s">
        <v>972</v>
      </c>
      <c r="R1125" s="125" t="s">
        <v>972</v>
      </c>
      <c r="S1125" s="125" t="s">
        <v>972</v>
      </c>
      <c r="T1125" s="222"/>
      <c r="U1125" s="222"/>
      <c r="V1125" s="222"/>
      <c r="W1125" s="230"/>
      <c r="X1125" s="331">
        <f t="shared" si="53"/>
        <v>0</v>
      </c>
      <c r="Y1125" s="222"/>
      <c r="Z1125" s="272">
        <f t="shared" si="51"/>
        <v>0</v>
      </c>
      <c r="AA1125" s="331"/>
      <c r="AB1125" s="331"/>
      <c r="AC1125" s="331"/>
      <c r="AD1125" s="331"/>
      <c r="AE1125" s="331"/>
      <c r="AF1125" s="331"/>
      <c r="AG1125" s="331"/>
      <c r="AH1125" s="241">
        <f t="shared" ca="1" si="52"/>
        <v>46153</v>
      </c>
      <c r="AI1125" s="272"/>
      <c r="AJ1125" s="222"/>
      <c r="AK1125" s="222"/>
    </row>
    <row r="1126" spans="1:37" ht="23.25" hidden="1" customHeight="1">
      <c r="A1126" s="111">
        <v>838</v>
      </c>
      <c r="B1126" s="112">
        <v>6</v>
      </c>
      <c r="C1126" s="113" t="s">
        <v>4178</v>
      </c>
      <c r="D1126" s="147" t="s">
        <v>4179</v>
      </c>
      <c r="E1126" s="114" t="s">
        <v>4180</v>
      </c>
      <c r="F1126" s="115" t="s">
        <v>3885</v>
      </c>
      <c r="G1126" s="115" t="s">
        <v>983</v>
      </c>
      <c r="H1126" s="116">
        <v>13.7890385</v>
      </c>
      <c r="I1126" s="116">
        <v>100.55601</v>
      </c>
      <c r="J1126" s="115" t="s">
        <v>2108</v>
      </c>
      <c r="K1126" s="117" t="s">
        <v>2109</v>
      </c>
      <c r="L1126" s="117" t="s">
        <v>2110</v>
      </c>
      <c r="M1126" s="121" t="s">
        <v>972</v>
      </c>
      <c r="N1126" s="121" t="s">
        <v>972</v>
      </c>
      <c r="O1126" s="121" t="s">
        <v>958</v>
      </c>
      <c r="P1126" s="117" t="s">
        <v>1876</v>
      </c>
      <c r="Q1126" s="125" t="s">
        <v>972</v>
      </c>
      <c r="R1126" s="125" t="s">
        <v>972</v>
      </c>
      <c r="S1126" s="125" t="s">
        <v>972</v>
      </c>
      <c r="T1126" s="316" t="s">
        <v>5178</v>
      </c>
      <c r="U1126" s="241" t="s">
        <v>5192</v>
      </c>
      <c r="V1126" s="241">
        <v>45146</v>
      </c>
      <c r="W1126" s="230"/>
      <c r="X1126" s="331">
        <f t="shared" si="53"/>
        <v>45146</v>
      </c>
      <c r="Y1126" s="222"/>
      <c r="Z1126" s="272" t="e">
        <f t="shared" si="51"/>
        <v>#NUM!</v>
      </c>
      <c r="AA1126" s="331"/>
      <c r="AB1126" s="331"/>
      <c r="AC1126" s="331"/>
      <c r="AD1126" s="331"/>
      <c r="AE1126" s="331"/>
      <c r="AF1126" s="331"/>
      <c r="AG1126" s="331"/>
      <c r="AH1126" s="241">
        <f t="shared" ca="1" si="52"/>
        <v>46153</v>
      </c>
      <c r="AI1126" s="272"/>
      <c r="AJ1126" s="222"/>
      <c r="AK1126" s="222"/>
    </row>
    <row r="1127" spans="1:37" ht="23" hidden="1">
      <c r="A1127" s="111">
        <v>845</v>
      </c>
      <c r="B1127" s="112">
        <v>4</v>
      </c>
      <c r="C1127" s="113" t="s">
        <v>4193</v>
      </c>
      <c r="D1127" s="147" t="s">
        <v>4194</v>
      </c>
      <c r="E1127" s="114" t="s">
        <v>4195</v>
      </c>
      <c r="F1127" s="115" t="s">
        <v>3885</v>
      </c>
      <c r="G1127" s="115" t="s">
        <v>983</v>
      </c>
      <c r="H1127" s="116">
        <v>13.789070000000001</v>
      </c>
      <c r="I1127" s="116">
        <v>100.556921</v>
      </c>
      <c r="J1127" s="115" t="s">
        <v>2108</v>
      </c>
      <c r="K1127" s="117" t="s">
        <v>2109</v>
      </c>
      <c r="L1127" s="117" t="s">
        <v>2110</v>
      </c>
      <c r="M1127" s="121" t="s">
        <v>972</v>
      </c>
      <c r="N1127" s="121" t="s">
        <v>972</v>
      </c>
      <c r="O1127" s="121" t="s">
        <v>958</v>
      </c>
      <c r="P1127" s="117" t="s">
        <v>1876</v>
      </c>
      <c r="Q1127" s="125" t="s">
        <v>972</v>
      </c>
      <c r="R1127" s="125" t="s">
        <v>972</v>
      </c>
      <c r="S1127" s="125" t="s">
        <v>972</v>
      </c>
      <c r="T1127" s="222"/>
      <c r="U1127" s="222"/>
      <c r="V1127" s="317">
        <v>45103</v>
      </c>
      <c r="W1127" s="230"/>
      <c r="X1127" s="331">
        <f t="shared" si="53"/>
        <v>45103</v>
      </c>
      <c r="Y1127" s="222"/>
      <c r="Z1127" s="272" t="e">
        <f t="shared" si="51"/>
        <v>#NUM!</v>
      </c>
      <c r="AA1127" s="331"/>
      <c r="AB1127" s="331"/>
      <c r="AC1127" s="331"/>
      <c r="AD1127" s="331"/>
      <c r="AE1127" s="331"/>
      <c r="AF1127" s="331"/>
      <c r="AG1127" s="331"/>
      <c r="AH1127" s="241">
        <f t="shared" ca="1" si="52"/>
        <v>46153</v>
      </c>
      <c r="AI1127" s="272"/>
      <c r="AJ1127" s="222"/>
      <c r="AK1127" s="222"/>
    </row>
    <row r="1128" spans="1:37" ht="23" hidden="1">
      <c r="A1128" s="111">
        <v>862</v>
      </c>
      <c r="B1128" s="112">
        <v>12</v>
      </c>
      <c r="C1128" s="113" t="s">
        <v>4235</v>
      </c>
      <c r="D1128" s="147" t="s">
        <v>4236</v>
      </c>
      <c r="E1128" s="114" t="s">
        <v>4237</v>
      </c>
      <c r="F1128" s="115" t="s">
        <v>3885</v>
      </c>
      <c r="G1128" s="115" t="s">
        <v>968</v>
      </c>
      <c r="H1128" s="116">
        <v>13.789613299999999</v>
      </c>
      <c r="I1128" s="116">
        <v>100.56849769999999</v>
      </c>
      <c r="J1128" s="115" t="s">
        <v>2108</v>
      </c>
      <c r="K1128" s="117" t="s">
        <v>2109</v>
      </c>
      <c r="L1128" s="117" t="s">
        <v>2110</v>
      </c>
      <c r="M1128" s="121" t="s">
        <v>972</v>
      </c>
      <c r="N1128" s="121" t="s">
        <v>972</v>
      </c>
      <c r="O1128" s="121" t="s">
        <v>958</v>
      </c>
      <c r="P1128" s="117" t="s">
        <v>952</v>
      </c>
      <c r="Q1128" s="125" t="s">
        <v>972</v>
      </c>
      <c r="R1128" s="125" t="s">
        <v>972</v>
      </c>
      <c r="S1128" s="125" t="s">
        <v>972</v>
      </c>
      <c r="T1128" s="222"/>
      <c r="U1128" s="222"/>
      <c r="V1128" s="222"/>
      <c r="W1128" s="230"/>
      <c r="X1128" s="331">
        <f t="shared" si="53"/>
        <v>0</v>
      </c>
      <c r="Y1128" s="222"/>
      <c r="Z1128" s="272">
        <f t="shared" si="51"/>
        <v>0</v>
      </c>
      <c r="AA1128" s="331"/>
      <c r="AB1128" s="331"/>
      <c r="AC1128" s="331"/>
      <c r="AD1128" s="331"/>
      <c r="AE1128" s="331"/>
      <c r="AF1128" s="331"/>
      <c r="AG1128" s="331"/>
      <c r="AH1128" s="241">
        <f t="shared" ca="1" si="52"/>
        <v>46153</v>
      </c>
      <c r="AI1128" s="272"/>
      <c r="AJ1128" s="222"/>
      <c r="AK1128" s="222"/>
    </row>
    <row r="1129" spans="1:37" ht="23" hidden="1">
      <c r="A1129" s="111">
        <v>900</v>
      </c>
      <c r="B1129" s="112" t="s">
        <v>1114</v>
      </c>
      <c r="C1129" s="113" t="s">
        <v>4350</v>
      </c>
      <c r="D1129" s="147" t="s">
        <v>4351</v>
      </c>
      <c r="E1129" s="114" t="s">
        <v>4352</v>
      </c>
      <c r="F1129" s="115" t="s">
        <v>3885</v>
      </c>
      <c r="G1129" s="115" t="s">
        <v>983</v>
      </c>
      <c r="H1129" s="116">
        <v>13.7889301</v>
      </c>
      <c r="I1129" s="116">
        <v>100.5516394</v>
      </c>
      <c r="J1129" s="115" t="s">
        <v>2108</v>
      </c>
      <c r="K1129" s="117" t="s">
        <v>2109</v>
      </c>
      <c r="L1129" s="117" t="s">
        <v>2110</v>
      </c>
      <c r="M1129" s="121" t="s">
        <v>972</v>
      </c>
      <c r="N1129" s="121" t="s">
        <v>972</v>
      </c>
      <c r="O1129" s="121" t="s">
        <v>958</v>
      </c>
      <c r="P1129" s="117" t="s">
        <v>1876</v>
      </c>
      <c r="Q1129" s="125" t="s">
        <v>972</v>
      </c>
      <c r="R1129" s="125" t="s">
        <v>972</v>
      </c>
      <c r="S1129" s="125" t="s">
        <v>972</v>
      </c>
      <c r="T1129" s="316" t="s">
        <v>5212</v>
      </c>
      <c r="U1129" s="305" t="s">
        <v>5117</v>
      </c>
      <c r="V1129" s="287">
        <v>45113</v>
      </c>
      <c r="W1129" s="552">
        <v>4</v>
      </c>
      <c r="X1129" s="331">
        <f t="shared" si="53"/>
        <v>45117</v>
      </c>
      <c r="Y1129" s="316"/>
      <c r="Z1129" s="318" t="e">
        <f t="shared" si="51"/>
        <v>#NUM!</v>
      </c>
      <c r="AA1129" s="331"/>
      <c r="AB1129" s="331"/>
      <c r="AC1129" s="331"/>
      <c r="AD1129" s="331"/>
      <c r="AE1129" s="331"/>
      <c r="AF1129" s="331"/>
      <c r="AG1129" s="331"/>
      <c r="AH1129" s="317">
        <f t="shared" ca="1" si="52"/>
        <v>46153</v>
      </c>
      <c r="AI1129" s="318"/>
      <c r="AJ1129" s="316" t="s">
        <v>5275</v>
      </c>
      <c r="AK1129" s="316" t="s">
        <v>5149</v>
      </c>
    </row>
    <row r="1130" spans="1:37" ht="23" hidden="1">
      <c r="A1130" s="111">
        <v>676</v>
      </c>
      <c r="B1130" s="112">
        <v>7</v>
      </c>
      <c r="C1130" s="113" t="s">
        <v>5062</v>
      </c>
      <c r="D1130" s="147" t="s">
        <v>5063</v>
      </c>
      <c r="E1130" s="114" t="s">
        <v>5064</v>
      </c>
      <c r="F1130" s="115" t="s">
        <v>3885</v>
      </c>
      <c r="G1130" s="115" t="s">
        <v>968</v>
      </c>
      <c r="H1130" s="116">
        <v>13.789235</v>
      </c>
      <c r="I1130" s="116">
        <v>100.56074099999999</v>
      </c>
      <c r="J1130" s="116" t="s">
        <v>890</v>
      </c>
      <c r="K1130" s="118" t="s">
        <v>4723</v>
      </c>
      <c r="L1130" s="118" t="s">
        <v>4723</v>
      </c>
      <c r="M1130" s="117">
        <v>95779454</v>
      </c>
      <c r="N1130" s="121" t="s">
        <v>892</v>
      </c>
      <c r="O1130" s="121" t="s">
        <v>958</v>
      </c>
      <c r="P1130" s="118" t="s">
        <v>952</v>
      </c>
      <c r="Q1130" s="125" t="s">
        <v>972</v>
      </c>
      <c r="R1130" s="125" t="s">
        <v>972</v>
      </c>
      <c r="S1130" s="125" t="s">
        <v>4749</v>
      </c>
      <c r="T1130" s="222"/>
      <c r="U1130" s="222"/>
      <c r="V1130" s="222"/>
      <c r="W1130" s="230"/>
      <c r="X1130" s="331">
        <f t="shared" si="53"/>
        <v>0</v>
      </c>
      <c r="Y1130" s="222"/>
      <c r="Z1130" s="272">
        <f t="shared" si="51"/>
        <v>0</v>
      </c>
      <c r="AA1130" s="331"/>
      <c r="AB1130" s="331"/>
      <c r="AC1130" s="331"/>
      <c r="AD1130" s="331"/>
      <c r="AE1130" s="331"/>
      <c r="AF1130" s="331"/>
      <c r="AG1130" s="331"/>
      <c r="AH1130" s="241">
        <f t="shared" ca="1" si="52"/>
        <v>46153</v>
      </c>
      <c r="AI1130" s="272"/>
      <c r="AJ1130" s="222"/>
      <c r="AK1130" s="222"/>
    </row>
    <row r="1131" spans="1:37" ht="23" hidden="1">
      <c r="A1131" s="111">
        <v>151</v>
      </c>
      <c r="B1131" s="112">
        <v>8</v>
      </c>
      <c r="C1131" s="113" t="s">
        <v>2499</v>
      </c>
      <c r="D1131" s="147" t="s">
        <v>2500</v>
      </c>
      <c r="E1131" s="114" t="s">
        <v>2501</v>
      </c>
      <c r="F1131" s="115" t="s">
        <v>2502</v>
      </c>
      <c r="G1131" s="115" t="s">
        <v>1542</v>
      </c>
      <c r="H1131" s="116">
        <v>13.719284</v>
      </c>
      <c r="I1131" s="131">
        <v>100.5198</v>
      </c>
      <c r="J1131" s="116" t="s">
        <v>2097</v>
      </c>
      <c r="K1131" s="116" t="s">
        <v>2097</v>
      </c>
      <c r="L1131" s="117" t="s">
        <v>2503</v>
      </c>
      <c r="M1131" s="121" t="s">
        <v>972</v>
      </c>
      <c r="N1131" s="121" t="s">
        <v>892</v>
      </c>
      <c r="O1131" s="121" t="s">
        <v>984</v>
      </c>
      <c r="P1131" s="117" t="s">
        <v>894</v>
      </c>
      <c r="Q1131" s="125" t="s">
        <v>972</v>
      </c>
      <c r="R1131" s="125" t="s">
        <v>972</v>
      </c>
      <c r="S1131" s="125" t="s">
        <v>972</v>
      </c>
      <c r="T1131" s="222"/>
      <c r="U1131" s="222"/>
      <c r="V1131" s="222"/>
      <c r="W1131" s="230"/>
      <c r="X1131" s="331">
        <f t="shared" si="53"/>
        <v>0</v>
      </c>
      <c r="Y1131" s="222"/>
      <c r="Z1131" s="272">
        <f t="shared" si="51"/>
        <v>0</v>
      </c>
      <c r="AA1131" s="331"/>
      <c r="AB1131" s="331"/>
      <c r="AC1131" s="331"/>
      <c r="AD1131" s="331"/>
      <c r="AE1131" s="331"/>
      <c r="AF1131" s="331"/>
      <c r="AG1131" s="331"/>
      <c r="AH1131" s="241">
        <f t="shared" ca="1" si="52"/>
        <v>46153</v>
      </c>
      <c r="AI1131" s="272"/>
      <c r="AJ1131" s="222"/>
      <c r="AK1131" s="222"/>
    </row>
    <row r="1132" spans="1:37" ht="23" hidden="1">
      <c r="A1132" s="111">
        <v>626</v>
      </c>
      <c r="B1132" s="112">
        <v>6</v>
      </c>
      <c r="C1132" s="113" t="s">
        <v>1576</v>
      </c>
      <c r="D1132" s="147" t="s">
        <v>1577</v>
      </c>
      <c r="E1132" s="114" t="s">
        <v>1578</v>
      </c>
      <c r="F1132" s="115" t="s">
        <v>1579</v>
      </c>
      <c r="G1132" s="115" t="s">
        <v>1580</v>
      </c>
      <c r="H1132" s="117">
        <v>13.7471496</v>
      </c>
      <c r="I1132" s="117">
        <v>100.5095334</v>
      </c>
      <c r="J1132" s="116" t="s">
        <v>890</v>
      </c>
      <c r="K1132" s="117" t="s">
        <v>891</v>
      </c>
      <c r="L1132" s="117" t="s">
        <v>891</v>
      </c>
      <c r="M1132" s="117">
        <v>96898195</v>
      </c>
      <c r="N1132" s="117" t="s">
        <v>892</v>
      </c>
      <c r="O1132" s="117" t="s">
        <v>1581</v>
      </c>
      <c r="P1132" s="117" t="s">
        <v>894</v>
      </c>
      <c r="Q1132" s="118">
        <v>80057501</v>
      </c>
      <c r="R1132" s="119" t="s">
        <v>895</v>
      </c>
      <c r="S1132" s="119" t="s">
        <v>895</v>
      </c>
      <c r="T1132" s="222"/>
      <c r="U1132" s="222"/>
      <c r="V1132" s="222"/>
      <c r="W1132" s="230"/>
      <c r="X1132" s="331">
        <f t="shared" si="53"/>
        <v>0</v>
      </c>
      <c r="Y1132" s="222"/>
      <c r="Z1132" s="272">
        <f t="shared" si="51"/>
        <v>0</v>
      </c>
      <c r="AA1132" s="331"/>
      <c r="AB1132" s="331"/>
      <c r="AC1132" s="331"/>
      <c r="AD1132" s="331"/>
      <c r="AE1132" s="331"/>
      <c r="AF1132" s="331"/>
      <c r="AG1132" s="331"/>
      <c r="AH1132" s="241">
        <f t="shared" ca="1" si="52"/>
        <v>46153</v>
      </c>
      <c r="AI1132" s="272"/>
      <c r="AJ1132" s="222"/>
      <c r="AK1132" s="222"/>
    </row>
    <row r="1133" spans="1:37" ht="23.25" hidden="1" customHeight="1">
      <c r="A1133" s="111">
        <v>362</v>
      </c>
      <c r="B1133" s="112" t="s">
        <v>1071</v>
      </c>
      <c r="C1133" s="122" t="s">
        <v>1299</v>
      </c>
      <c r="D1133" s="147" t="s">
        <v>1300</v>
      </c>
      <c r="E1133" s="132" t="s">
        <v>1301</v>
      </c>
      <c r="F1133" s="116" t="s">
        <v>1302</v>
      </c>
      <c r="G1133" s="116" t="s">
        <v>990</v>
      </c>
      <c r="H1133" s="117">
        <v>13.738885700000001</v>
      </c>
      <c r="I1133" s="117">
        <v>100.54299829999999</v>
      </c>
      <c r="J1133" s="121" t="s">
        <v>890</v>
      </c>
      <c r="K1133" s="121" t="s">
        <v>891</v>
      </c>
      <c r="L1133" s="121" t="s">
        <v>891</v>
      </c>
      <c r="M1133" s="124">
        <v>96890809</v>
      </c>
      <c r="N1133" s="121" t="s">
        <v>892</v>
      </c>
      <c r="O1133" s="121"/>
      <c r="P1133" s="127" t="s">
        <v>1076</v>
      </c>
      <c r="Q1133" s="118">
        <v>80057501</v>
      </c>
      <c r="R1133" s="119" t="s">
        <v>895</v>
      </c>
      <c r="S1133" s="119" t="s">
        <v>895</v>
      </c>
      <c r="T1133" s="222"/>
      <c r="U1133" s="222"/>
      <c r="V1133" s="222"/>
      <c r="W1133" s="230"/>
      <c r="X1133" s="331">
        <f t="shared" si="53"/>
        <v>0</v>
      </c>
      <c r="Y1133" s="222"/>
      <c r="Z1133" s="272">
        <f t="shared" si="51"/>
        <v>0</v>
      </c>
      <c r="AA1133" s="331"/>
      <c r="AB1133" s="331"/>
      <c r="AC1133" s="331"/>
      <c r="AD1133" s="331"/>
      <c r="AE1133" s="331"/>
      <c r="AF1133" s="331"/>
      <c r="AG1133" s="331"/>
      <c r="AH1133" s="241">
        <f t="shared" ca="1" si="52"/>
        <v>46153</v>
      </c>
      <c r="AI1133" s="272"/>
      <c r="AJ1133" s="222"/>
      <c r="AK1133" s="222"/>
    </row>
    <row r="1134" spans="1:37" ht="23.25" hidden="1" customHeight="1">
      <c r="A1134" s="111">
        <v>400</v>
      </c>
      <c r="B1134" s="112">
        <v>14</v>
      </c>
      <c r="C1134" s="113" t="s">
        <v>1355</v>
      </c>
      <c r="D1134" s="147" t="s">
        <v>1356</v>
      </c>
      <c r="E1134" s="114" t="s">
        <v>1357</v>
      </c>
      <c r="F1134" s="115" t="s">
        <v>1302</v>
      </c>
      <c r="G1134" s="115" t="s">
        <v>990</v>
      </c>
      <c r="H1134" s="116">
        <v>13.7418207</v>
      </c>
      <c r="I1134" s="116">
        <v>100.54350340000001</v>
      </c>
      <c r="J1134" s="116" t="s">
        <v>890</v>
      </c>
      <c r="K1134" s="117" t="s">
        <v>891</v>
      </c>
      <c r="L1134" s="117" t="s">
        <v>891</v>
      </c>
      <c r="M1134" s="117">
        <v>96898194</v>
      </c>
      <c r="N1134" s="117" t="s">
        <v>892</v>
      </c>
      <c r="O1134" s="117" t="s">
        <v>984</v>
      </c>
      <c r="P1134" s="117" t="s">
        <v>894</v>
      </c>
      <c r="Q1134" s="118">
        <v>80057501</v>
      </c>
      <c r="R1134" s="119" t="s">
        <v>895</v>
      </c>
      <c r="S1134" s="119" t="s">
        <v>895</v>
      </c>
      <c r="T1134" s="222"/>
      <c r="U1134" s="222"/>
      <c r="V1134" s="222"/>
      <c r="W1134" s="230"/>
      <c r="X1134" s="331">
        <f t="shared" si="53"/>
        <v>0</v>
      </c>
      <c r="Y1134" s="222"/>
      <c r="Z1134" s="272">
        <f t="shared" si="51"/>
        <v>0</v>
      </c>
      <c r="AA1134" s="331"/>
      <c r="AB1134" s="331"/>
      <c r="AC1134" s="331"/>
      <c r="AD1134" s="331"/>
      <c r="AE1134" s="331"/>
      <c r="AF1134" s="331"/>
      <c r="AG1134" s="331"/>
      <c r="AH1134" s="241">
        <f t="shared" ca="1" si="52"/>
        <v>46153</v>
      </c>
      <c r="AI1134" s="272"/>
      <c r="AJ1134" s="222"/>
      <c r="AK1134" s="222"/>
    </row>
    <row r="1135" spans="1:37" ht="23.25" hidden="1" customHeight="1">
      <c r="A1135" s="111">
        <v>429</v>
      </c>
      <c r="B1135" s="112" t="s">
        <v>1114</v>
      </c>
      <c r="C1135" s="122" t="s">
        <v>1385</v>
      </c>
      <c r="D1135" s="147" t="s">
        <v>1386</v>
      </c>
      <c r="E1135" s="123" t="s">
        <v>1387</v>
      </c>
      <c r="F1135" s="116" t="s">
        <v>1302</v>
      </c>
      <c r="G1135" s="116" t="s">
        <v>990</v>
      </c>
      <c r="H1135" s="116">
        <v>13.735727600000001</v>
      </c>
      <c r="I1135" s="116">
        <v>100.54245899999999</v>
      </c>
      <c r="J1135" s="116" t="s">
        <v>890</v>
      </c>
      <c r="K1135" s="117" t="s">
        <v>891</v>
      </c>
      <c r="L1135" s="117" t="s">
        <v>891</v>
      </c>
      <c r="M1135" s="117">
        <v>96898192</v>
      </c>
      <c r="N1135" s="117" t="s">
        <v>892</v>
      </c>
      <c r="O1135" s="117" t="s">
        <v>984</v>
      </c>
      <c r="P1135" s="117" t="s">
        <v>894</v>
      </c>
      <c r="Q1135" s="118">
        <v>80057501</v>
      </c>
      <c r="R1135" s="119" t="s">
        <v>895</v>
      </c>
      <c r="S1135" s="119" t="s">
        <v>895</v>
      </c>
      <c r="T1135" s="222"/>
      <c r="U1135" s="222"/>
      <c r="V1135" s="222"/>
      <c r="W1135" s="230"/>
      <c r="X1135" s="331">
        <f t="shared" si="53"/>
        <v>0</v>
      </c>
      <c r="Y1135" s="222"/>
      <c r="Z1135" s="272">
        <f t="shared" si="51"/>
        <v>0</v>
      </c>
      <c r="AA1135" s="331"/>
      <c r="AB1135" s="331"/>
      <c r="AC1135" s="331"/>
      <c r="AD1135" s="331"/>
      <c r="AE1135" s="331"/>
      <c r="AF1135" s="331"/>
      <c r="AG1135" s="331"/>
      <c r="AH1135" s="241">
        <f t="shared" ca="1" si="52"/>
        <v>46153</v>
      </c>
      <c r="AI1135" s="272"/>
      <c r="AJ1135" s="222"/>
      <c r="AK1135" s="222"/>
    </row>
    <row r="1136" spans="1:37" ht="23.25" hidden="1" customHeight="1">
      <c r="A1136" s="111">
        <v>602</v>
      </c>
      <c r="B1136" s="112">
        <v>12</v>
      </c>
      <c r="C1136" s="113" t="s">
        <v>1557</v>
      </c>
      <c r="D1136" s="557" t="s">
        <v>1558</v>
      </c>
      <c r="E1136" s="114" t="s">
        <v>1559</v>
      </c>
      <c r="F1136" s="115" t="s">
        <v>1302</v>
      </c>
      <c r="G1136" s="115" t="s">
        <v>990</v>
      </c>
      <c r="H1136" s="116">
        <v>13.7419583</v>
      </c>
      <c r="I1136" s="116">
        <v>100.5435178</v>
      </c>
      <c r="J1136" s="116" t="s">
        <v>890</v>
      </c>
      <c r="K1136" s="117" t="s">
        <v>891</v>
      </c>
      <c r="L1136" s="117" t="s">
        <v>891</v>
      </c>
      <c r="M1136" s="117">
        <v>96898185</v>
      </c>
      <c r="N1136" s="117" t="s">
        <v>892</v>
      </c>
      <c r="O1136" s="117" t="s">
        <v>984</v>
      </c>
      <c r="P1136" s="117" t="s">
        <v>894</v>
      </c>
      <c r="Q1136" s="118">
        <v>80057501</v>
      </c>
      <c r="R1136" s="119" t="s">
        <v>895</v>
      </c>
      <c r="S1136" s="119" t="s">
        <v>895</v>
      </c>
      <c r="T1136" s="222"/>
      <c r="U1136" s="222"/>
      <c r="V1136" s="222"/>
      <c r="W1136" s="230"/>
      <c r="X1136" s="331">
        <f t="shared" si="53"/>
        <v>0</v>
      </c>
      <c r="Y1136" s="222"/>
      <c r="Z1136" s="272">
        <f t="shared" si="51"/>
        <v>0</v>
      </c>
      <c r="AA1136" s="331"/>
      <c r="AB1136" s="331"/>
      <c r="AC1136" s="331"/>
      <c r="AD1136" s="331"/>
      <c r="AE1136" s="331"/>
      <c r="AF1136" s="331"/>
      <c r="AG1136" s="331"/>
      <c r="AH1136" s="241">
        <f t="shared" ca="1" si="52"/>
        <v>46153</v>
      </c>
      <c r="AI1136" s="272"/>
      <c r="AJ1136" s="222"/>
      <c r="AK1136" s="222"/>
    </row>
    <row r="1137" spans="1:37" ht="23.25" hidden="1" customHeight="1">
      <c r="A1137" s="111">
        <v>687</v>
      </c>
      <c r="B1137" s="112">
        <v>13</v>
      </c>
      <c r="C1137" s="113" t="s">
        <v>1654</v>
      </c>
      <c r="D1137" s="147" t="s">
        <v>1655</v>
      </c>
      <c r="E1137" s="114" t="s">
        <v>1656</v>
      </c>
      <c r="F1137" s="115" t="s">
        <v>1302</v>
      </c>
      <c r="G1137" s="115" t="s">
        <v>990</v>
      </c>
      <c r="H1137" s="116">
        <v>13.735188000000001</v>
      </c>
      <c r="I1137" s="116">
        <v>100.54236400000001</v>
      </c>
      <c r="J1137" s="116" t="s">
        <v>890</v>
      </c>
      <c r="K1137" s="117" t="s">
        <v>891</v>
      </c>
      <c r="L1137" s="117" t="s">
        <v>891</v>
      </c>
      <c r="M1137" s="117">
        <v>96898183</v>
      </c>
      <c r="N1137" s="117" t="s">
        <v>892</v>
      </c>
      <c r="O1137" s="117" t="s">
        <v>984</v>
      </c>
      <c r="P1137" s="117" t="s">
        <v>894</v>
      </c>
      <c r="Q1137" s="118">
        <v>80057501</v>
      </c>
      <c r="R1137" s="119" t="s">
        <v>895</v>
      </c>
      <c r="S1137" s="119" t="s">
        <v>895</v>
      </c>
      <c r="T1137" s="222"/>
      <c r="U1137" s="222"/>
      <c r="V1137" s="222"/>
      <c r="W1137" s="230"/>
      <c r="X1137" s="331">
        <f t="shared" si="53"/>
        <v>0</v>
      </c>
      <c r="Y1137" s="222"/>
      <c r="Z1137" s="272">
        <f t="shared" si="51"/>
        <v>0</v>
      </c>
      <c r="AA1137" s="331"/>
      <c r="AB1137" s="331"/>
      <c r="AC1137" s="331"/>
      <c r="AD1137" s="331"/>
      <c r="AE1137" s="331"/>
      <c r="AF1137" s="331"/>
      <c r="AG1137" s="331"/>
      <c r="AH1137" s="241">
        <f t="shared" ca="1" si="52"/>
        <v>46153</v>
      </c>
      <c r="AI1137" s="272"/>
      <c r="AJ1137" s="222"/>
      <c r="AK1137" s="222"/>
    </row>
    <row r="1138" spans="1:37" ht="23.25" hidden="1" customHeight="1">
      <c r="A1138" s="111">
        <v>703</v>
      </c>
      <c r="B1138" s="112" t="s">
        <v>1071</v>
      </c>
      <c r="C1138" s="122" t="s">
        <v>3852</v>
      </c>
      <c r="D1138" s="147" t="s">
        <v>3853</v>
      </c>
      <c r="E1138" s="132" t="s">
        <v>3854</v>
      </c>
      <c r="F1138" s="116" t="s">
        <v>1302</v>
      </c>
      <c r="G1138" s="116" t="s">
        <v>990</v>
      </c>
      <c r="H1138" s="117">
        <v>13.743703</v>
      </c>
      <c r="I1138" s="117">
        <v>100.5438511</v>
      </c>
      <c r="J1138" s="116" t="s">
        <v>2097</v>
      </c>
      <c r="K1138" s="121" t="s">
        <v>2097</v>
      </c>
      <c r="L1138" s="121" t="s">
        <v>3855</v>
      </c>
      <c r="M1138" s="121" t="s">
        <v>972</v>
      </c>
      <c r="N1138" s="121" t="s">
        <v>3856</v>
      </c>
      <c r="O1138" s="121"/>
      <c r="P1138" s="127" t="s">
        <v>1076</v>
      </c>
      <c r="Q1138" s="129" t="s">
        <v>972</v>
      </c>
      <c r="R1138" s="119" t="s">
        <v>972</v>
      </c>
      <c r="S1138" s="119" t="s">
        <v>972</v>
      </c>
      <c r="T1138" s="222"/>
      <c r="U1138" s="222"/>
      <c r="V1138" s="222"/>
      <c r="W1138" s="230"/>
      <c r="X1138" s="331">
        <f t="shared" si="53"/>
        <v>0</v>
      </c>
      <c r="Y1138" s="222"/>
      <c r="Z1138" s="272">
        <f t="shared" si="51"/>
        <v>0</v>
      </c>
      <c r="AA1138" s="331"/>
      <c r="AB1138" s="331"/>
      <c r="AC1138" s="331"/>
      <c r="AD1138" s="331"/>
      <c r="AE1138" s="331"/>
      <c r="AF1138" s="331"/>
      <c r="AG1138" s="331"/>
      <c r="AH1138" s="241">
        <f t="shared" ca="1" si="52"/>
        <v>46153</v>
      </c>
      <c r="AI1138" s="272"/>
      <c r="AJ1138" s="222"/>
      <c r="AK1138" s="222"/>
    </row>
    <row r="1139" spans="1:37" ht="23.25" hidden="1" customHeight="1">
      <c r="A1139" s="111">
        <v>624</v>
      </c>
      <c r="B1139" s="112">
        <v>13</v>
      </c>
      <c r="C1139" s="122" t="s">
        <v>3691</v>
      </c>
      <c r="D1139" s="147" t="s">
        <v>3692</v>
      </c>
      <c r="E1139" s="123" t="s">
        <v>3693</v>
      </c>
      <c r="F1139" s="116" t="s">
        <v>3694</v>
      </c>
      <c r="G1139" s="116" t="s">
        <v>1580</v>
      </c>
      <c r="H1139" s="116">
        <v>13.756322000000001</v>
      </c>
      <c r="I1139" s="116">
        <v>100.50721</v>
      </c>
      <c r="J1139" s="116" t="s">
        <v>969</v>
      </c>
      <c r="K1139" s="116" t="s">
        <v>970</v>
      </c>
      <c r="L1139" s="117" t="s">
        <v>3695</v>
      </c>
      <c r="M1139" s="116" t="s">
        <v>1347</v>
      </c>
      <c r="N1139" s="121" t="s">
        <v>892</v>
      </c>
      <c r="O1139" s="121" t="s">
        <v>958</v>
      </c>
      <c r="P1139" s="117" t="s">
        <v>902</v>
      </c>
      <c r="Q1139" s="125" t="s">
        <v>972</v>
      </c>
      <c r="R1139" s="125" t="s">
        <v>972</v>
      </c>
      <c r="S1139" s="125" t="s">
        <v>972</v>
      </c>
      <c r="T1139" s="222"/>
      <c r="U1139" s="222"/>
      <c r="V1139" s="222"/>
      <c r="W1139" s="230"/>
      <c r="X1139" s="331">
        <f t="shared" si="53"/>
        <v>0</v>
      </c>
      <c r="Y1139" s="222"/>
      <c r="Z1139" s="272">
        <f t="shared" si="51"/>
        <v>0</v>
      </c>
      <c r="AA1139" s="331"/>
      <c r="AB1139" s="331"/>
      <c r="AC1139" s="331"/>
      <c r="AD1139" s="331"/>
      <c r="AE1139" s="331"/>
      <c r="AF1139" s="331"/>
      <c r="AG1139" s="331"/>
      <c r="AH1139" s="241">
        <f t="shared" ca="1" si="52"/>
        <v>46153</v>
      </c>
      <c r="AI1139" s="272"/>
      <c r="AJ1139" s="222"/>
      <c r="AK1139" s="222"/>
    </row>
    <row r="1140" spans="1:37" ht="23.25" hidden="1" customHeight="1">
      <c r="A1140" s="111">
        <v>998</v>
      </c>
      <c r="B1140" s="112">
        <v>16</v>
      </c>
      <c r="C1140" s="113" t="s">
        <v>4619</v>
      </c>
      <c r="D1140" s="147" t="s">
        <v>4620</v>
      </c>
      <c r="E1140" s="114" t="s">
        <v>4621</v>
      </c>
      <c r="F1140" s="115" t="s">
        <v>3694</v>
      </c>
      <c r="G1140" s="115" t="s">
        <v>1580</v>
      </c>
      <c r="H1140" s="116">
        <v>13.756310900000001</v>
      </c>
      <c r="I1140" s="116">
        <v>100.5079202</v>
      </c>
      <c r="J1140" s="116" t="s">
        <v>2097</v>
      </c>
      <c r="K1140" s="116" t="s">
        <v>2097</v>
      </c>
      <c r="L1140" s="117" t="s">
        <v>2132</v>
      </c>
      <c r="M1140" s="116" t="s">
        <v>1347</v>
      </c>
      <c r="N1140" s="121" t="s">
        <v>892</v>
      </c>
      <c r="O1140" s="121" t="s">
        <v>958</v>
      </c>
      <c r="P1140" s="117" t="s">
        <v>902</v>
      </c>
      <c r="Q1140" s="125" t="s">
        <v>972</v>
      </c>
      <c r="R1140" s="125" t="s">
        <v>972</v>
      </c>
      <c r="S1140" s="125" t="s">
        <v>972</v>
      </c>
      <c r="T1140" s="222"/>
      <c r="U1140" s="222"/>
      <c r="V1140" s="222"/>
      <c r="W1140" s="230"/>
      <c r="X1140" s="331">
        <f t="shared" si="53"/>
        <v>0</v>
      </c>
      <c r="Y1140" s="222"/>
      <c r="Z1140" s="272">
        <f t="shared" si="51"/>
        <v>0</v>
      </c>
      <c r="AA1140" s="331"/>
      <c r="AB1140" s="331"/>
      <c r="AC1140" s="331"/>
      <c r="AD1140" s="331"/>
      <c r="AE1140" s="331"/>
      <c r="AF1140" s="331"/>
      <c r="AG1140" s="331"/>
      <c r="AH1140" s="241">
        <f t="shared" ca="1" si="52"/>
        <v>46153</v>
      </c>
      <c r="AI1140" s="272"/>
      <c r="AJ1140" s="222"/>
      <c r="AK1140" s="222"/>
    </row>
    <row r="1141" spans="1:37" ht="23.25" hidden="1" customHeight="1">
      <c r="A1141" s="111">
        <v>386</v>
      </c>
      <c r="B1141" s="112">
        <v>9</v>
      </c>
      <c r="C1141" s="113" t="s">
        <v>1327</v>
      </c>
      <c r="D1141" s="147" t="s">
        <v>1328</v>
      </c>
      <c r="E1141" s="114" t="s">
        <v>1329</v>
      </c>
      <c r="F1141" s="115" t="s">
        <v>1330</v>
      </c>
      <c r="G1141" s="115" t="s">
        <v>1331</v>
      </c>
      <c r="H1141" s="115">
        <v>13.7424304</v>
      </c>
      <c r="I1141" s="115">
        <v>100.4873705</v>
      </c>
      <c r="J1141" s="116" t="s">
        <v>890</v>
      </c>
      <c r="K1141" s="117" t="s">
        <v>891</v>
      </c>
      <c r="L1141" s="117" t="s">
        <v>891</v>
      </c>
      <c r="M1141" s="117">
        <v>96898169</v>
      </c>
      <c r="N1141" s="117" t="s">
        <v>892</v>
      </c>
      <c r="O1141" s="121" t="s">
        <v>893</v>
      </c>
      <c r="P1141" s="117" t="s">
        <v>894</v>
      </c>
      <c r="Q1141" s="118">
        <v>80057501</v>
      </c>
      <c r="R1141" s="119" t="s">
        <v>895</v>
      </c>
      <c r="S1141" s="119" t="s">
        <v>895</v>
      </c>
      <c r="T1141" s="222"/>
      <c r="U1141" s="222"/>
      <c r="V1141" s="222"/>
      <c r="W1141" s="230"/>
      <c r="X1141" s="331">
        <f t="shared" si="53"/>
        <v>0</v>
      </c>
      <c r="Y1141" s="222"/>
      <c r="Z1141" s="272">
        <f t="shared" si="51"/>
        <v>0</v>
      </c>
      <c r="AA1141" s="331"/>
      <c r="AB1141" s="331"/>
      <c r="AC1141" s="331"/>
      <c r="AD1141" s="331"/>
      <c r="AE1141" s="331"/>
      <c r="AF1141" s="331"/>
      <c r="AG1141" s="331"/>
      <c r="AH1141" s="241">
        <f t="shared" ca="1" si="52"/>
        <v>46153</v>
      </c>
      <c r="AI1141" s="272"/>
      <c r="AJ1141" s="222"/>
      <c r="AK1141" s="222"/>
    </row>
    <row r="1142" spans="1:37" ht="23.25" hidden="1" customHeight="1">
      <c r="A1142" s="111">
        <v>390</v>
      </c>
      <c r="B1142" s="112">
        <v>5</v>
      </c>
      <c r="C1142" s="122" t="s">
        <v>1332</v>
      </c>
      <c r="D1142" s="147" t="s">
        <v>1333</v>
      </c>
      <c r="E1142" s="123" t="s">
        <v>1334</v>
      </c>
      <c r="F1142" s="116" t="s">
        <v>1330</v>
      </c>
      <c r="G1142" s="116" t="s">
        <v>1335</v>
      </c>
      <c r="H1142" s="116">
        <v>13.756374299999999</v>
      </c>
      <c r="I1142" s="116">
        <v>100.48344760000001</v>
      </c>
      <c r="J1142" s="116" t="s">
        <v>890</v>
      </c>
      <c r="K1142" s="117" t="s">
        <v>891</v>
      </c>
      <c r="L1142" s="117" t="s">
        <v>891</v>
      </c>
      <c r="M1142" s="117">
        <v>96898161</v>
      </c>
      <c r="N1142" s="117" t="s">
        <v>892</v>
      </c>
      <c r="O1142" s="121" t="s">
        <v>893</v>
      </c>
      <c r="P1142" s="117" t="s">
        <v>894</v>
      </c>
      <c r="Q1142" s="118">
        <v>80057501</v>
      </c>
      <c r="R1142" s="119" t="s">
        <v>895</v>
      </c>
      <c r="S1142" s="119" t="s">
        <v>895</v>
      </c>
      <c r="T1142" s="222"/>
      <c r="U1142" s="222"/>
      <c r="V1142" s="222"/>
      <c r="W1142" s="230"/>
      <c r="X1142" s="331">
        <f t="shared" si="53"/>
        <v>0</v>
      </c>
      <c r="Y1142" s="222"/>
      <c r="Z1142" s="272">
        <f t="shared" si="51"/>
        <v>0</v>
      </c>
      <c r="AA1142" s="331"/>
      <c r="AB1142" s="331"/>
      <c r="AC1142" s="331"/>
      <c r="AD1142" s="331"/>
      <c r="AE1142" s="331"/>
      <c r="AF1142" s="331"/>
      <c r="AG1142" s="331"/>
      <c r="AH1142" s="241">
        <f t="shared" ca="1" si="52"/>
        <v>46153</v>
      </c>
      <c r="AI1142" s="272"/>
      <c r="AJ1142" s="222"/>
      <c r="AK1142" s="222"/>
    </row>
    <row r="1143" spans="1:37" ht="23" hidden="1">
      <c r="A1143" s="111">
        <v>1083</v>
      </c>
      <c r="B1143" s="112">
        <v>12</v>
      </c>
      <c r="C1143" s="113" t="s">
        <v>4805</v>
      </c>
      <c r="D1143" s="147" t="s">
        <v>4806</v>
      </c>
      <c r="E1143" s="114" t="s">
        <v>4807</v>
      </c>
      <c r="F1143" s="115" t="s">
        <v>1330</v>
      </c>
      <c r="G1143" s="115" t="s">
        <v>1335</v>
      </c>
      <c r="H1143" s="116">
        <v>13.7647323</v>
      </c>
      <c r="I1143" s="116">
        <v>100.4829488</v>
      </c>
      <c r="J1143" s="116" t="s">
        <v>2108</v>
      </c>
      <c r="K1143" s="115" t="s">
        <v>2081</v>
      </c>
      <c r="L1143" s="117" t="s">
        <v>4808</v>
      </c>
      <c r="M1143" s="121" t="s">
        <v>972</v>
      </c>
      <c r="N1143" s="121" t="s">
        <v>972</v>
      </c>
      <c r="O1143" s="121" t="s">
        <v>893</v>
      </c>
      <c r="P1143" s="117" t="s">
        <v>894</v>
      </c>
      <c r="Q1143" s="125" t="s">
        <v>972</v>
      </c>
      <c r="R1143" s="125" t="s">
        <v>972</v>
      </c>
      <c r="S1143" s="125" t="s">
        <v>972</v>
      </c>
      <c r="T1143" s="222"/>
      <c r="U1143" s="222"/>
      <c r="V1143" s="222"/>
      <c r="W1143" s="230"/>
      <c r="X1143" s="331">
        <f t="shared" si="53"/>
        <v>0</v>
      </c>
      <c r="Y1143" s="222"/>
      <c r="Z1143" s="272">
        <f t="shared" si="51"/>
        <v>0</v>
      </c>
      <c r="AA1143" s="331"/>
      <c r="AB1143" s="331"/>
      <c r="AC1143" s="331"/>
      <c r="AD1143" s="331"/>
      <c r="AE1143" s="331"/>
      <c r="AF1143" s="331"/>
      <c r="AG1143" s="331"/>
      <c r="AH1143" s="241">
        <f t="shared" ca="1" si="52"/>
        <v>46153</v>
      </c>
      <c r="AI1143" s="272"/>
      <c r="AJ1143" s="222"/>
      <c r="AK1143" s="222"/>
    </row>
    <row r="1144" spans="1:37" ht="23.25" hidden="1" customHeight="1">
      <c r="A1144" s="111">
        <v>1056</v>
      </c>
      <c r="B1144" s="112" t="s">
        <v>1071</v>
      </c>
      <c r="C1144" s="122" t="s">
        <v>5065</v>
      </c>
      <c r="D1144" s="147" t="s">
        <v>5066</v>
      </c>
      <c r="E1144" s="200" t="s">
        <v>5067</v>
      </c>
      <c r="F1144" s="201" t="s">
        <v>5068</v>
      </c>
      <c r="G1144" s="201" t="s">
        <v>1018</v>
      </c>
      <c r="H1144" s="172">
        <v>13.742448</v>
      </c>
      <c r="I1144" s="172">
        <v>100.56215</v>
      </c>
      <c r="J1144" s="116" t="s">
        <v>890</v>
      </c>
      <c r="K1144" s="115" t="s">
        <v>1212</v>
      </c>
      <c r="L1144" s="117" t="s">
        <v>1213</v>
      </c>
      <c r="M1144" s="121">
        <v>5132799</v>
      </c>
      <c r="N1144" s="121" t="s">
        <v>892</v>
      </c>
      <c r="O1144" s="121"/>
      <c r="P1144" s="127" t="s">
        <v>1076</v>
      </c>
      <c r="Q1144" s="129" t="s">
        <v>972</v>
      </c>
      <c r="R1144" s="119" t="s">
        <v>972</v>
      </c>
      <c r="S1144" s="125" t="s">
        <v>4749</v>
      </c>
      <c r="T1144" s="222"/>
      <c r="U1144" s="222"/>
      <c r="V1144" s="222"/>
      <c r="W1144" s="230"/>
      <c r="X1144" s="331">
        <f t="shared" si="53"/>
        <v>0</v>
      </c>
      <c r="Y1144" s="222"/>
      <c r="Z1144" s="272">
        <f t="shared" si="51"/>
        <v>0</v>
      </c>
      <c r="AA1144" s="331"/>
      <c r="AB1144" s="331"/>
      <c r="AC1144" s="331"/>
      <c r="AD1144" s="331"/>
      <c r="AE1144" s="331"/>
      <c r="AF1144" s="331"/>
      <c r="AG1144" s="331"/>
      <c r="AH1144" s="241">
        <f t="shared" ca="1" si="52"/>
        <v>46153</v>
      </c>
      <c r="AI1144" s="272"/>
      <c r="AJ1144" s="222"/>
      <c r="AK1144" s="222"/>
    </row>
    <row r="1145" spans="1:37" ht="23.25" hidden="1" customHeight="1">
      <c r="A1145" s="111">
        <v>134</v>
      </c>
      <c r="B1145" s="112" t="s">
        <v>1098</v>
      </c>
      <c r="C1145" s="113" t="s">
        <v>2451</v>
      </c>
      <c r="D1145" s="147" t="s">
        <v>2452</v>
      </c>
      <c r="E1145" s="133" t="s">
        <v>2453</v>
      </c>
      <c r="F1145" s="117" t="s">
        <v>2454</v>
      </c>
      <c r="G1145" s="134" t="s">
        <v>936</v>
      </c>
      <c r="H1145" s="117">
        <v>13.752076000000001</v>
      </c>
      <c r="I1145" s="117">
        <v>100.564243</v>
      </c>
      <c r="J1145" s="116" t="s">
        <v>969</v>
      </c>
      <c r="K1145" s="121" t="s">
        <v>2168</v>
      </c>
      <c r="L1145" s="121" t="s">
        <v>2455</v>
      </c>
      <c r="M1145" s="117" t="s">
        <v>1347</v>
      </c>
      <c r="N1145" s="117" t="s">
        <v>1347</v>
      </c>
      <c r="O1145" s="117" t="s">
        <v>901</v>
      </c>
      <c r="P1145" s="117"/>
      <c r="Q1145" s="119"/>
      <c r="R1145" s="119"/>
      <c r="S1145" s="119"/>
      <c r="T1145" s="222"/>
      <c r="U1145" s="222"/>
      <c r="V1145" s="222"/>
      <c r="W1145" s="230"/>
      <c r="X1145" s="331">
        <f t="shared" si="53"/>
        <v>0</v>
      </c>
      <c r="Y1145" s="222"/>
      <c r="Z1145" s="272">
        <f t="shared" si="51"/>
        <v>0</v>
      </c>
      <c r="AA1145" s="331"/>
      <c r="AB1145" s="331"/>
      <c r="AC1145" s="331"/>
      <c r="AD1145" s="331"/>
      <c r="AE1145" s="331"/>
      <c r="AF1145" s="331"/>
      <c r="AG1145" s="331"/>
      <c r="AH1145" s="241">
        <f t="shared" ca="1" si="52"/>
        <v>46153</v>
      </c>
      <c r="AI1145" s="272"/>
      <c r="AJ1145" s="222"/>
      <c r="AK1145" s="222"/>
    </row>
    <row r="1146" spans="1:37" ht="23.25" hidden="1" customHeight="1">
      <c r="A1146" s="111">
        <v>139</v>
      </c>
      <c r="B1146" s="112" t="s">
        <v>1098</v>
      </c>
      <c r="C1146" s="113" t="s">
        <v>2468</v>
      </c>
      <c r="D1146" s="147" t="s">
        <v>2469</v>
      </c>
      <c r="E1146" s="133" t="s">
        <v>2470</v>
      </c>
      <c r="F1146" s="117" t="s">
        <v>2454</v>
      </c>
      <c r="G1146" s="134" t="s">
        <v>936</v>
      </c>
      <c r="H1146" s="137">
        <v>13.751566</v>
      </c>
      <c r="I1146" s="117">
        <v>100.564126</v>
      </c>
      <c r="J1146" s="116" t="s">
        <v>969</v>
      </c>
      <c r="K1146" s="121" t="s">
        <v>2168</v>
      </c>
      <c r="L1146" s="121" t="s">
        <v>2455</v>
      </c>
      <c r="M1146" s="117" t="s">
        <v>1347</v>
      </c>
      <c r="N1146" s="117" t="s">
        <v>1347</v>
      </c>
      <c r="O1146" s="117" t="s">
        <v>901</v>
      </c>
      <c r="P1146" s="117"/>
      <c r="Q1146" s="119"/>
      <c r="R1146" s="119"/>
      <c r="S1146" s="119"/>
      <c r="T1146" s="222"/>
      <c r="U1146" s="222"/>
      <c r="V1146" s="222"/>
      <c r="W1146" s="230"/>
      <c r="X1146" s="331">
        <f t="shared" si="53"/>
        <v>0</v>
      </c>
      <c r="Y1146" s="222"/>
      <c r="Z1146" s="272">
        <f t="shared" si="51"/>
        <v>0</v>
      </c>
      <c r="AA1146" s="331"/>
      <c r="AB1146" s="331"/>
      <c r="AC1146" s="331"/>
      <c r="AD1146" s="331"/>
      <c r="AE1146" s="331"/>
      <c r="AF1146" s="331"/>
      <c r="AG1146" s="331"/>
      <c r="AH1146" s="241">
        <f t="shared" ca="1" si="52"/>
        <v>46153</v>
      </c>
      <c r="AI1146" s="272"/>
      <c r="AJ1146" s="222"/>
      <c r="AK1146" s="222"/>
    </row>
    <row r="1147" spans="1:37" ht="23.25" hidden="1" customHeight="1">
      <c r="A1147" s="111">
        <v>145</v>
      </c>
      <c r="B1147" s="112">
        <v>13</v>
      </c>
      <c r="C1147" s="122" t="s">
        <v>1061</v>
      </c>
      <c r="D1147" s="147" t="s">
        <v>1062</v>
      </c>
      <c r="E1147" s="123" t="s">
        <v>1063</v>
      </c>
      <c r="F1147" s="116" t="s">
        <v>1064</v>
      </c>
      <c r="G1147" s="116" t="s">
        <v>1018</v>
      </c>
      <c r="H1147" s="116">
        <v>13.745407800000001</v>
      </c>
      <c r="I1147" s="116">
        <v>100.5625689</v>
      </c>
      <c r="J1147" s="116" t="s">
        <v>890</v>
      </c>
      <c r="K1147" s="117" t="s">
        <v>891</v>
      </c>
      <c r="L1147" s="117" t="s">
        <v>891</v>
      </c>
      <c r="M1147" s="117">
        <v>96888743</v>
      </c>
      <c r="N1147" s="117" t="s">
        <v>892</v>
      </c>
      <c r="O1147" s="117" t="s">
        <v>984</v>
      </c>
      <c r="P1147" s="117" t="s">
        <v>902</v>
      </c>
      <c r="Q1147" s="118">
        <v>80057501</v>
      </c>
      <c r="R1147" s="119" t="s">
        <v>895</v>
      </c>
      <c r="S1147" s="119" t="s">
        <v>895</v>
      </c>
      <c r="T1147" s="222"/>
      <c r="U1147" s="222"/>
      <c r="V1147" s="222"/>
      <c r="W1147" s="230"/>
      <c r="X1147" s="331">
        <f t="shared" si="53"/>
        <v>0</v>
      </c>
      <c r="Y1147" s="222"/>
      <c r="Z1147" s="272">
        <f t="shared" si="51"/>
        <v>0</v>
      </c>
      <c r="AA1147" s="331"/>
      <c r="AB1147" s="331"/>
      <c r="AC1147" s="331"/>
      <c r="AD1147" s="331"/>
      <c r="AE1147" s="331"/>
      <c r="AF1147" s="331"/>
      <c r="AG1147" s="331"/>
      <c r="AH1147" s="241">
        <f t="shared" ca="1" si="52"/>
        <v>46153</v>
      </c>
      <c r="AI1147" s="272"/>
      <c r="AJ1147" s="222"/>
      <c r="AK1147" s="222"/>
    </row>
    <row r="1148" spans="1:37" ht="23.25" hidden="1" customHeight="1">
      <c r="A1148" s="111">
        <v>254</v>
      </c>
      <c r="B1148" s="112" t="s">
        <v>1114</v>
      </c>
      <c r="C1148" s="113" t="s">
        <v>1172</v>
      </c>
      <c r="D1148" s="147" t="s">
        <v>1173</v>
      </c>
      <c r="E1148" s="114" t="s">
        <v>1174</v>
      </c>
      <c r="F1148" s="115" t="s">
        <v>1064</v>
      </c>
      <c r="G1148" s="115" t="s">
        <v>1018</v>
      </c>
      <c r="H1148" s="116">
        <v>13.746632999999999</v>
      </c>
      <c r="I1148" s="116">
        <v>100.56284220000001</v>
      </c>
      <c r="J1148" s="116" t="s">
        <v>890</v>
      </c>
      <c r="K1148" s="117" t="s">
        <v>891</v>
      </c>
      <c r="L1148" s="117" t="s">
        <v>891</v>
      </c>
      <c r="M1148" s="117">
        <v>96888741</v>
      </c>
      <c r="N1148" s="117" t="s">
        <v>892</v>
      </c>
      <c r="O1148" s="117" t="s">
        <v>984</v>
      </c>
      <c r="P1148" s="117" t="s">
        <v>902</v>
      </c>
      <c r="Q1148" s="118">
        <v>80057501</v>
      </c>
      <c r="R1148" s="119" t="s">
        <v>895</v>
      </c>
      <c r="S1148" s="119" t="s">
        <v>895</v>
      </c>
      <c r="T1148" s="222"/>
      <c r="U1148" s="222"/>
      <c r="V1148" s="222"/>
      <c r="W1148" s="230"/>
      <c r="X1148" s="331">
        <f t="shared" si="53"/>
        <v>0</v>
      </c>
      <c r="Y1148" s="222"/>
      <c r="Z1148" s="272">
        <f t="shared" si="51"/>
        <v>0</v>
      </c>
      <c r="AA1148" s="331"/>
      <c r="AB1148" s="331"/>
      <c r="AC1148" s="331"/>
      <c r="AD1148" s="331"/>
      <c r="AE1148" s="331"/>
      <c r="AF1148" s="331"/>
      <c r="AG1148" s="331"/>
      <c r="AH1148" s="241">
        <f t="shared" ca="1" si="52"/>
        <v>46153</v>
      </c>
      <c r="AI1148" s="272"/>
      <c r="AJ1148" s="222"/>
      <c r="AK1148" s="222"/>
    </row>
    <row r="1149" spans="1:37" ht="23.25" hidden="1" customHeight="1">
      <c r="A1149" s="111">
        <v>301</v>
      </c>
      <c r="B1149" s="112">
        <v>1</v>
      </c>
      <c r="C1149" s="113" t="s">
        <v>1231</v>
      </c>
      <c r="D1149" s="147" t="s">
        <v>1232</v>
      </c>
      <c r="E1149" s="114" t="s">
        <v>1233</v>
      </c>
      <c r="F1149" s="115" t="s">
        <v>1064</v>
      </c>
      <c r="G1149" s="115" t="s">
        <v>936</v>
      </c>
      <c r="H1149" s="116">
        <v>13.749307999999999</v>
      </c>
      <c r="I1149" s="116">
        <v>100.563588</v>
      </c>
      <c r="J1149" s="116" t="s">
        <v>890</v>
      </c>
      <c r="K1149" s="117" t="s">
        <v>891</v>
      </c>
      <c r="L1149" s="117" t="s">
        <v>891</v>
      </c>
      <c r="M1149" s="117">
        <v>96888738</v>
      </c>
      <c r="N1149" s="117" t="s">
        <v>892</v>
      </c>
      <c r="O1149" s="117" t="s">
        <v>984</v>
      </c>
      <c r="P1149" s="117" t="s">
        <v>902</v>
      </c>
      <c r="Q1149" s="118">
        <v>80057501</v>
      </c>
      <c r="R1149" s="119" t="s">
        <v>895</v>
      </c>
      <c r="S1149" s="119" t="s">
        <v>895</v>
      </c>
      <c r="T1149" s="222"/>
      <c r="U1149" s="222"/>
      <c r="V1149" s="222"/>
      <c r="W1149" s="230"/>
      <c r="X1149" s="331">
        <f t="shared" si="53"/>
        <v>0</v>
      </c>
      <c r="Y1149" s="222"/>
      <c r="Z1149" s="272">
        <f t="shared" si="51"/>
        <v>0</v>
      </c>
      <c r="AA1149" s="331"/>
      <c r="AB1149" s="331"/>
      <c r="AC1149" s="331"/>
      <c r="AD1149" s="331"/>
      <c r="AE1149" s="331"/>
      <c r="AF1149" s="331"/>
      <c r="AG1149" s="331"/>
      <c r="AH1149" s="241">
        <f t="shared" ca="1" si="52"/>
        <v>46153</v>
      </c>
      <c r="AI1149" s="272"/>
      <c r="AJ1149" s="222"/>
      <c r="AK1149" s="222"/>
    </row>
    <row r="1150" spans="1:37" ht="23.25" hidden="1" customHeight="1">
      <c r="A1150" s="111">
        <v>302</v>
      </c>
      <c r="B1150" s="112">
        <v>1</v>
      </c>
      <c r="C1150" s="113" t="s">
        <v>1234</v>
      </c>
      <c r="D1150" s="147" t="s">
        <v>1235</v>
      </c>
      <c r="E1150" s="114" t="s">
        <v>1236</v>
      </c>
      <c r="F1150" s="115" t="s">
        <v>1064</v>
      </c>
      <c r="G1150" s="115" t="s">
        <v>936</v>
      </c>
      <c r="H1150" s="116">
        <v>13.749708</v>
      </c>
      <c r="I1150" s="116">
        <v>100.563491</v>
      </c>
      <c r="J1150" s="116" t="s">
        <v>890</v>
      </c>
      <c r="K1150" s="117" t="s">
        <v>891</v>
      </c>
      <c r="L1150" s="117" t="s">
        <v>891</v>
      </c>
      <c r="M1150" s="117">
        <v>96890912</v>
      </c>
      <c r="N1150" s="117" t="s">
        <v>892</v>
      </c>
      <c r="O1150" s="117" t="s">
        <v>984</v>
      </c>
      <c r="P1150" s="117" t="s">
        <v>902</v>
      </c>
      <c r="Q1150" s="118">
        <v>80057501</v>
      </c>
      <c r="R1150" s="119" t="s">
        <v>895</v>
      </c>
      <c r="S1150" s="119" t="s">
        <v>895</v>
      </c>
      <c r="T1150" s="222"/>
      <c r="U1150" s="222"/>
      <c r="V1150" s="222"/>
      <c r="W1150" s="230"/>
      <c r="X1150" s="331">
        <f t="shared" si="53"/>
        <v>0</v>
      </c>
      <c r="Y1150" s="222"/>
      <c r="Z1150" s="272">
        <f t="shared" si="51"/>
        <v>0</v>
      </c>
      <c r="AA1150" s="331"/>
      <c r="AB1150" s="331"/>
      <c r="AC1150" s="331"/>
      <c r="AD1150" s="331"/>
      <c r="AE1150" s="331"/>
      <c r="AF1150" s="331"/>
      <c r="AG1150" s="331"/>
      <c r="AH1150" s="241">
        <f t="shared" ca="1" si="52"/>
        <v>46153</v>
      </c>
      <c r="AI1150" s="272"/>
      <c r="AJ1150" s="222"/>
      <c r="AK1150" s="222"/>
    </row>
    <row r="1151" spans="1:37" ht="23.25" hidden="1" customHeight="1">
      <c r="A1151" s="111">
        <v>319</v>
      </c>
      <c r="B1151" s="112" t="s">
        <v>919</v>
      </c>
      <c r="C1151" s="122" t="s">
        <v>1258</v>
      </c>
      <c r="D1151" s="147" t="s">
        <v>1259</v>
      </c>
      <c r="E1151" s="123" t="s">
        <v>1260</v>
      </c>
      <c r="F1151" s="116" t="s">
        <v>1064</v>
      </c>
      <c r="G1151" s="116" t="s">
        <v>1018</v>
      </c>
      <c r="H1151" s="116">
        <v>13.7455905</v>
      </c>
      <c r="I1151" s="116">
        <v>100.5626103</v>
      </c>
      <c r="J1151" s="116" t="s">
        <v>890</v>
      </c>
      <c r="K1151" s="117" t="s">
        <v>891</v>
      </c>
      <c r="L1151" s="117" t="s">
        <v>891</v>
      </c>
      <c r="M1151" s="117">
        <v>96895757</v>
      </c>
      <c r="N1151" s="117" t="s">
        <v>892</v>
      </c>
      <c r="O1151" s="117" t="s">
        <v>984</v>
      </c>
      <c r="P1151" s="117" t="s">
        <v>902</v>
      </c>
      <c r="Q1151" s="118">
        <v>80057501</v>
      </c>
      <c r="R1151" s="119" t="s">
        <v>895</v>
      </c>
      <c r="S1151" s="119" t="s">
        <v>895</v>
      </c>
      <c r="T1151" s="222"/>
      <c r="U1151" s="222"/>
      <c r="V1151" s="222"/>
      <c r="W1151" s="230"/>
      <c r="X1151" s="331">
        <f t="shared" si="53"/>
        <v>0</v>
      </c>
      <c r="Y1151" s="222"/>
      <c r="Z1151" s="272">
        <f t="shared" si="51"/>
        <v>0</v>
      </c>
      <c r="AA1151" s="331"/>
      <c r="AB1151" s="331"/>
      <c r="AC1151" s="331"/>
      <c r="AD1151" s="331"/>
      <c r="AE1151" s="331"/>
      <c r="AF1151" s="331"/>
      <c r="AG1151" s="331"/>
      <c r="AH1151" s="241">
        <f t="shared" ca="1" si="52"/>
        <v>46153</v>
      </c>
      <c r="AI1151" s="272"/>
      <c r="AJ1151" s="222"/>
      <c r="AK1151" s="222"/>
    </row>
    <row r="1152" spans="1:37" ht="23.25" hidden="1" customHeight="1">
      <c r="A1152" s="111">
        <v>321</v>
      </c>
      <c r="B1152" s="112">
        <v>12</v>
      </c>
      <c r="C1152" s="122" t="s">
        <v>1261</v>
      </c>
      <c r="D1152" s="147" t="s">
        <v>1262</v>
      </c>
      <c r="E1152" s="123" t="s">
        <v>1263</v>
      </c>
      <c r="F1152" s="116" t="s">
        <v>1064</v>
      </c>
      <c r="G1152" s="116" t="s">
        <v>1018</v>
      </c>
      <c r="H1152" s="116">
        <v>13.7438611</v>
      </c>
      <c r="I1152" s="116">
        <v>100.5622224</v>
      </c>
      <c r="J1152" s="116" t="s">
        <v>890</v>
      </c>
      <c r="K1152" s="117" t="s">
        <v>891</v>
      </c>
      <c r="L1152" s="117" t="s">
        <v>891</v>
      </c>
      <c r="M1152" s="117">
        <v>96895758</v>
      </c>
      <c r="N1152" s="117" t="s">
        <v>892</v>
      </c>
      <c r="O1152" s="117" t="s">
        <v>984</v>
      </c>
      <c r="P1152" s="117" t="s">
        <v>902</v>
      </c>
      <c r="Q1152" s="118">
        <v>80057501</v>
      </c>
      <c r="R1152" s="119" t="s">
        <v>895</v>
      </c>
      <c r="S1152" s="119" t="s">
        <v>895</v>
      </c>
      <c r="T1152" s="222"/>
      <c r="U1152" s="222"/>
      <c r="V1152" s="222"/>
      <c r="W1152" s="230"/>
      <c r="X1152" s="331">
        <f t="shared" si="53"/>
        <v>0</v>
      </c>
      <c r="Y1152" s="222"/>
      <c r="Z1152" s="272">
        <f t="shared" si="51"/>
        <v>0</v>
      </c>
      <c r="AA1152" s="331"/>
      <c r="AB1152" s="331"/>
      <c r="AC1152" s="331"/>
      <c r="AD1152" s="331"/>
      <c r="AE1152" s="331"/>
      <c r="AF1152" s="331"/>
      <c r="AG1152" s="331"/>
      <c r="AH1152" s="241">
        <f t="shared" ca="1" si="52"/>
        <v>46153</v>
      </c>
      <c r="AI1152" s="272"/>
      <c r="AJ1152" s="222"/>
      <c r="AK1152" s="222"/>
    </row>
    <row r="1153" spans="1:37" ht="23.25" hidden="1" customHeight="1">
      <c r="A1153" s="111">
        <v>370</v>
      </c>
      <c r="B1153" s="112">
        <v>14</v>
      </c>
      <c r="C1153" s="113" t="s">
        <v>1310</v>
      </c>
      <c r="D1153" s="147" t="s">
        <v>1311</v>
      </c>
      <c r="E1153" s="114" t="s">
        <v>1312</v>
      </c>
      <c r="F1153" s="115" t="s">
        <v>1064</v>
      </c>
      <c r="G1153" s="115" t="s">
        <v>1018</v>
      </c>
      <c r="H1153" s="116">
        <v>13.74559</v>
      </c>
      <c r="I1153" s="116">
        <v>100.56261000000001</v>
      </c>
      <c r="J1153" s="116" t="s">
        <v>890</v>
      </c>
      <c r="K1153" s="117" t="s">
        <v>891</v>
      </c>
      <c r="L1153" s="117" t="s">
        <v>891</v>
      </c>
      <c r="M1153" s="117">
        <v>96888744</v>
      </c>
      <c r="N1153" s="117" t="s">
        <v>892</v>
      </c>
      <c r="O1153" s="117" t="s">
        <v>984</v>
      </c>
      <c r="P1153" s="117" t="s">
        <v>902</v>
      </c>
      <c r="Q1153" s="118">
        <v>80057501</v>
      </c>
      <c r="R1153" s="119" t="s">
        <v>895</v>
      </c>
      <c r="S1153" s="119" t="s">
        <v>895</v>
      </c>
      <c r="T1153" s="222"/>
      <c r="U1153" s="222"/>
      <c r="V1153" s="222"/>
      <c r="W1153" s="230"/>
      <c r="X1153" s="331">
        <f t="shared" si="53"/>
        <v>0</v>
      </c>
      <c r="Y1153" s="222"/>
      <c r="Z1153" s="272">
        <f t="shared" si="51"/>
        <v>0</v>
      </c>
      <c r="AA1153" s="331"/>
      <c r="AB1153" s="331"/>
      <c r="AC1153" s="331"/>
      <c r="AD1153" s="331"/>
      <c r="AE1153" s="331"/>
      <c r="AF1153" s="331"/>
      <c r="AG1153" s="331"/>
      <c r="AH1153" s="241">
        <f t="shared" ca="1" si="52"/>
        <v>46153</v>
      </c>
      <c r="AI1153" s="272"/>
      <c r="AJ1153" s="222"/>
      <c r="AK1153" s="222"/>
    </row>
    <row r="1154" spans="1:37" ht="23.25" hidden="1" customHeight="1">
      <c r="A1154" s="111">
        <v>474</v>
      </c>
      <c r="B1154" s="112" t="s">
        <v>1013</v>
      </c>
      <c r="C1154" s="122" t="s">
        <v>1444</v>
      </c>
      <c r="D1154" s="147" t="s">
        <v>1445</v>
      </c>
      <c r="E1154" s="123" t="s">
        <v>1446</v>
      </c>
      <c r="F1154" s="116" t="s">
        <v>1064</v>
      </c>
      <c r="G1154" s="116" t="s">
        <v>957</v>
      </c>
      <c r="H1154" s="116">
        <v>13.748550399999999</v>
      </c>
      <c r="I1154" s="116">
        <v>100.56325150000001</v>
      </c>
      <c r="J1154" s="116" t="s">
        <v>890</v>
      </c>
      <c r="K1154" s="117" t="s">
        <v>891</v>
      </c>
      <c r="L1154" s="117" t="s">
        <v>891</v>
      </c>
      <c r="M1154" s="117">
        <v>96895760</v>
      </c>
      <c r="N1154" s="117" t="s">
        <v>892</v>
      </c>
      <c r="O1154" s="117" t="s">
        <v>984</v>
      </c>
      <c r="P1154" s="117" t="s">
        <v>902</v>
      </c>
      <c r="Q1154" s="118">
        <v>80057501</v>
      </c>
      <c r="R1154" s="119" t="s">
        <v>895</v>
      </c>
      <c r="S1154" s="119" t="s">
        <v>895</v>
      </c>
      <c r="T1154" s="222"/>
      <c r="U1154" s="222"/>
      <c r="V1154" s="222"/>
      <c r="W1154" s="230"/>
      <c r="X1154" s="331">
        <f t="shared" si="53"/>
        <v>0</v>
      </c>
      <c r="Y1154" s="222"/>
      <c r="Z1154" s="272">
        <f t="shared" si="51"/>
        <v>0</v>
      </c>
      <c r="AA1154" s="331"/>
      <c r="AB1154" s="331"/>
      <c r="AC1154" s="331"/>
      <c r="AD1154" s="331"/>
      <c r="AE1154" s="331"/>
      <c r="AF1154" s="331"/>
      <c r="AG1154" s="331"/>
      <c r="AH1154" s="241">
        <f t="shared" ca="1" si="52"/>
        <v>46153</v>
      </c>
      <c r="AI1154" s="272"/>
      <c r="AJ1154" s="222"/>
      <c r="AK1154" s="222"/>
    </row>
    <row r="1155" spans="1:37" ht="23.25" hidden="1" customHeight="1">
      <c r="A1155" s="111">
        <v>530</v>
      </c>
      <c r="B1155" s="112" t="s">
        <v>1098</v>
      </c>
      <c r="C1155" s="113" t="s">
        <v>1482</v>
      </c>
      <c r="D1155" s="147" t="s">
        <v>1483</v>
      </c>
      <c r="E1155" s="114" t="s">
        <v>1484</v>
      </c>
      <c r="F1155" s="115" t="s">
        <v>1064</v>
      </c>
      <c r="G1155" s="115" t="s">
        <v>936</v>
      </c>
      <c r="H1155" s="116">
        <v>13.754507</v>
      </c>
      <c r="I1155" s="116">
        <v>100.564774</v>
      </c>
      <c r="J1155" s="116" t="s">
        <v>890</v>
      </c>
      <c r="K1155" s="117" t="s">
        <v>891</v>
      </c>
      <c r="L1155" s="117" t="s">
        <v>891</v>
      </c>
      <c r="M1155" s="117">
        <v>96888739</v>
      </c>
      <c r="N1155" s="117" t="s">
        <v>892</v>
      </c>
      <c r="O1155" s="117" t="s">
        <v>984</v>
      </c>
      <c r="P1155" s="117" t="s">
        <v>902</v>
      </c>
      <c r="Q1155" s="118">
        <v>80057501</v>
      </c>
      <c r="R1155" s="119" t="s">
        <v>895</v>
      </c>
      <c r="S1155" s="119" t="s">
        <v>895</v>
      </c>
      <c r="T1155" s="222"/>
      <c r="U1155" s="222"/>
      <c r="V1155" s="222"/>
      <c r="W1155" s="230"/>
      <c r="X1155" s="331">
        <f t="shared" si="53"/>
        <v>0</v>
      </c>
      <c r="Y1155" s="222"/>
      <c r="Z1155" s="272">
        <f t="shared" ref="Z1155:Z1195" si="54">DATEDIF(X1155,Y1155,"d")</f>
        <v>0</v>
      </c>
      <c r="AA1155" s="331"/>
      <c r="AB1155" s="331"/>
      <c r="AC1155" s="331"/>
      <c r="AD1155" s="331"/>
      <c r="AE1155" s="331"/>
      <c r="AF1155" s="331"/>
      <c r="AG1155" s="331"/>
      <c r="AH1155" s="241">
        <f t="shared" ref="AH1155:AH1195" ca="1" si="55">TODAY()</f>
        <v>46153</v>
      </c>
      <c r="AI1155" s="272"/>
      <c r="AJ1155" s="222"/>
      <c r="AK1155" s="222"/>
    </row>
    <row r="1156" spans="1:37" ht="23.25" hidden="1" customHeight="1">
      <c r="A1156" s="111">
        <v>573</v>
      </c>
      <c r="B1156" s="112">
        <v>11</v>
      </c>
      <c r="C1156" s="113" t="s">
        <v>1529</v>
      </c>
      <c r="D1156" s="147" t="s">
        <v>1530</v>
      </c>
      <c r="E1156" s="114" t="s">
        <v>1531</v>
      </c>
      <c r="F1156" s="115" t="s">
        <v>1064</v>
      </c>
      <c r="G1156" s="115" t="s">
        <v>1018</v>
      </c>
      <c r="H1156" s="116">
        <v>13.737812</v>
      </c>
      <c r="I1156" s="116">
        <v>100.56164</v>
      </c>
      <c r="J1156" s="116" t="s">
        <v>890</v>
      </c>
      <c r="K1156" s="117" t="s">
        <v>891</v>
      </c>
      <c r="L1156" s="117" t="s">
        <v>891</v>
      </c>
      <c r="M1156" s="117">
        <v>96888939</v>
      </c>
      <c r="N1156" s="117" t="s">
        <v>892</v>
      </c>
      <c r="O1156" s="117" t="s">
        <v>984</v>
      </c>
      <c r="P1156" s="117" t="s">
        <v>902</v>
      </c>
      <c r="Q1156" s="118">
        <v>80057501</v>
      </c>
      <c r="R1156" s="119" t="s">
        <v>895</v>
      </c>
      <c r="S1156" s="119" t="s">
        <v>895</v>
      </c>
      <c r="T1156" s="222"/>
      <c r="U1156" s="222"/>
      <c r="V1156" s="222"/>
      <c r="W1156" s="230"/>
      <c r="X1156" s="331">
        <f t="shared" ref="X1156:X1195" si="56">V1156+(W1156)</f>
        <v>0</v>
      </c>
      <c r="Y1156" s="222"/>
      <c r="Z1156" s="272">
        <f t="shared" si="54"/>
        <v>0</v>
      </c>
      <c r="AA1156" s="331"/>
      <c r="AB1156" s="331"/>
      <c r="AC1156" s="331"/>
      <c r="AD1156" s="331"/>
      <c r="AE1156" s="331"/>
      <c r="AF1156" s="331"/>
      <c r="AG1156" s="331"/>
      <c r="AH1156" s="241">
        <f t="shared" ca="1" si="55"/>
        <v>46153</v>
      </c>
      <c r="AI1156" s="272"/>
      <c r="AJ1156" s="222"/>
      <c r="AK1156" s="222"/>
    </row>
    <row r="1157" spans="1:37" ht="23.25" hidden="1" customHeight="1">
      <c r="A1157" s="111">
        <v>574</v>
      </c>
      <c r="B1157" s="112">
        <v>13</v>
      </c>
      <c r="C1157" s="122" t="s">
        <v>1532</v>
      </c>
      <c r="D1157" s="147" t="s">
        <v>1533</v>
      </c>
      <c r="E1157" s="114" t="s">
        <v>1534</v>
      </c>
      <c r="F1157" s="115" t="s">
        <v>1064</v>
      </c>
      <c r="G1157" s="115" t="s">
        <v>1018</v>
      </c>
      <c r="H1157" s="116">
        <v>13.739456000000001</v>
      </c>
      <c r="I1157" s="116">
        <v>100.56178300000001</v>
      </c>
      <c r="J1157" s="116" t="s">
        <v>890</v>
      </c>
      <c r="K1157" s="117" t="s">
        <v>891</v>
      </c>
      <c r="L1157" s="117" t="s">
        <v>891</v>
      </c>
      <c r="M1157" s="117">
        <v>96888938</v>
      </c>
      <c r="N1157" s="117" t="s">
        <v>892</v>
      </c>
      <c r="O1157" s="117" t="s">
        <v>984</v>
      </c>
      <c r="P1157" s="117" t="s">
        <v>902</v>
      </c>
      <c r="Q1157" s="118">
        <v>80057501</v>
      </c>
      <c r="R1157" s="119" t="s">
        <v>895</v>
      </c>
      <c r="S1157" s="119" t="s">
        <v>895</v>
      </c>
      <c r="T1157" s="222"/>
      <c r="U1157" s="222"/>
      <c r="V1157" s="222"/>
      <c r="W1157" s="230"/>
      <c r="X1157" s="331">
        <f t="shared" si="56"/>
        <v>0</v>
      </c>
      <c r="Y1157" s="222"/>
      <c r="Z1157" s="272">
        <f t="shared" si="54"/>
        <v>0</v>
      </c>
      <c r="AA1157" s="331"/>
      <c r="AB1157" s="331"/>
      <c r="AC1157" s="331"/>
      <c r="AD1157" s="331"/>
      <c r="AE1157" s="331"/>
      <c r="AF1157" s="331"/>
      <c r="AG1157" s="331"/>
      <c r="AH1157" s="241">
        <f t="shared" ca="1" si="55"/>
        <v>46153</v>
      </c>
      <c r="AI1157" s="272"/>
      <c r="AJ1157" s="222"/>
      <c r="AK1157" s="222"/>
    </row>
    <row r="1158" spans="1:37" ht="23.25" hidden="1" customHeight="1">
      <c r="A1158" s="111">
        <v>688</v>
      </c>
      <c r="B1158" s="112">
        <v>8</v>
      </c>
      <c r="C1158" s="113" t="s">
        <v>1657</v>
      </c>
      <c r="D1158" s="147" t="s">
        <v>1658</v>
      </c>
      <c r="E1158" s="114" t="s">
        <v>1659</v>
      </c>
      <c r="F1158" s="115" t="s">
        <v>1064</v>
      </c>
      <c r="G1158" s="115" t="s">
        <v>1018</v>
      </c>
      <c r="H1158" s="116">
        <v>13.743228</v>
      </c>
      <c r="I1158" s="116">
        <v>100.562093</v>
      </c>
      <c r="J1158" s="116" t="s">
        <v>890</v>
      </c>
      <c r="K1158" s="117" t="s">
        <v>891</v>
      </c>
      <c r="L1158" s="117" t="s">
        <v>891</v>
      </c>
      <c r="M1158" s="117">
        <v>96888936</v>
      </c>
      <c r="N1158" s="117" t="s">
        <v>892</v>
      </c>
      <c r="O1158" s="117" t="s">
        <v>984</v>
      </c>
      <c r="P1158" s="117" t="s">
        <v>902</v>
      </c>
      <c r="Q1158" s="118">
        <v>80057501</v>
      </c>
      <c r="R1158" s="119" t="s">
        <v>895</v>
      </c>
      <c r="S1158" s="119" t="s">
        <v>895</v>
      </c>
      <c r="T1158" s="222"/>
      <c r="U1158" s="222"/>
      <c r="V1158" s="222"/>
      <c r="W1158" s="230"/>
      <c r="X1158" s="331">
        <f t="shared" si="56"/>
        <v>0</v>
      </c>
      <c r="Y1158" s="222"/>
      <c r="Z1158" s="272">
        <f t="shared" si="54"/>
        <v>0</v>
      </c>
      <c r="AA1158" s="331"/>
      <c r="AB1158" s="331"/>
      <c r="AC1158" s="331"/>
      <c r="AD1158" s="331"/>
      <c r="AE1158" s="331"/>
      <c r="AF1158" s="331"/>
      <c r="AG1158" s="331"/>
      <c r="AH1158" s="241">
        <f t="shared" ca="1" si="55"/>
        <v>46153</v>
      </c>
      <c r="AI1158" s="272"/>
      <c r="AJ1158" s="222"/>
      <c r="AK1158" s="222"/>
    </row>
    <row r="1159" spans="1:37" ht="23.25" hidden="1" customHeight="1">
      <c r="A1159" s="111">
        <v>794</v>
      </c>
      <c r="B1159" s="112" t="s">
        <v>1071</v>
      </c>
      <c r="C1159" s="122" t="s">
        <v>1758</v>
      </c>
      <c r="D1159" s="147" t="s">
        <v>1759</v>
      </c>
      <c r="E1159" s="123" t="s">
        <v>1760</v>
      </c>
      <c r="F1159" s="116" t="s">
        <v>1064</v>
      </c>
      <c r="G1159" s="116" t="s">
        <v>1018</v>
      </c>
      <c r="H1159" s="139">
        <v>13.743676000000001</v>
      </c>
      <c r="I1159" s="139">
        <v>100.562308</v>
      </c>
      <c r="J1159" s="121" t="s">
        <v>890</v>
      </c>
      <c r="K1159" s="121" t="s">
        <v>891</v>
      </c>
      <c r="L1159" s="121" t="s">
        <v>891</v>
      </c>
      <c r="M1159" s="124">
        <v>96890821</v>
      </c>
      <c r="N1159" s="121" t="s">
        <v>892</v>
      </c>
      <c r="O1159" s="121"/>
      <c r="P1159" s="127" t="s">
        <v>1076</v>
      </c>
      <c r="Q1159" s="118">
        <v>80057501</v>
      </c>
      <c r="R1159" s="119" t="s">
        <v>895</v>
      </c>
      <c r="S1159" s="119" t="s">
        <v>895</v>
      </c>
      <c r="T1159" s="222"/>
      <c r="U1159" s="222"/>
      <c r="V1159" s="222"/>
      <c r="W1159" s="230"/>
      <c r="X1159" s="331">
        <f t="shared" si="56"/>
        <v>0</v>
      </c>
      <c r="Y1159" s="222"/>
      <c r="Z1159" s="272">
        <f t="shared" si="54"/>
        <v>0</v>
      </c>
      <c r="AA1159" s="331"/>
      <c r="AB1159" s="331"/>
      <c r="AC1159" s="331"/>
      <c r="AD1159" s="331"/>
      <c r="AE1159" s="331"/>
      <c r="AF1159" s="331"/>
      <c r="AG1159" s="331"/>
      <c r="AH1159" s="241">
        <f t="shared" ca="1" si="55"/>
        <v>46153</v>
      </c>
      <c r="AI1159" s="272"/>
      <c r="AJ1159" s="222"/>
      <c r="AK1159" s="222"/>
    </row>
    <row r="1160" spans="1:37" ht="23.25" hidden="1" customHeight="1">
      <c r="A1160" s="111">
        <v>960</v>
      </c>
      <c r="B1160" s="112">
        <v>9</v>
      </c>
      <c r="C1160" s="122" t="s">
        <v>1892</v>
      </c>
      <c r="D1160" s="147" t="s">
        <v>1893</v>
      </c>
      <c r="E1160" s="114" t="s">
        <v>1894</v>
      </c>
      <c r="F1160" s="115" t="s">
        <v>1064</v>
      </c>
      <c r="G1160" s="115" t="s">
        <v>1018</v>
      </c>
      <c r="H1160" s="116">
        <v>13.741189</v>
      </c>
      <c r="I1160" s="116">
        <v>100.561926</v>
      </c>
      <c r="J1160" s="116" t="s">
        <v>890</v>
      </c>
      <c r="K1160" s="117" t="s">
        <v>891</v>
      </c>
      <c r="L1160" s="117" t="s">
        <v>891</v>
      </c>
      <c r="M1160" s="117">
        <v>96890911</v>
      </c>
      <c r="N1160" s="117" t="s">
        <v>892</v>
      </c>
      <c r="O1160" s="117" t="s">
        <v>984</v>
      </c>
      <c r="P1160" s="117" t="s">
        <v>902</v>
      </c>
      <c r="Q1160" s="118">
        <v>80057501</v>
      </c>
      <c r="R1160" s="119" t="s">
        <v>895</v>
      </c>
      <c r="S1160" s="119" t="s">
        <v>895</v>
      </c>
      <c r="T1160" s="222"/>
      <c r="U1160" s="222"/>
      <c r="V1160" s="222"/>
      <c r="W1160" s="230"/>
      <c r="X1160" s="331">
        <f t="shared" si="56"/>
        <v>0</v>
      </c>
      <c r="Y1160" s="222"/>
      <c r="Z1160" s="272">
        <f t="shared" si="54"/>
        <v>0</v>
      </c>
      <c r="AA1160" s="331"/>
      <c r="AB1160" s="331"/>
      <c r="AC1160" s="331"/>
      <c r="AD1160" s="331"/>
      <c r="AE1160" s="331"/>
      <c r="AF1160" s="331"/>
      <c r="AG1160" s="331"/>
      <c r="AH1160" s="241">
        <f t="shared" ca="1" si="55"/>
        <v>46153</v>
      </c>
      <c r="AI1160" s="272"/>
      <c r="AJ1160" s="222"/>
      <c r="AK1160" s="222"/>
    </row>
    <row r="1161" spans="1:37" ht="23.25" hidden="1" customHeight="1">
      <c r="A1161" s="111">
        <v>972</v>
      </c>
      <c r="B1161" s="112">
        <v>1</v>
      </c>
      <c r="C1161" s="113" t="s">
        <v>1901</v>
      </c>
      <c r="D1161" s="147" t="s">
        <v>1902</v>
      </c>
      <c r="E1161" s="114" t="s">
        <v>1903</v>
      </c>
      <c r="F1161" s="115" t="s">
        <v>1064</v>
      </c>
      <c r="G1161" s="115" t="s">
        <v>1018</v>
      </c>
      <c r="H1161" s="115">
        <v>13.748550399999999</v>
      </c>
      <c r="I1161" s="115">
        <v>100.56325150000001</v>
      </c>
      <c r="J1161" s="116" t="s">
        <v>890</v>
      </c>
      <c r="K1161" s="117" t="s">
        <v>891</v>
      </c>
      <c r="L1161" s="117" t="s">
        <v>891</v>
      </c>
      <c r="M1161" s="117">
        <v>96894521</v>
      </c>
      <c r="N1161" s="117" t="s">
        <v>892</v>
      </c>
      <c r="O1161" s="117" t="s">
        <v>984</v>
      </c>
      <c r="P1161" s="117" t="s">
        <v>902</v>
      </c>
      <c r="Q1161" s="118">
        <v>80057501</v>
      </c>
      <c r="R1161" s="119" t="s">
        <v>895</v>
      </c>
      <c r="S1161" s="119" t="s">
        <v>895</v>
      </c>
      <c r="T1161" s="222"/>
      <c r="U1161" s="222"/>
      <c r="V1161" s="222"/>
      <c r="W1161" s="230"/>
      <c r="X1161" s="331">
        <f t="shared" si="56"/>
        <v>0</v>
      </c>
      <c r="Y1161" s="222"/>
      <c r="Z1161" s="272">
        <f t="shared" si="54"/>
        <v>0</v>
      </c>
      <c r="AA1161" s="331"/>
      <c r="AB1161" s="331"/>
      <c r="AC1161" s="331"/>
      <c r="AD1161" s="331"/>
      <c r="AE1161" s="331"/>
      <c r="AF1161" s="331"/>
      <c r="AG1161" s="331"/>
      <c r="AH1161" s="241">
        <f t="shared" ca="1" si="55"/>
        <v>46153</v>
      </c>
      <c r="AI1161" s="272"/>
      <c r="AJ1161" s="222"/>
      <c r="AK1161" s="222"/>
    </row>
    <row r="1162" spans="1:37" ht="23.25" hidden="1" customHeight="1">
      <c r="A1162" s="111">
        <v>1100</v>
      </c>
      <c r="B1162" s="112">
        <v>4</v>
      </c>
      <c r="C1162" s="113" t="s">
        <v>2041</v>
      </c>
      <c r="D1162" s="147" t="s">
        <v>2042</v>
      </c>
      <c r="E1162" s="114" t="s">
        <v>2043</v>
      </c>
      <c r="F1162" s="115" t="s">
        <v>1064</v>
      </c>
      <c r="G1162" s="115" t="s">
        <v>1018</v>
      </c>
      <c r="H1162" s="116">
        <v>13.741550999999999</v>
      </c>
      <c r="I1162" s="116">
        <v>100.561954</v>
      </c>
      <c r="J1162" s="116" t="s">
        <v>890</v>
      </c>
      <c r="K1162" s="117" t="s">
        <v>891</v>
      </c>
      <c r="L1162" s="117" t="s">
        <v>891</v>
      </c>
      <c r="M1162" s="127">
        <v>96890910</v>
      </c>
      <c r="N1162" s="117" t="s">
        <v>892</v>
      </c>
      <c r="O1162" s="117" t="s">
        <v>984</v>
      </c>
      <c r="P1162" s="117" t="s">
        <v>902</v>
      </c>
      <c r="Q1162" s="118">
        <v>80057501</v>
      </c>
      <c r="R1162" s="119" t="s">
        <v>895</v>
      </c>
      <c r="S1162" s="119" t="s">
        <v>895</v>
      </c>
      <c r="T1162" s="222"/>
      <c r="U1162" s="222"/>
      <c r="V1162" s="222"/>
      <c r="W1162" s="230"/>
      <c r="X1162" s="331">
        <f t="shared" si="56"/>
        <v>0</v>
      </c>
      <c r="Y1162" s="222"/>
      <c r="Z1162" s="272">
        <f t="shared" si="54"/>
        <v>0</v>
      </c>
      <c r="AA1162" s="331"/>
      <c r="AB1162" s="331"/>
      <c r="AC1162" s="331"/>
      <c r="AD1162" s="331"/>
      <c r="AE1162" s="331"/>
      <c r="AF1162" s="331"/>
      <c r="AG1162" s="331"/>
      <c r="AH1162" s="241">
        <f t="shared" ca="1" si="55"/>
        <v>46153</v>
      </c>
      <c r="AI1162" s="272"/>
      <c r="AJ1162" s="222"/>
      <c r="AK1162" s="222"/>
    </row>
    <row r="1163" spans="1:37" ht="23.25" hidden="1" customHeight="1">
      <c r="A1163" s="111">
        <v>240</v>
      </c>
      <c r="B1163" s="112" t="s">
        <v>1071</v>
      </c>
      <c r="C1163" s="122" t="s">
        <v>2366</v>
      </c>
      <c r="D1163" s="147" t="s">
        <v>2367</v>
      </c>
      <c r="E1163" s="123" t="s">
        <v>2368</v>
      </c>
      <c r="F1163" s="116" t="s">
        <v>1064</v>
      </c>
      <c r="G1163" s="116" t="s">
        <v>1018</v>
      </c>
      <c r="H1163" s="115">
        <v>13.7379733</v>
      </c>
      <c r="I1163" s="115">
        <v>100.56148</v>
      </c>
      <c r="J1163" s="116" t="s">
        <v>890</v>
      </c>
      <c r="K1163" s="115" t="s">
        <v>1212</v>
      </c>
      <c r="L1163" s="117" t="s">
        <v>1213</v>
      </c>
      <c r="M1163" s="121">
        <v>33019154</v>
      </c>
      <c r="N1163" s="121" t="s">
        <v>892</v>
      </c>
      <c r="O1163" s="121" t="s">
        <v>984</v>
      </c>
      <c r="P1163" s="127" t="s">
        <v>1076</v>
      </c>
      <c r="Q1163" s="118">
        <v>80057501</v>
      </c>
      <c r="R1163" s="119" t="s">
        <v>972</v>
      </c>
      <c r="S1163" s="125" t="s">
        <v>895</v>
      </c>
      <c r="T1163" s="222"/>
      <c r="U1163" s="222"/>
      <c r="V1163" s="222"/>
      <c r="W1163" s="230"/>
      <c r="X1163" s="331">
        <f t="shared" si="56"/>
        <v>0</v>
      </c>
      <c r="Y1163" s="222"/>
      <c r="Z1163" s="272">
        <f t="shared" si="54"/>
        <v>0</v>
      </c>
      <c r="AA1163" s="331"/>
      <c r="AB1163" s="331"/>
      <c r="AC1163" s="331"/>
      <c r="AD1163" s="331"/>
      <c r="AE1163" s="331"/>
      <c r="AF1163" s="331"/>
      <c r="AG1163" s="331"/>
      <c r="AH1163" s="241">
        <f t="shared" ca="1" si="55"/>
        <v>46153</v>
      </c>
      <c r="AI1163" s="272"/>
      <c r="AJ1163" s="222"/>
      <c r="AK1163" s="222"/>
    </row>
    <row r="1164" spans="1:37" ht="23" hidden="1">
      <c r="A1164" s="111">
        <v>137</v>
      </c>
      <c r="B1164" s="112" t="s">
        <v>1818</v>
      </c>
      <c r="C1164" s="113" t="s">
        <v>2461</v>
      </c>
      <c r="D1164" s="147" t="s">
        <v>2462</v>
      </c>
      <c r="E1164" s="114" t="s">
        <v>2463</v>
      </c>
      <c r="F1164" s="115" t="s">
        <v>1064</v>
      </c>
      <c r="G1164" s="115" t="s">
        <v>957</v>
      </c>
      <c r="H1164" s="116">
        <v>13.752215</v>
      </c>
      <c r="I1164" s="116">
        <v>100.564031</v>
      </c>
      <c r="J1164" s="116" t="s">
        <v>969</v>
      </c>
      <c r="K1164" s="115" t="s">
        <v>1048</v>
      </c>
      <c r="L1164" s="117" t="s">
        <v>2464</v>
      </c>
      <c r="M1164" s="117">
        <v>96924147</v>
      </c>
      <c r="N1164" s="121" t="s">
        <v>892</v>
      </c>
      <c r="O1164" s="117" t="s">
        <v>984</v>
      </c>
      <c r="P1164" s="117" t="s">
        <v>902</v>
      </c>
      <c r="Q1164" s="125" t="s">
        <v>972</v>
      </c>
      <c r="R1164" s="125" t="s">
        <v>972</v>
      </c>
      <c r="S1164" s="125" t="s">
        <v>972</v>
      </c>
      <c r="T1164" s="222"/>
      <c r="U1164" s="222"/>
      <c r="V1164" s="222"/>
      <c r="W1164" s="230"/>
      <c r="X1164" s="331">
        <f t="shared" si="56"/>
        <v>0</v>
      </c>
      <c r="Y1164" s="222"/>
      <c r="Z1164" s="272">
        <f t="shared" si="54"/>
        <v>0</v>
      </c>
      <c r="AA1164" s="331"/>
      <c r="AB1164" s="331"/>
      <c r="AC1164" s="331"/>
      <c r="AD1164" s="331"/>
      <c r="AE1164" s="331"/>
      <c r="AF1164" s="331"/>
      <c r="AG1164" s="331"/>
      <c r="AH1164" s="241">
        <f t="shared" ca="1" si="55"/>
        <v>46153</v>
      </c>
      <c r="AI1164" s="272"/>
      <c r="AJ1164" s="222"/>
      <c r="AK1164" s="222"/>
    </row>
    <row r="1165" spans="1:37" ht="23" hidden="1">
      <c r="A1165" s="111">
        <v>257</v>
      </c>
      <c r="B1165" s="112">
        <v>8</v>
      </c>
      <c r="C1165" s="113" t="s">
        <v>2782</v>
      </c>
      <c r="D1165" s="147" t="s">
        <v>2783</v>
      </c>
      <c r="E1165" s="114" t="s">
        <v>2784</v>
      </c>
      <c r="F1165" s="115" t="s">
        <v>1064</v>
      </c>
      <c r="G1165" s="115" t="s">
        <v>957</v>
      </c>
      <c r="H1165" s="116">
        <v>13.7513054</v>
      </c>
      <c r="I1165" s="116">
        <v>100.5638301</v>
      </c>
      <c r="J1165" s="116" t="s">
        <v>969</v>
      </c>
      <c r="K1165" s="115" t="s">
        <v>1048</v>
      </c>
      <c r="L1165" s="117" t="s">
        <v>2464</v>
      </c>
      <c r="M1165" s="117">
        <v>96924147</v>
      </c>
      <c r="N1165" s="121" t="s">
        <v>892</v>
      </c>
      <c r="O1165" s="117" t="s">
        <v>984</v>
      </c>
      <c r="P1165" s="117" t="s">
        <v>902</v>
      </c>
      <c r="Q1165" s="125" t="s">
        <v>972</v>
      </c>
      <c r="R1165" s="125" t="s">
        <v>972</v>
      </c>
      <c r="S1165" s="125" t="s">
        <v>972</v>
      </c>
      <c r="T1165" s="222"/>
      <c r="U1165" s="222"/>
      <c r="V1165" s="222"/>
      <c r="W1165" s="230"/>
      <c r="X1165" s="331">
        <f t="shared" si="56"/>
        <v>0</v>
      </c>
      <c r="Y1165" s="222"/>
      <c r="Z1165" s="272">
        <f t="shared" si="54"/>
        <v>0</v>
      </c>
      <c r="AA1165" s="331"/>
      <c r="AB1165" s="331"/>
      <c r="AC1165" s="331"/>
      <c r="AD1165" s="331"/>
      <c r="AE1165" s="331"/>
      <c r="AF1165" s="331"/>
      <c r="AG1165" s="331"/>
      <c r="AH1165" s="241">
        <f t="shared" ca="1" si="55"/>
        <v>46153</v>
      </c>
      <c r="AI1165" s="272"/>
      <c r="AJ1165" s="222"/>
      <c r="AK1165" s="222"/>
    </row>
    <row r="1166" spans="1:37" s="345" customFormat="1" ht="23" hidden="1">
      <c r="A1166" s="111">
        <v>312</v>
      </c>
      <c r="B1166" s="112">
        <v>5</v>
      </c>
      <c r="C1166" s="122" t="s">
        <v>2900</v>
      </c>
      <c r="D1166" s="147" t="s">
        <v>2901</v>
      </c>
      <c r="E1166" s="123" t="s">
        <v>2902</v>
      </c>
      <c r="F1166" s="116" t="s">
        <v>1064</v>
      </c>
      <c r="G1166" s="116" t="s">
        <v>936</v>
      </c>
      <c r="H1166" s="116">
        <v>13.753485899999999</v>
      </c>
      <c r="I1166" s="116">
        <v>100.56432479999999</v>
      </c>
      <c r="J1166" s="116" t="s">
        <v>969</v>
      </c>
      <c r="K1166" s="115" t="s">
        <v>1048</v>
      </c>
      <c r="L1166" s="118" t="s">
        <v>2903</v>
      </c>
      <c r="M1166" s="117">
        <v>96939689</v>
      </c>
      <c r="N1166" s="121" t="s">
        <v>892</v>
      </c>
      <c r="O1166" s="117" t="s">
        <v>984</v>
      </c>
      <c r="P1166" s="117" t="s">
        <v>2667</v>
      </c>
      <c r="Q1166" s="125" t="s">
        <v>972</v>
      </c>
      <c r="R1166" s="125" t="s">
        <v>972</v>
      </c>
      <c r="S1166" s="125" t="s">
        <v>972</v>
      </c>
      <c r="T1166" s="222"/>
      <c r="U1166" s="222"/>
      <c r="V1166" s="222"/>
      <c r="W1166" s="230"/>
      <c r="X1166" s="331">
        <f t="shared" si="56"/>
        <v>0</v>
      </c>
      <c r="Y1166" s="222"/>
      <c r="Z1166" s="272">
        <f t="shared" si="54"/>
        <v>0</v>
      </c>
      <c r="AA1166" s="331"/>
      <c r="AB1166" s="331"/>
      <c r="AC1166" s="331"/>
      <c r="AD1166" s="331"/>
      <c r="AE1166" s="331"/>
      <c r="AF1166" s="331"/>
      <c r="AG1166" s="331"/>
      <c r="AH1166" s="241">
        <f t="shared" ca="1" si="55"/>
        <v>46153</v>
      </c>
      <c r="AI1166" s="272"/>
      <c r="AJ1166" s="222"/>
      <c r="AK1166" s="222"/>
    </row>
    <row r="1167" spans="1:37" s="345" customFormat="1" ht="23" hidden="1">
      <c r="A1167" s="111">
        <v>1117</v>
      </c>
      <c r="B1167" s="112">
        <v>10</v>
      </c>
      <c r="C1167" s="113" t="s">
        <v>4892</v>
      </c>
      <c r="D1167" s="147" t="s">
        <v>4893</v>
      </c>
      <c r="E1167" s="114" t="s">
        <v>4894</v>
      </c>
      <c r="F1167" s="115" t="s">
        <v>1064</v>
      </c>
      <c r="G1167" s="115" t="s">
        <v>1018</v>
      </c>
      <c r="H1167" s="116">
        <v>13.742200199999999</v>
      </c>
      <c r="I1167" s="116">
        <v>100.56200699999999</v>
      </c>
      <c r="J1167" s="115" t="s">
        <v>890</v>
      </c>
      <c r="K1167" s="117" t="s">
        <v>2168</v>
      </c>
      <c r="L1167" s="117" t="s">
        <v>5171</v>
      </c>
      <c r="M1167" s="121" t="s">
        <v>972</v>
      </c>
      <c r="N1167" s="121" t="s">
        <v>972</v>
      </c>
      <c r="O1167" s="117" t="s">
        <v>984</v>
      </c>
      <c r="P1167" s="117" t="s">
        <v>1876</v>
      </c>
      <c r="Q1167" s="125" t="s">
        <v>972</v>
      </c>
      <c r="R1167" s="125" t="s">
        <v>972</v>
      </c>
      <c r="S1167" s="125" t="s">
        <v>972</v>
      </c>
      <c r="T1167" s="274" t="s">
        <v>5212</v>
      </c>
      <c r="U1167" s="312" t="s">
        <v>5184</v>
      </c>
      <c r="V1167" s="329">
        <v>44979</v>
      </c>
      <c r="W1167" s="326">
        <v>4</v>
      </c>
      <c r="X1167" s="331">
        <f t="shared" si="56"/>
        <v>44983</v>
      </c>
      <c r="Y1167" s="329">
        <v>45007</v>
      </c>
      <c r="Z1167" s="332">
        <f t="shared" si="54"/>
        <v>24</v>
      </c>
      <c r="AA1167" s="331"/>
      <c r="AB1167" s="331"/>
      <c r="AC1167" s="331"/>
      <c r="AD1167" s="331"/>
      <c r="AE1167" s="331"/>
      <c r="AF1167" s="331"/>
      <c r="AG1167" s="331"/>
      <c r="AH1167" s="329">
        <f t="shared" ca="1" si="55"/>
        <v>46153</v>
      </c>
      <c r="AI1167" s="330"/>
      <c r="AJ1167" s="312" t="s">
        <v>5143</v>
      </c>
      <c r="AK1167" s="312" t="s">
        <v>5149</v>
      </c>
    </row>
    <row r="1168" spans="1:37" ht="23" hidden="1">
      <c r="A1168" s="111">
        <v>1132</v>
      </c>
      <c r="B1168" s="112">
        <v>16</v>
      </c>
      <c r="C1168" s="113" t="s">
        <v>4935</v>
      </c>
      <c r="D1168" s="147" t="s">
        <v>4936</v>
      </c>
      <c r="E1168" s="114" t="s">
        <v>4937</v>
      </c>
      <c r="F1168" s="115" t="s">
        <v>1064</v>
      </c>
      <c r="G1168" s="115" t="s">
        <v>1018</v>
      </c>
      <c r="H1168" s="116">
        <v>13.742074000000001</v>
      </c>
      <c r="I1168" s="116">
        <v>100.56199700000001</v>
      </c>
      <c r="J1168" s="115" t="s">
        <v>890</v>
      </c>
      <c r="K1168" s="117" t="s">
        <v>2180</v>
      </c>
      <c r="L1168" s="117" t="s">
        <v>2180</v>
      </c>
      <c r="M1168" s="121">
        <v>33016145</v>
      </c>
      <c r="N1168" s="121" t="s">
        <v>892</v>
      </c>
      <c r="O1168" s="117" t="s">
        <v>984</v>
      </c>
      <c r="P1168" s="117" t="s">
        <v>1876</v>
      </c>
      <c r="Q1168" s="125" t="s">
        <v>972</v>
      </c>
      <c r="R1168" s="125" t="s">
        <v>972</v>
      </c>
      <c r="S1168" s="125" t="s">
        <v>972</v>
      </c>
      <c r="T1168" s="274" t="s">
        <v>5212</v>
      </c>
      <c r="U1168" s="312" t="s">
        <v>5184</v>
      </c>
      <c r="V1168" s="329">
        <v>44979</v>
      </c>
      <c r="W1168" s="326">
        <v>4</v>
      </c>
      <c r="X1168" s="331">
        <f t="shared" si="56"/>
        <v>44983</v>
      </c>
      <c r="Y1168" s="329">
        <v>45007</v>
      </c>
      <c r="Z1168" s="332">
        <f t="shared" si="54"/>
        <v>24</v>
      </c>
      <c r="AA1168" s="331"/>
      <c r="AB1168" s="331"/>
      <c r="AC1168" s="331"/>
      <c r="AD1168" s="331"/>
      <c r="AE1168" s="331"/>
      <c r="AF1168" s="331"/>
      <c r="AG1168" s="331"/>
      <c r="AH1168" s="329">
        <f t="shared" ca="1" si="55"/>
        <v>46153</v>
      </c>
      <c r="AI1168" s="330"/>
      <c r="AJ1168" s="312" t="s">
        <v>5143</v>
      </c>
      <c r="AK1168" s="312" t="s">
        <v>5149</v>
      </c>
    </row>
    <row r="1169" spans="1:37" ht="23" hidden="1">
      <c r="A1169" s="111">
        <v>112</v>
      </c>
      <c r="B1169" s="112">
        <v>15</v>
      </c>
      <c r="C1169" s="122" t="s">
        <v>5069</v>
      </c>
      <c r="D1169" s="147" t="s">
        <v>5070</v>
      </c>
      <c r="E1169" s="123" t="s">
        <v>5071</v>
      </c>
      <c r="F1169" s="116" t="s">
        <v>1064</v>
      </c>
      <c r="G1169" s="116" t="s">
        <v>1018</v>
      </c>
      <c r="H1169" s="116">
        <v>13.741095899999999</v>
      </c>
      <c r="I1169" s="116">
        <v>100.5619196</v>
      </c>
      <c r="J1169" s="116" t="s">
        <v>890</v>
      </c>
      <c r="K1169" s="115" t="s">
        <v>1212</v>
      </c>
      <c r="L1169" s="117" t="s">
        <v>1213</v>
      </c>
      <c r="M1169" s="117" t="s">
        <v>5072</v>
      </c>
      <c r="N1169" s="121" t="s">
        <v>892</v>
      </c>
      <c r="O1169" s="117" t="s">
        <v>984</v>
      </c>
      <c r="P1169" s="117" t="s">
        <v>902</v>
      </c>
      <c r="Q1169" s="125" t="s">
        <v>972</v>
      </c>
      <c r="R1169" s="125" t="s">
        <v>972</v>
      </c>
      <c r="S1169" s="125" t="s">
        <v>4749</v>
      </c>
      <c r="T1169" s="305" t="s">
        <v>5212</v>
      </c>
      <c r="U1169" s="305" t="s">
        <v>5263</v>
      </c>
      <c r="V1169" s="331">
        <v>45102</v>
      </c>
      <c r="W1169" s="326">
        <v>4</v>
      </c>
      <c r="X1169" s="331">
        <f t="shared" si="56"/>
        <v>45106</v>
      </c>
      <c r="Y1169" s="331">
        <v>45117</v>
      </c>
      <c r="Z1169" s="332">
        <f t="shared" si="54"/>
        <v>11</v>
      </c>
      <c r="AA1169" s="331"/>
      <c r="AB1169" s="331"/>
      <c r="AC1169" s="331"/>
      <c r="AD1169" s="331"/>
      <c r="AE1169" s="331"/>
      <c r="AF1169" s="331"/>
      <c r="AG1169" s="331"/>
      <c r="AH1169" s="331">
        <f t="shared" ca="1" si="55"/>
        <v>46153</v>
      </c>
      <c r="AI1169" s="332"/>
      <c r="AJ1169" s="312" t="s">
        <v>5143</v>
      </c>
      <c r="AK1169" s="305" t="s">
        <v>5149</v>
      </c>
    </row>
    <row r="1170" spans="1:37" ht="23" hidden="1">
      <c r="A1170" s="111">
        <v>46</v>
      </c>
      <c r="B1170" s="112" t="s">
        <v>1071</v>
      </c>
      <c r="C1170" s="113" t="s">
        <v>2164</v>
      </c>
      <c r="D1170" s="147" t="s">
        <v>2165</v>
      </c>
      <c r="E1170" s="114" t="s">
        <v>2166</v>
      </c>
      <c r="F1170" s="115" t="s">
        <v>2167</v>
      </c>
      <c r="G1170" s="115" t="s">
        <v>968</v>
      </c>
      <c r="H1170" s="116">
        <v>13.749992799999999</v>
      </c>
      <c r="I1170" s="116">
        <v>100.56377620000001</v>
      </c>
      <c r="J1170" s="121" t="s">
        <v>890</v>
      </c>
      <c r="K1170" s="121" t="s">
        <v>2168</v>
      </c>
      <c r="L1170" s="121" t="s">
        <v>2169</v>
      </c>
      <c r="M1170" s="121">
        <v>96888738</v>
      </c>
      <c r="N1170" s="121" t="s">
        <v>892</v>
      </c>
      <c r="O1170" s="121"/>
      <c r="P1170" s="127" t="s">
        <v>1076</v>
      </c>
      <c r="Q1170" s="129" t="s">
        <v>972</v>
      </c>
      <c r="R1170" s="119"/>
      <c r="S1170" s="119" t="s">
        <v>895</v>
      </c>
      <c r="T1170" s="222"/>
      <c r="U1170" s="222"/>
      <c r="V1170" s="222"/>
      <c r="W1170" s="230"/>
      <c r="X1170" s="331">
        <f t="shared" si="56"/>
        <v>0</v>
      </c>
      <c r="Y1170" s="222"/>
      <c r="Z1170" s="272">
        <f t="shared" si="54"/>
        <v>0</v>
      </c>
      <c r="AA1170" s="331"/>
      <c r="AB1170" s="331"/>
      <c r="AC1170" s="331"/>
      <c r="AD1170" s="331"/>
      <c r="AE1170" s="331"/>
      <c r="AF1170" s="331"/>
      <c r="AG1170" s="331"/>
      <c r="AH1170" s="241">
        <f t="shared" ca="1" si="55"/>
        <v>46153</v>
      </c>
      <c r="AI1170" s="272"/>
      <c r="AJ1170" s="222"/>
      <c r="AK1170" s="222"/>
    </row>
    <row r="1171" spans="1:37" ht="23.25" hidden="1" customHeight="1">
      <c r="A1171" s="111">
        <v>303</v>
      </c>
      <c r="B1171" s="112" t="s">
        <v>919</v>
      </c>
      <c r="C1171" s="113" t="s">
        <v>1237</v>
      </c>
      <c r="D1171" s="147" t="s">
        <v>1238</v>
      </c>
      <c r="E1171" s="114" t="s">
        <v>1239</v>
      </c>
      <c r="F1171" s="115" t="s">
        <v>1240</v>
      </c>
      <c r="G1171" s="115" t="s">
        <v>1030</v>
      </c>
      <c r="H1171" s="115">
        <v>13.70913</v>
      </c>
      <c r="I1171" s="115">
        <v>100.61599</v>
      </c>
      <c r="J1171" s="116" t="s">
        <v>890</v>
      </c>
      <c r="K1171" s="117" t="s">
        <v>891</v>
      </c>
      <c r="L1171" s="117" t="s">
        <v>891</v>
      </c>
      <c r="M1171" s="117">
        <v>96893714</v>
      </c>
      <c r="N1171" s="117" t="s">
        <v>892</v>
      </c>
      <c r="O1171" s="121" t="s">
        <v>984</v>
      </c>
      <c r="P1171" s="117" t="s">
        <v>902</v>
      </c>
      <c r="Q1171" s="118">
        <v>80057501</v>
      </c>
      <c r="R1171" s="119" t="s">
        <v>895</v>
      </c>
      <c r="S1171" s="119" t="s">
        <v>895</v>
      </c>
      <c r="T1171" s="222"/>
      <c r="U1171" s="222"/>
      <c r="V1171" s="222"/>
      <c r="W1171" s="230"/>
      <c r="X1171" s="331">
        <f t="shared" si="56"/>
        <v>0</v>
      </c>
      <c r="Y1171" s="222"/>
      <c r="Z1171" s="272">
        <f t="shared" si="54"/>
        <v>0</v>
      </c>
      <c r="AA1171" s="331"/>
      <c r="AB1171" s="331"/>
      <c r="AC1171" s="331"/>
      <c r="AD1171" s="331"/>
      <c r="AE1171" s="331"/>
      <c r="AF1171" s="331"/>
      <c r="AG1171" s="331"/>
      <c r="AH1171" s="241">
        <f t="shared" ca="1" si="55"/>
        <v>46153</v>
      </c>
      <c r="AI1171" s="272"/>
      <c r="AJ1171" s="222"/>
      <c r="AK1171" s="222"/>
    </row>
    <row r="1172" spans="1:37" ht="23.25" hidden="1" customHeight="1">
      <c r="A1172" s="111">
        <v>1088</v>
      </c>
      <c r="B1172" s="112">
        <v>2</v>
      </c>
      <c r="C1172" s="113" t="s">
        <v>2032</v>
      </c>
      <c r="D1172" s="147" t="s">
        <v>2033</v>
      </c>
      <c r="E1172" s="114" t="s">
        <v>2034</v>
      </c>
      <c r="F1172" s="115" t="s">
        <v>1240</v>
      </c>
      <c r="G1172" s="115" t="s">
        <v>1030</v>
      </c>
      <c r="H1172" s="116">
        <v>13.709374</v>
      </c>
      <c r="I1172" s="116">
        <v>100.622552</v>
      </c>
      <c r="J1172" s="116" t="s">
        <v>890</v>
      </c>
      <c r="K1172" s="117" t="s">
        <v>891</v>
      </c>
      <c r="L1172" s="118" t="s">
        <v>891</v>
      </c>
      <c r="M1172" s="127">
        <v>96894535</v>
      </c>
      <c r="N1172" s="117" t="s">
        <v>892</v>
      </c>
      <c r="O1172" s="121" t="s">
        <v>984</v>
      </c>
      <c r="P1172" s="118" t="s">
        <v>902</v>
      </c>
      <c r="Q1172" s="118">
        <v>80057501</v>
      </c>
      <c r="R1172" s="119" t="s">
        <v>895</v>
      </c>
      <c r="S1172" s="119" t="s">
        <v>895</v>
      </c>
      <c r="T1172" s="222"/>
      <c r="U1172" s="222"/>
      <c r="V1172" s="222"/>
      <c r="W1172" s="230"/>
      <c r="X1172" s="331">
        <f t="shared" si="56"/>
        <v>0</v>
      </c>
      <c r="Y1172" s="222"/>
      <c r="Z1172" s="272">
        <f t="shared" si="54"/>
        <v>0</v>
      </c>
      <c r="AA1172" s="331"/>
      <c r="AB1172" s="331"/>
      <c r="AC1172" s="331"/>
      <c r="AD1172" s="331"/>
      <c r="AE1172" s="331"/>
      <c r="AF1172" s="331"/>
      <c r="AG1172" s="331"/>
      <c r="AH1172" s="241">
        <f t="shared" ca="1" si="55"/>
        <v>46153</v>
      </c>
      <c r="AI1172" s="272"/>
      <c r="AJ1172" s="222"/>
      <c r="AK1172" s="222"/>
    </row>
    <row r="1173" spans="1:37" ht="23" hidden="1">
      <c r="A1173" s="111">
        <v>96</v>
      </c>
      <c r="B1173" s="112">
        <v>2</v>
      </c>
      <c r="C1173" s="113" t="s">
        <v>2343</v>
      </c>
      <c r="D1173" s="147" t="s">
        <v>2344</v>
      </c>
      <c r="E1173" s="114" t="s">
        <v>2345</v>
      </c>
      <c r="F1173" s="115" t="s">
        <v>1240</v>
      </c>
      <c r="G1173" s="115" t="s">
        <v>1030</v>
      </c>
      <c r="H1173" s="115">
        <v>13.7123591</v>
      </c>
      <c r="I1173" s="115">
        <v>100.60824150000001</v>
      </c>
      <c r="J1173" s="115" t="s">
        <v>2108</v>
      </c>
      <c r="K1173" s="117" t="s">
        <v>2109</v>
      </c>
      <c r="L1173" s="117" t="s">
        <v>2110</v>
      </c>
      <c r="M1173" s="121" t="s">
        <v>972</v>
      </c>
      <c r="N1173" s="121" t="s">
        <v>972</v>
      </c>
      <c r="O1173" s="121" t="s">
        <v>1134</v>
      </c>
      <c r="P1173" s="117" t="s">
        <v>1876</v>
      </c>
      <c r="Q1173" s="125" t="s">
        <v>972</v>
      </c>
      <c r="R1173" s="125" t="s">
        <v>972</v>
      </c>
      <c r="S1173" s="125" t="s">
        <v>972</v>
      </c>
      <c r="T1173" s="222"/>
      <c r="U1173" s="222"/>
      <c r="V1173" s="222"/>
      <c r="W1173" s="230"/>
      <c r="X1173" s="331">
        <f t="shared" si="56"/>
        <v>0</v>
      </c>
      <c r="Y1173" s="222"/>
      <c r="Z1173" s="272">
        <f t="shared" si="54"/>
        <v>0</v>
      </c>
      <c r="AA1173" s="331"/>
      <c r="AB1173" s="331"/>
      <c r="AC1173" s="331"/>
      <c r="AD1173" s="331"/>
      <c r="AE1173" s="331"/>
      <c r="AF1173" s="331"/>
      <c r="AG1173" s="331"/>
      <c r="AH1173" s="241">
        <f t="shared" ca="1" si="55"/>
        <v>46153</v>
      </c>
      <c r="AI1173" s="272"/>
      <c r="AJ1173" s="222"/>
      <c r="AK1173" s="222"/>
    </row>
    <row r="1174" spans="1:37" ht="23" hidden="1">
      <c r="A1174" s="111">
        <v>100</v>
      </c>
      <c r="B1174" s="112">
        <v>16</v>
      </c>
      <c r="C1174" s="113" t="s">
        <v>2349</v>
      </c>
      <c r="D1174" s="147" t="s">
        <v>2350</v>
      </c>
      <c r="E1174" s="114" t="s">
        <v>2351</v>
      </c>
      <c r="F1174" s="115" t="s">
        <v>1240</v>
      </c>
      <c r="G1174" s="115" t="s">
        <v>1030</v>
      </c>
      <c r="H1174" s="116">
        <v>13.709331000000001</v>
      </c>
      <c r="I1174" s="131">
        <v>100.62129</v>
      </c>
      <c r="J1174" s="115" t="s">
        <v>2108</v>
      </c>
      <c r="K1174" s="117" t="s">
        <v>2109</v>
      </c>
      <c r="L1174" s="117" t="s">
        <v>2110</v>
      </c>
      <c r="M1174" s="121" t="s">
        <v>972</v>
      </c>
      <c r="N1174" s="121" t="s">
        <v>972</v>
      </c>
      <c r="O1174" s="121" t="s">
        <v>984</v>
      </c>
      <c r="P1174" s="117" t="s">
        <v>1876</v>
      </c>
      <c r="Q1174" s="125" t="s">
        <v>972</v>
      </c>
      <c r="R1174" s="125" t="s">
        <v>972</v>
      </c>
      <c r="S1174" s="125" t="s">
        <v>972</v>
      </c>
      <c r="T1174" s="222"/>
      <c r="U1174" s="222"/>
      <c r="V1174" s="222"/>
      <c r="W1174" s="230"/>
      <c r="X1174" s="331">
        <f t="shared" si="56"/>
        <v>0</v>
      </c>
      <c r="Y1174" s="222"/>
      <c r="Z1174" s="272">
        <f t="shared" si="54"/>
        <v>0</v>
      </c>
      <c r="AA1174" s="331"/>
      <c r="AB1174" s="331"/>
      <c r="AC1174" s="331"/>
      <c r="AD1174" s="331"/>
      <c r="AE1174" s="331"/>
      <c r="AF1174" s="331"/>
      <c r="AG1174" s="331"/>
      <c r="AH1174" s="241">
        <f t="shared" ca="1" si="55"/>
        <v>46153</v>
      </c>
      <c r="AI1174" s="272"/>
      <c r="AJ1174" s="222"/>
      <c r="AK1174" s="222"/>
    </row>
    <row r="1175" spans="1:37" ht="23.25" hidden="1" customHeight="1">
      <c r="A1175" s="111">
        <v>399</v>
      </c>
      <c r="B1175" s="112">
        <v>13</v>
      </c>
      <c r="C1175" s="113" t="s">
        <v>3106</v>
      </c>
      <c r="D1175" s="147" t="s">
        <v>3107</v>
      </c>
      <c r="E1175" s="114" t="s">
        <v>3108</v>
      </c>
      <c r="F1175" s="115" t="s">
        <v>1240</v>
      </c>
      <c r="G1175" s="115" t="s">
        <v>1018</v>
      </c>
      <c r="H1175" s="116">
        <v>13.709815000000001</v>
      </c>
      <c r="I1175" s="116">
        <v>100.601274</v>
      </c>
      <c r="J1175" s="115" t="s">
        <v>2108</v>
      </c>
      <c r="K1175" s="117" t="s">
        <v>2109</v>
      </c>
      <c r="L1175" s="117" t="s">
        <v>2110</v>
      </c>
      <c r="M1175" s="121" t="s">
        <v>972</v>
      </c>
      <c r="N1175" s="121" t="s">
        <v>972</v>
      </c>
      <c r="O1175" s="121" t="s">
        <v>984</v>
      </c>
      <c r="P1175" s="118" t="s">
        <v>1876</v>
      </c>
      <c r="Q1175" s="125" t="s">
        <v>972</v>
      </c>
      <c r="R1175" s="125" t="s">
        <v>972</v>
      </c>
      <c r="S1175" s="125" t="s">
        <v>972</v>
      </c>
      <c r="T1175" s="222"/>
      <c r="U1175" s="222"/>
      <c r="V1175" s="222"/>
      <c r="W1175" s="230"/>
      <c r="X1175" s="331">
        <f t="shared" si="56"/>
        <v>0</v>
      </c>
      <c r="Y1175" s="222"/>
      <c r="Z1175" s="272">
        <f t="shared" si="54"/>
        <v>0</v>
      </c>
      <c r="AA1175" s="331"/>
      <c r="AB1175" s="331"/>
      <c r="AC1175" s="331"/>
      <c r="AD1175" s="331"/>
      <c r="AE1175" s="331"/>
      <c r="AF1175" s="331"/>
      <c r="AG1175" s="331"/>
      <c r="AH1175" s="241">
        <f t="shared" ca="1" si="55"/>
        <v>46153</v>
      </c>
      <c r="AI1175" s="272"/>
      <c r="AJ1175" s="222"/>
      <c r="AK1175" s="222"/>
    </row>
    <row r="1176" spans="1:37" ht="23.25" hidden="1" customHeight="1">
      <c r="A1176" s="111">
        <v>603</v>
      </c>
      <c r="B1176" s="112">
        <v>14</v>
      </c>
      <c r="C1176" s="122" t="s">
        <v>3629</v>
      </c>
      <c r="D1176" s="147" t="s">
        <v>3630</v>
      </c>
      <c r="E1176" s="123" t="s">
        <v>3631</v>
      </c>
      <c r="F1176" s="116" t="s">
        <v>1240</v>
      </c>
      <c r="G1176" s="116" t="s">
        <v>1030</v>
      </c>
      <c r="H1176" s="116">
        <v>13.7119483</v>
      </c>
      <c r="I1176" s="116">
        <v>100.6088383</v>
      </c>
      <c r="J1176" s="115" t="s">
        <v>2108</v>
      </c>
      <c r="K1176" s="117" t="s">
        <v>2109</v>
      </c>
      <c r="L1176" s="117" t="s">
        <v>2110</v>
      </c>
      <c r="M1176" s="121" t="s">
        <v>972</v>
      </c>
      <c r="N1176" s="121" t="s">
        <v>972</v>
      </c>
      <c r="O1176" s="121" t="s">
        <v>984</v>
      </c>
      <c r="P1176" s="117" t="s">
        <v>902</v>
      </c>
      <c r="Q1176" s="125" t="s">
        <v>972</v>
      </c>
      <c r="R1176" s="125" t="s">
        <v>972</v>
      </c>
      <c r="S1176" s="125" t="s">
        <v>972</v>
      </c>
      <c r="T1176" s="222"/>
      <c r="U1176" s="222"/>
      <c r="V1176" s="222"/>
      <c r="W1176" s="230"/>
      <c r="X1176" s="331">
        <f t="shared" si="56"/>
        <v>0</v>
      </c>
      <c r="Y1176" s="222"/>
      <c r="Z1176" s="272">
        <f t="shared" si="54"/>
        <v>0</v>
      </c>
      <c r="AA1176" s="331"/>
      <c r="AB1176" s="331"/>
      <c r="AC1176" s="331"/>
      <c r="AD1176" s="331"/>
      <c r="AE1176" s="331"/>
      <c r="AF1176" s="331"/>
      <c r="AG1176" s="331"/>
      <c r="AH1176" s="241">
        <f t="shared" ca="1" si="55"/>
        <v>46153</v>
      </c>
      <c r="AI1176" s="272"/>
      <c r="AJ1176" s="222"/>
      <c r="AK1176" s="222"/>
    </row>
    <row r="1177" spans="1:37" ht="23.25" hidden="1" customHeight="1">
      <c r="A1177" s="111">
        <v>606</v>
      </c>
      <c r="B1177" s="112">
        <v>15</v>
      </c>
      <c r="C1177" s="113" t="s">
        <v>3632</v>
      </c>
      <c r="D1177" s="147" t="s">
        <v>3633</v>
      </c>
      <c r="E1177" s="202" t="s">
        <v>3634</v>
      </c>
      <c r="F1177" s="182" t="s">
        <v>1240</v>
      </c>
      <c r="G1177" s="182" t="s">
        <v>1133</v>
      </c>
      <c r="H1177" s="203">
        <v>13.718462000000001</v>
      </c>
      <c r="I1177" s="203">
        <v>100.667018</v>
      </c>
      <c r="J1177" s="116" t="s">
        <v>2108</v>
      </c>
      <c r="K1177" s="116" t="s">
        <v>970</v>
      </c>
      <c r="L1177" s="204" t="s">
        <v>3635</v>
      </c>
      <c r="M1177" s="205" t="s">
        <v>972</v>
      </c>
      <c r="N1177" s="205" t="s">
        <v>972</v>
      </c>
      <c r="O1177" s="205" t="s">
        <v>1134</v>
      </c>
      <c r="P1177" s="204" t="s">
        <v>902</v>
      </c>
      <c r="Q1177" s="125" t="s">
        <v>972</v>
      </c>
      <c r="R1177" s="125" t="s">
        <v>972</v>
      </c>
      <c r="S1177" s="125" t="s">
        <v>972</v>
      </c>
      <c r="T1177" s="222"/>
      <c r="U1177" s="222"/>
      <c r="V1177" s="222"/>
      <c r="W1177" s="230"/>
      <c r="X1177" s="331">
        <f t="shared" si="56"/>
        <v>0</v>
      </c>
      <c r="Y1177" s="222"/>
      <c r="Z1177" s="272">
        <f t="shared" si="54"/>
        <v>0</v>
      </c>
      <c r="AA1177" s="331"/>
      <c r="AB1177" s="331"/>
      <c r="AC1177" s="331"/>
      <c r="AD1177" s="331"/>
      <c r="AE1177" s="331"/>
      <c r="AF1177" s="331"/>
      <c r="AG1177" s="331"/>
      <c r="AH1177" s="241">
        <f t="shared" ca="1" si="55"/>
        <v>46153</v>
      </c>
      <c r="AI1177" s="272"/>
      <c r="AJ1177" s="222"/>
      <c r="AK1177" s="222"/>
    </row>
    <row r="1178" spans="1:37" ht="23" hidden="1">
      <c r="A1178" s="111">
        <v>622</v>
      </c>
      <c r="B1178" s="112">
        <v>11</v>
      </c>
      <c r="C1178" s="113" t="s">
        <v>3685</v>
      </c>
      <c r="D1178" s="557" t="s">
        <v>3686</v>
      </c>
      <c r="E1178" s="202" t="s">
        <v>3687</v>
      </c>
      <c r="F1178" s="182" t="s">
        <v>1240</v>
      </c>
      <c r="G1178" s="182" t="s">
        <v>1018</v>
      </c>
      <c r="H1178" s="203">
        <v>13.710050000000001</v>
      </c>
      <c r="I1178" s="203">
        <v>100.601685</v>
      </c>
      <c r="J1178" s="115" t="s">
        <v>2108</v>
      </c>
      <c r="K1178" s="117" t="s">
        <v>2109</v>
      </c>
      <c r="L1178" s="204" t="s">
        <v>2110</v>
      </c>
      <c r="M1178" s="205" t="s">
        <v>972</v>
      </c>
      <c r="N1178" s="205" t="s">
        <v>972</v>
      </c>
      <c r="O1178" s="205" t="s">
        <v>984</v>
      </c>
      <c r="P1178" s="204" t="s">
        <v>1876</v>
      </c>
      <c r="Q1178" s="125" t="s">
        <v>972</v>
      </c>
      <c r="R1178" s="125" t="s">
        <v>972</v>
      </c>
      <c r="S1178" s="125" t="s">
        <v>972</v>
      </c>
      <c r="T1178" s="222"/>
      <c r="U1178" s="222"/>
      <c r="V1178" s="222"/>
      <c r="W1178" s="230"/>
      <c r="X1178" s="331">
        <f t="shared" si="56"/>
        <v>0</v>
      </c>
      <c r="Y1178" s="222"/>
      <c r="Z1178" s="272">
        <f t="shared" si="54"/>
        <v>0</v>
      </c>
      <c r="AA1178" s="331"/>
      <c r="AB1178" s="331"/>
      <c r="AC1178" s="331"/>
      <c r="AD1178" s="331"/>
      <c r="AE1178" s="331"/>
      <c r="AF1178" s="331"/>
      <c r="AG1178" s="331"/>
      <c r="AH1178" s="241">
        <f t="shared" ca="1" si="55"/>
        <v>46153</v>
      </c>
      <c r="AI1178" s="272"/>
      <c r="AJ1178" s="222"/>
      <c r="AK1178" s="222"/>
    </row>
    <row r="1179" spans="1:37" ht="23" hidden="1">
      <c r="A1179" s="111">
        <v>691</v>
      </c>
      <c r="B1179" s="112">
        <v>1</v>
      </c>
      <c r="C1179" s="113" t="s">
        <v>3825</v>
      </c>
      <c r="D1179" s="147" t="s">
        <v>3826</v>
      </c>
      <c r="E1179" s="114" t="s">
        <v>3827</v>
      </c>
      <c r="F1179" s="115" t="s">
        <v>1240</v>
      </c>
      <c r="G1179" s="115" t="s">
        <v>1030</v>
      </c>
      <c r="H1179" s="116">
        <v>13.7105868</v>
      </c>
      <c r="I1179" s="116">
        <v>100.61151359999999</v>
      </c>
      <c r="J1179" s="115" t="s">
        <v>2108</v>
      </c>
      <c r="K1179" s="117" t="s">
        <v>2109</v>
      </c>
      <c r="L1179" s="117" t="s">
        <v>2110</v>
      </c>
      <c r="M1179" s="121" t="s">
        <v>972</v>
      </c>
      <c r="N1179" s="121" t="s">
        <v>972</v>
      </c>
      <c r="O1179" s="121" t="s">
        <v>984</v>
      </c>
      <c r="P1179" s="117" t="s">
        <v>902</v>
      </c>
      <c r="Q1179" s="125" t="s">
        <v>972</v>
      </c>
      <c r="R1179" s="125" t="s">
        <v>972</v>
      </c>
      <c r="S1179" s="125" t="s">
        <v>972</v>
      </c>
      <c r="T1179" s="222"/>
      <c r="U1179" s="222"/>
      <c r="V1179" s="222"/>
      <c r="W1179" s="230"/>
      <c r="X1179" s="331">
        <f t="shared" si="56"/>
        <v>0</v>
      </c>
      <c r="Y1179" s="222"/>
      <c r="Z1179" s="272">
        <f t="shared" si="54"/>
        <v>0</v>
      </c>
      <c r="AA1179" s="331"/>
      <c r="AB1179" s="331"/>
      <c r="AC1179" s="331"/>
      <c r="AD1179" s="331"/>
      <c r="AE1179" s="331"/>
      <c r="AF1179" s="331"/>
      <c r="AG1179" s="331"/>
      <c r="AH1179" s="241">
        <f t="shared" ca="1" si="55"/>
        <v>46153</v>
      </c>
      <c r="AI1179" s="272"/>
      <c r="AJ1179" s="222"/>
      <c r="AK1179" s="222"/>
    </row>
    <row r="1180" spans="1:37" ht="23.25" hidden="1" customHeight="1">
      <c r="A1180" s="111">
        <v>849</v>
      </c>
      <c r="B1180" s="112">
        <v>9</v>
      </c>
      <c r="C1180" s="122" t="s">
        <v>4202</v>
      </c>
      <c r="D1180" s="147" t="s">
        <v>4203</v>
      </c>
      <c r="E1180" s="114" t="s">
        <v>4204</v>
      </c>
      <c r="F1180" s="115" t="s">
        <v>1240</v>
      </c>
      <c r="G1180" s="115" t="s">
        <v>1133</v>
      </c>
      <c r="H1180" s="115">
        <v>13.7212154</v>
      </c>
      <c r="I1180" s="115">
        <v>100.69335580000001</v>
      </c>
      <c r="J1180" s="116" t="s">
        <v>2108</v>
      </c>
      <c r="K1180" s="115" t="s">
        <v>2081</v>
      </c>
      <c r="L1180" s="117" t="s">
        <v>4205</v>
      </c>
      <c r="M1180" s="199" t="s">
        <v>972</v>
      </c>
      <c r="N1180" s="199" t="s">
        <v>972</v>
      </c>
      <c r="O1180" s="199" t="s">
        <v>1134</v>
      </c>
      <c r="P1180" s="339" t="s">
        <v>1876</v>
      </c>
      <c r="Q1180" s="340" t="s">
        <v>972</v>
      </c>
      <c r="R1180" s="340" t="s">
        <v>972</v>
      </c>
      <c r="S1180" s="340" t="s">
        <v>972</v>
      </c>
      <c r="T1180" s="342"/>
      <c r="U1180" s="342"/>
      <c r="V1180" s="342"/>
      <c r="W1180" s="553"/>
      <c r="X1180" s="331">
        <f t="shared" si="56"/>
        <v>0</v>
      </c>
      <c r="Y1180" s="342"/>
      <c r="Z1180" s="344">
        <f t="shared" si="54"/>
        <v>0</v>
      </c>
      <c r="AA1180" s="331"/>
      <c r="AB1180" s="331"/>
      <c r="AC1180" s="331"/>
      <c r="AD1180" s="331"/>
      <c r="AE1180" s="331"/>
      <c r="AF1180" s="331"/>
      <c r="AG1180" s="331"/>
      <c r="AH1180" s="343">
        <f t="shared" ca="1" si="55"/>
        <v>46153</v>
      </c>
      <c r="AI1180" s="344"/>
      <c r="AJ1180" s="342"/>
      <c r="AK1180" s="342"/>
    </row>
    <row r="1181" spans="1:37" ht="23" hidden="1">
      <c r="A1181" s="111">
        <v>864</v>
      </c>
      <c r="B1181" s="112">
        <v>10</v>
      </c>
      <c r="C1181" s="122" t="s">
        <v>4243</v>
      </c>
      <c r="D1181" s="147" t="s">
        <v>4244</v>
      </c>
      <c r="E1181" s="114" t="s">
        <v>4245</v>
      </c>
      <c r="F1181" s="115" t="s">
        <v>1240</v>
      </c>
      <c r="G1181" s="115" t="s">
        <v>1133</v>
      </c>
      <c r="H1181" s="115">
        <v>13.718443499999999</v>
      </c>
      <c r="I1181" s="115">
        <v>100.6668821</v>
      </c>
      <c r="J1181" s="116" t="s">
        <v>2108</v>
      </c>
      <c r="K1181" s="115" t="s">
        <v>2081</v>
      </c>
      <c r="L1181" s="118" t="s">
        <v>4246</v>
      </c>
      <c r="M1181" s="199" t="s">
        <v>972</v>
      </c>
      <c r="N1181" s="199" t="s">
        <v>972</v>
      </c>
      <c r="O1181" s="199" t="s">
        <v>1134</v>
      </c>
      <c r="P1181" s="346" t="s">
        <v>902</v>
      </c>
      <c r="Q1181" s="340" t="s">
        <v>972</v>
      </c>
      <c r="R1181" s="340" t="s">
        <v>972</v>
      </c>
      <c r="S1181" s="340" t="s">
        <v>972</v>
      </c>
      <c r="T1181" s="342"/>
      <c r="U1181" s="342"/>
      <c r="V1181" s="342"/>
      <c r="W1181" s="553"/>
      <c r="X1181" s="331">
        <f t="shared" si="56"/>
        <v>0</v>
      </c>
      <c r="Y1181" s="342"/>
      <c r="Z1181" s="344">
        <f t="shared" si="54"/>
        <v>0</v>
      </c>
      <c r="AA1181" s="331"/>
      <c r="AB1181" s="331"/>
      <c r="AC1181" s="331"/>
      <c r="AD1181" s="331"/>
      <c r="AE1181" s="331"/>
      <c r="AF1181" s="331"/>
      <c r="AG1181" s="331"/>
      <c r="AH1181" s="343">
        <f t="shared" ca="1" si="55"/>
        <v>46153</v>
      </c>
      <c r="AI1181" s="344"/>
      <c r="AJ1181" s="342"/>
      <c r="AK1181" s="342"/>
    </row>
    <row r="1182" spans="1:37" ht="16.5" hidden="1" customHeight="1">
      <c r="A1182" s="111">
        <v>867</v>
      </c>
      <c r="B1182" s="112">
        <v>1</v>
      </c>
      <c r="C1182" s="113" t="s">
        <v>4254</v>
      </c>
      <c r="D1182" s="472" t="s">
        <v>4255</v>
      </c>
      <c r="E1182" s="473" t="s">
        <v>4256</v>
      </c>
      <c r="F1182" s="482" t="s">
        <v>1240</v>
      </c>
      <c r="G1182" s="482" t="s">
        <v>1133</v>
      </c>
      <c r="H1182" s="486">
        <v>13.721190999999999</v>
      </c>
      <c r="I1182" s="486">
        <v>100.69284399999999</v>
      </c>
      <c r="J1182" s="116" t="s">
        <v>2108</v>
      </c>
      <c r="K1182" s="115" t="s">
        <v>2081</v>
      </c>
      <c r="L1182" s="117" t="s">
        <v>4246</v>
      </c>
      <c r="M1182" s="121" t="s">
        <v>972</v>
      </c>
      <c r="N1182" s="121" t="s">
        <v>972</v>
      </c>
      <c r="O1182" s="121" t="s">
        <v>984</v>
      </c>
      <c r="P1182" s="118" t="s">
        <v>1876</v>
      </c>
      <c r="Q1182" s="125" t="s">
        <v>972</v>
      </c>
      <c r="R1182" s="125" t="s">
        <v>972</v>
      </c>
      <c r="S1182" s="125" t="s">
        <v>972</v>
      </c>
      <c r="T1182" s="222"/>
      <c r="U1182" s="222"/>
      <c r="V1182" s="222"/>
      <c r="W1182" s="230"/>
      <c r="X1182" s="331">
        <f t="shared" si="56"/>
        <v>0</v>
      </c>
      <c r="Y1182" s="222"/>
      <c r="Z1182" s="272">
        <f t="shared" si="54"/>
        <v>0</v>
      </c>
      <c r="AA1182" s="551"/>
      <c r="AB1182" s="551"/>
      <c r="AC1182" s="551"/>
      <c r="AD1182" s="551"/>
      <c r="AE1182" s="551"/>
      <c r="AF1182" s="551"/>
      <c r="AG1182" s="551"/>
      <c r="AH1182" s="506">
        <f t="shared" ca="1" si="55"/>
        <v>46153</v>
      </c>
      <c r="AI1182" s="272"/>
      <c r="AJ1182" s="222"/>
      <c r="AK1182" s="222"/>
    </row>
    <row r="1183" spans="1:37" ht="23" hidden="1">
      <c r="A1183" s="111">
        <v>1015</v>
      </c>
      <c r="B1183" s="112" t="s">
        <v>1071</v>
      </c>
      <c r="C1183" s="122" t="s">
        <v>1960</v>
      </c>
      <c r="D1183" s="472" t="s">
        <v>1961</v>
      </c>
      <c r="E1183" s="474" t="s">
        <v>1962</v>
      </c>
      <c r="F1183" s="482" t="s">
        <v>1963</v>
      </c>
      <c r="G1183" s="486" t="s">
        <v>990</v>
      </c>
      <c r="H1183" s="492">
        <v>13.744564799999999</v>
      </c>
      <c r="I1183" s="492">
        <v>100.53565949999999</v>
      </c>
      <c r="J1183" s="121" t="s">
        <v>890</v>
      </c>
      <c r="K1183" s="121" t="s">
        <v>891</v>
      </c>
      <c r="L1183" s="121" t="s">
        <v>891</v>
      </c>
      <c r="M1183" s="124">
        <v>96894789</v>
      </c>
      <c r="N1183" s="121" t="s">
        <v>892</v>
      </c>
      <c r="O1183" s="121"/>
      <c r="P1183" s="127" t="s">
        <v>1076</v>
      </c>
      <c r="Q1183" s="118">
        <v>80057501</v>
      </c>
      <c r="R1183" s="119" t="s">
        <v>895</v>
      </c>
      <c r="S1183" s="119" t="s">
        <v>895</v>
      </c>
      <c r="T1183" s="222"/>
      <c r="U1183" s="222"/>
      <c r="V1183" s="222"/>
      <c r="W1183" s="230"/>
      <c r="X1183" s="331">
        <f t="shared" si="56"/>
        <v>0</v>
      </c>
      <c r="Y1183" s="222"/>
      <c r="Z1183" s="272">
        <f t="shared" si="54"/>
        <v>0</v>
      </c>
      <c r="AA1183" s="551"/>
      <c r="AB1183" s="551"/>
      <c r="AC1183" s="551"/>
      <c r="AD1183" s="551"/>
      <c r="AE1183" s="551"/>
      <c r="AF1183" s="551"/>
      <c r="AG1183" s="551"/>
      <c r="AH1183" s="506">
        <f t="shared" ca="1" si="55"/>
        <v>46153</v>
      </c>
      <c r="AI1183" s="272"/>
      <c r="AJ1183" s="222"/>
      <c r="AK1183" s="222"/>
    </row>
    <row r="1184" spans="1:37" ht="16.5" hidden="1" customHeight="1">
      <c r="A1184" s="111">
        <v>47</v>
      </c>
      <c r="B1184" s="112">
        <v>13</v>
      </c>
      <c r="C1184" s="122" t="s">
        <v>2170</v>
      </c>
      <c r="D1184" s="147" t="s">
        <v>2171</v>
      </c>
      <c r="E1184" s="123" t="s">
        <v>2172</v>
      </c>
      <c r="F1184" s="115" t="s">
        <v>1963</v>
      </c>
      <c r="G1184" s="116" t="s">
        <v>990</v>
      </c>
      <c r="H1184" s="116">
        <v>13.743095329999999</v>
      </c>
      <c r="I1184" s="116">
        <v>100.5356168</v>
      </c>
      <c r="J1184" s="116" t="s">
        <v>969</v>
      </c>
      <c r="K1184" s="115" t="s">
        <v>1048</v>
      </c>
      <c r="L1184" s="117" t="s">
        <v>5172</v>
      </c>
      <c r="M1184" s="121" t="s">
        <v>972</v>
      </c>
      <c r="N1184" s="121" t="s">
        <v>892</v>
      </c>
      <c r="O1184" s="121" t="s">
        <v>984</v>
      </c>
      <c r="P1184" s="117" t="s">
        <v>1876</v>
      </c>
      <c r="Q1184" s="125" t="s">
        <v>972</v>
      </c>
      <c r="R1184" s="125" t="s">
        <v>972</v>
      </c>
      <c r="S1184" s="125" t="s">
        <v>895</v>
      </c>
      <c r="T1184" s="222"/>
      <c r="U1184" s="222"/>
      <c r="V1184" s="222"/>
      <c r="W1184" s="230"/>
      <c r="X1184" s="331">
        <f t="shared" si="56"/>
        <v>0</v>
      </c>
      <c r="Y1184" s="222"/>
      <c r="Z1184" s="272">
        <f t="shared" si="54"/>
        <v>0</v>
      </c>
      <c r="AA1184" s="331"/>
      <c r="AB1184" s="331"/>
      <c r="AC1184" s="331"/>
      <c r="AD1184" s="331"/>
      <c r="AE1184" s="331"/>
      <c r="AF1184" s="331"/>
      <c r="AG1184" s="331"/>
      <c r="AH1184" s="241">
        <f t="shared" ca="1" si="55"/>
        <v>46153</v>
      </c>
      <c r="AI1184" s="272"/>
      <c r="AJ1184" s="222"/>
      <c r="AK1184" s="222"/>
    </row>
    <row r="1185" spans="1:37" ht="16.5" hidden="1" customHeight="1">
      <c r="A1185" s="111">
        <v>221</v>
      </c>
      <c r="B1185" s="112">
        <v>2</v>
      </c>
      <c r="C1185" s="122" t="s">
        <v>2686</v>
      </c>
      <c r="D1185" s="147" t="s">
        <v>2687</v>
      </c>
      <c r="E1185" s="123" t="s">
        <v>2688</v>
      </c>
      <c r="F1185" s="115" t="s">
        <v>1963</v>
      </c>
      <c r="G1185" s="116" t="s">
        <v>990</v>
      </c>
      <c r="H1185" s="116">
        <v>13.738249</v>
      </c>
      <c r="I1185" s="116">
        <v>100.53480279999999</v>
      </c>
      <c r="J1185" s="116" t="s">
        <v>890</v>
      </c>
      <c r="K1185" s="115" t="s">
        <v>891</v>
      </c>
      <c r="L1185" s="117" t="s">
        <v>891</v>
      </c>
      <c r="M1185" s="121">
        <v>97257793</v>
      </c>
      <c r="N1185" s="121" t="s">
        <v>892</v>
      </c>
      <c r="O1185" s="121" t="s">
        <v>984</v>
      </c>
      <c r="P1185" s="117" t="s">
        <v>1876</v>
      </c>
      <c r="Q1185" s="125" t="s">
        <v>972</v>
      </c>
      <c r="R1185" s="125" t="s">
        <v>972</v>
      </c>
      <c r="S1185" s="125" t="s">
        <v>895</v>
      </c>
      <c r="T1185" s="320" t="s">
        <v>5178</v>
      </c>
      <c r="U1185" s="312" t="s">
        <v>5283</v>
      </c>
      <c r="V1185" s="286">
        <v>45076</v>
      </c>
      <c r="W1185" s="230">
        <v>30</v>
      </c>
      <c r="X1185" s="331">
        <f t="shared" si="56"/>
        <v>45106</v>
      </c>
      <c r="Y1185" s="273"/>
      <c r="Z1185" s="272" t="e">
        <f t="shared" si="54"/>
        <v>#NUM!</v>
      </c>
      <c r="AA1185" s="331"/>
      <c r="AB1185" s="331"/>
      <c r="AC1185" s="331"/>
      <c r="AD1185" s="331"/>
      <c r="AE1185" s="331"/>
      <c r="AF1185" s="331"/>
      <c r="AG1185" s="331"/>
      <c r="AH1185" s="273">
        <f t="shared" ca="1" si="55"/>
        <v>46153</v>
      </c>
      <c r="AI1185" s="270"/>
      <c r="AJ1185" s="271" t="s">
        <v>5224</v>
      </c>
      <c r="AK1185" s="275" t="s">
        <v>5149</v>
      </c>
    </row>
    <row r="1186" spans="1:37" ht="16.5" hidden="1" customHeight="1">
      <c r="A1186" s="111">
        <v>560</v>
      </c>
      <c r="B1186" s="112" t="s">
        <v>1553</v>
      </c>
      <c r="C1186" s="122" t="s">
        <v>3512</v>
      </c>
      <c r="D1186" s="147" t="s">
        <v>3513</v>
      </c>
      <c r="E1186" s="114" t="s">
        <v>3514</v>
      </c>
      <c r="F1186" s="115" t="s">
        <v>1963</v>
      </c>
      <c r="G1186" s="115" t="s">
        <v>990</v>
      </c>
      <c r="H1186" s="116">
        <v>13.739281999999999</v>
      </c>
      <c r="I1186" s="116">
        <v>100.534818</v>
      </c>
      <c r="J1186" s="116" t="s">
        <v>969</v>
      </c>
      <c r="K1186" s="115" t="s">
        <v>1048</v>
      </c>
      <c r="L1186" s="117" t="s">
        <v>3515</v>
      </c>
      <c r="M1186" s="117">
        <v>13037331</v>
      </c>
      <c r="N1186" s="121" t="s">
        <v>892</v>
      </c>
      <c r="O1186" s="121" t="s">
        <v>984</v>
      </c>
      <c r="P1186" s="117" t="s">
        <v>902</v>
      </c>
      <c r="Q1186" s="125" t="s">
        <v>972</v>
      </c>
      <c r="R1186" s="125" t="s">
        <v>972</v>
      </c>
      <c r="S1186" s="125" t="s">
        <v>972</v>
      </c>
      <c r="T1186" s="222"/>
      <c r="U1186" s="222"/>
      <c r="V1186" s="222"/>
      <c r="W1186" s="230"/>
      <c r="X1186" s="331">
        <f t="shared" si="56"/>
        <v>0</v>
      </c>
      <c r="Y1186" s="222"/>
      <c r="Z1186" s="272">
        <f t="shared" si="54"/>
        <v>0</v>
      </c>
      <c r="AA1186" s="331"/>
      <c r="AB1186" s="331"/>
      <c r="AC1186" s="331"/>
      <c r="AD1186" s="331"/>
      <c r="AE1186" s="331"/>
      <c r="AF1186" s="331"/>
      <c r="AG1186" s="331"/>
      <c r="AH1186" s="241">
        <f t="shared" ca="1" si="55"/>
        <v>46153</v>
      </c>
      <c r="AI1186" s="272"/>
      <c r="AJ1186" s="222"/>
      <c r="AK1186" s="222"/>
    </row>
    <row r="1187" spans="1:37" ht="23" hidden="1">
      <c r="A1187" s="111">
        <v>918</v>
      </c>
      <c r="B1187" s="112" t="s">
        <v>979</v>
      </c>
      <c r="C1187" s="122" t="s">
        <v>3706</v>
      </c>
      <c r="D1187" s="147" t="s">
        <v>3707</v>
      </c>
      <c r="E1187" s="123" t="s">
        <v>3708</v>
      </c>
      <c r="F1187" s="115" t="s">
        <v>1963</v>
      </c>
      <c r="G1187" s="116" t="s">
        <v>990</v>
      </c>
      <c r="H1187" s="116">
        <v>13.743722099999999</v>
      </c>
      <c r="I1187" s="116">
        <v>100.535482</v>
      </c>
      <c r="J1187" s="117" t="s">
        <v>2097</v>
      </c>
      <c r="K1187" s="121" t="s">
        <v>2097</v>
      </c>
      <c r="L1187" s="117" t="s">
        <v>2132</v>
      </c>
      <c r="M1187" s="116" t="s">
        <v>1347</v>
      </c>
      <c r="N1187" s="120" t="s">
        <v>892</v>
      </c>
      <c r="O1187" s="121" t="s">
        <v>984</v>
      </c>
      <c r="P1187" s="117" t="s">
        <v>894</v>
      </c>
      <c r="Q1187" s="125" t="s">
        <v>972</v>
      </c>
      <c r="R1187" s="119" t="s">
        <v>895</v>
      </c>
      <c r="S1187" s="119" t="s">
        <v>895</v>
      </c>
      <c r="T1187" s="222"/>
      <c r="U1187" s="222"/>
      <c r="V1187" s="222"/>
      <c r="W1187" s="230"/>
      <c r="X1187" s="331">
        <f t="shared" si="56"/>
        <v>0</v>
      </c>
      <c r="Y1187" s="222"/>
      <c r="Z1187" s="272">
        <f t="shared" si="54"/>
        <v>0</v>
      </c>
      <c r="AA1187" s="331"/>
      <c r="AB1187" s="331"/>
      <c r="AC1187" s="331"/>
      <c r="AD1187" s="331"/>
      <c r="AE1187" s="331"/>
      <c r="AF1187" s="331"/>
      <c r="AG1187" s="331"/>
      <c r="AH1187" s="241">
        <f t="shared" ca="1" si="55"/>
        <v>46153</v>
      </c>
      <c r="AI1187" s="272"/>
      <c r="AJ1187" s="222"/>
      <c r="AK1187" s="222"/>
    </row>
    <row r="1188" spans="1:37" ht="16.5" hidden="1" customHeight="1">
      <c r="A1188" s="111">
        <v>720</v>
      </c>
      <c r="B1188" s="112" t="s">
        <v>1459</v>
      </c>
      <c r="C1188" s="122" t="s">
        <v>3906</v>
      </c>
      <c r="D1188" s="147" t="s">
        <v>3907</v>
      </c>
      <c r="E1188" s="123" t="s">
        <v>3908</v>
      </c>
      <c r="F1188" s="115" t="s">
        <v>1963</v>
      </c>
      <c r="G1188" s="116" t="s">
        <v>990</v>
      </c>
      <c r="H1188" s="116">
        <v>13.7407652</v>
      </c>
      <c r="I1188" s="116">
        <v>100.5351706</v>
      </c>
      <c r="J1188" s="203" t="s">
        <v>969</v>
      </c>
      <c r="K1188" s="182" t="s">
        <v>1048</v>
      </c>
      <c r="L1188" s="204" t="s">
        <v>3909</v>
      </c>
      <c r="M1188" s="204">
        <v>13037317</v>
      </c>
      <c r="N1188" s="121" t="s">
        <v>892</v>
      </c>
      <c r="O1188" s="205" t="s">
        <v>984</v>
      </c>
      <c r="P1188" s="204" t="s">
        <v>902</v>
      </c>
      <c r="Q1188" s="125" t="s">
        <v>972</v>
      </c>
      <c r="R1188" s="125" t="s">
        <v>972</v>
      </c>
      <c r="S1188" s="125" t="s">
        <v>972</v>
      </c>
      <c r="T1188" s="222"/>
      <c r="U1188" s="222"/>
      <c r="V1188" s="222"/>
      <c r="W1188" s="230"/>
      <c r="X1188" s="331">
        <f t="shared" si="56"/>
        <v>0</v>
      </c>
      <c r="Y1188" s="222"/>
      <c r="Z1188" s="272">
        <f t="shared" si="54"/>
        <v>0</v>
      </c>
      <c r="AA1188" s="331"/>
      <c r="AB1188" s="331"/>
      <c r="AC1188" s="331"/>
      <c r="AD1188" s="331"/>
      <c r="AE1188" s="331"/>
      <c r="AF1188" s="331"/>
      <c r="AG1188" s="331"/>
      <c r="AH1188" s="241">
        <f t="shared" ca="1" si="55"/>
        <v>46153</v>
      </c>
      <c r="AI1188" s="272"/>
      <c r="AJ1188" s="222"/>
      <c r="AK1188" s="222"/>
    </row>
    <row r="1189" spans="1:37" ht="23" hidden="1">
      <c r="A1189" s="111">
        <v>1014</v>
      </c>
      <c r="B1189" s="112" t="s">
        <v>1013</v>
      </c>
      <c r="C1189" s="113" t="s">
        <v>4640</v>
      </c>
      <c r="D1189" s="147" t="s">
        <v>4641</v>
      </c>
      <c r="E1189" s="114" t="s">
        <v>4642</v>
      </c>
      <c r="F1189" s="115" t="s">
        <v>1963</v>
      </c>
      <c r="G1189" s="115" t="s">
        <v>990</v>
      </c>
      <c r="H1189" s="116">
        <v>13.733945</v>
      </c>
      <c r="I1189" s="116">
        <v>100.534018</v>
      </c>
      <c r="J1189" s="116" t="s">
        <v>969</v>
      </c>
      <c r="K1189" s="115" t="s">
        <v>1048</v>
      </c>
      <c r="L1189" s="117" t="s">
        <v>4643</v>
      </c>
      <c r="M1189" s="117">
        <v>13037459</v>
      </c>
      <c r="N1189" s="121" t="s">
        <v>892</v>
      </c>
      <c r="O1189" s="121" t="s">
        <v>984</v>
      </c>
      <c r="P1189" s="117" t="s">
        <v>902</v>
      </c>
      <c r="Q1189" s="125" t="s">
        <v>972</v>
      </c>
      <c r="R1189" s="125" t="s">
        <v>972</v>
      </c>
      <c r="S1189" s="125" t="s">
        <v>972</v>
      </c>
      <c r="T1189" s="222"/>
      <c r="U1189" s="222"/>
      <c r="V1189" s="222"/>
      <c r="W1189" s="230"/>
      <c r="X1189" s="331">
        <f t="shared" si="56"/>
        <v>0</v>
      </c>
      <c r="Y1189" s="222"/>
      <c r="Z1189" s="272">
        <f t="shared" si="54"/>
        <v>0</v>
      </c>
      <c r="AA1189" s="331"/>
      <c r="AB1189" s="331"/>
      <c r="AC1189" s="331"/>
      <c r="AD1189" s="331"/>
      <c r="AE1189" s="331"/>
      <c r="AF1189" s="331"/>
      <c r="AG1189" s="331"/>
      <c r="AH1189" s="241">
        <f t="shared" ca="1" si="55"/>
        <v>46153</v>
      </c>
      <c r="AI1189" s="272"/>
      <c r="AJ1189" s="222"/>
      <c r="AK1189" s="222"/>
    </row>
    <row r="1190" spans="1:37" ht="23" hidden="1">
      <c r="A1190" s="111">
        <v>1018</v>
      </c>
      <c r="B1190" s="112">
        <v>1</v>
      </c>
      <c r="C1190" s="113" t="s">
        <v>4647</v>
      </c>
      <c r="D1190" s="147" t="s">
        <v>4648</v>
      </c>
      <c r="E1190" s="114" t="s">
        <v>4649</v>
      </c>
      <c r="F1190" s="115" t="s">
        <v>1963</v>
      </c>
      <c r="G1190" s="115" t="s">
        <v>990</v>
      </c>
      <c r="H1190" s="116">
        <v>13.741644000000001</v>
      </c>
      <c r="I1190" s="131">
        <v>100.53516999999999</v>
      </c>
      <c r="J1190" s="116" t="s">
        <v>969</v>
      </c>
      <c r="K1190" s="115" t="s">
        <v>1048</v>
      </c>
      <c r="L1190" s="117" t="s">
        <v>4650</v>
      </c>
      <c r="M1190" s="121">
        <v>13037458</v>
      </c>
      <c r="N1190" s="121" t="s">
        <v>892</v>
      </c>
      <c r="O1190" s="121" t="s">
        <v>984</v>
      </c>
      <c r="P1190" s="117" t="s">
        <v>902</v>
      </c>
      <c r="Q1190" s="125" t="s">
        <v>972</v>
      </c>
      <c r="R1190" s="125" t="s">
        <v>972</v>
      </c>
      <c r="S1190" s="125" t="s">
        <v>972</v>
      </c>
      <c r="T1190" s="222"/>
      <c r="U1190" s="222"/>
      <c r="V1190" s="222"/>
      <c r="W1190" s="230"/>
      <c r="X1190" s="331">
        <f t="shared" si="56"/>
        <v>0</v>
      </c>
      <c r="Y1190" s="222"/>
      <c r="Z1190" s="272">
        <f t="shared" si="54"/>
        <v>0</v>
      </c>
      <c r="AA1190" s="331"/>
      <c r="AB1190" s="331"/>
      <c r="AC1190" s="331"/>
      <c r="AD1190" s="331"/>
      <c r="AE1190" s="331"/>
      <c r="AF1190" s="331"/>
      <c r="AG1190" s="331"/>
      <c r="AH1190" s="241">
        <f t="shared" ca="1" si="55"/>
        <v>46153</v>
      </c>
      <c r="AI1190" s="272"/>
      <c r="AJ1190" s="222"/>
      <c r="AK1190" s="222"/>
    </row>
    <row r="1191" spans="1:37" ht="23" hidden="1">
      <c r="A1191" s="111">
        <v>1019</v>
      </c>
      <c r="B1191" s="112" t="s">
        <v>1082</v>
      </c>
      <c r="C1191" s="113" t="s">
        <v>4651</v>
      </c>
      <c r="D1191" s="147" t="s">
        <v>4652</v>
      </c>
      <c r="E1191" s="114" t="s">
        <v>4653</v>
      </c>
      <c r="F1191" s="115" t="s">
        <v>1963</v>
      </c>
      <c r="G1191" s="115" t="s">
        <v>990</v>
      </c>
      <c r="H1191" s="115">
        <v>13.7319002</v>
      </c>
      <c r="I1191" s="115">
        <v>100.5337212</v>
      </c>
      <c r="J1191" s="116" t="s">
        <v>969</v>
      </c>
      <c r="K1191" s="115" t="s">
        <v>1048</v>
      </c>
      <c r="L1191" s="117" t="s">
        <v>4654</v>
      </c>
      <c r="M1191" s="117">
        <v>13037552</v>
      </c>
      <c r="N1191" s="121" t="s">
        <v>892</v>
      </c>
      <c r="O1191" s="121" t="s">
        <v>984</v>
      </c>
      <c r="P1191" s="117" t="s">
        <v>902</v>
      </c>
      <c r="Q1191" s="125" t="s">
        <v>972</v>
      </c>
      <c r="R1191" s="125" t="s">
        <v>972</v>
      </c>
      <c r="S1191" s="125" t="s">
        <v>972</v>
      </c>
      <c r="T1191" s="222"/>
      <c r="U1191" s="222"/>
      <c r="V1191" s="222"/>
      <c r="W1191" s="230"/>
      <c r="X1191" s="331">
        <f t="shared" si="56"/>
        <v>0</v>
      </c>
      <c r="Y1191" s="222"/>
      <c r="Z1191" s="272">
        <f t="shared" si="54"/>
        <v>0</v>
      </c>
      <c r="AA1191" s="331"/>
      <c r="AB1191" s="331"/>
      <c r="AC1191" s="331"/>
      <c r="AD1191" s="331"/>
      <c r="AE1191" s="331"/>
      <c r="AF1191" s="331"/>
      <c r="AG1191" s="331"/>
      <c r="AH1191" s="241">
        <f t="shared" ca="1" si="55"/>
        <v>46153</v>
      </c>
      <c r="AI1191" s="272"/>
      <c r="AJ1191" s="222"/>
      <c r="AK1191" s="222"/>
    </row>
    <row r="1192" spans="1:37" ht="23" hidden="1">
      <c r="A1192" s="111">
        <v>1075</v>
      </c>
      <c r="B1192" s="112">
        <v>8</v>
      </c>
      <c r="C1192" s="113" t="s">
        <v>4784</v>
      </c>
      <c r="D1192" s="147" t="s">
        <v>4785</v>
      </c>
      <c r="E1192" s="114" t="s">
        <v>4786</v>
      </c>
      <c r="F1192" s="115" t="s">
        <v>1963</v>
      </c>
      <c r="G1192" s="115" t="s">
        <v>990</v>
      </c>
      <c r="H1192" s="131">
        <v>13.733079999999999</v>
      </c>
      <c r="I1192" s="116">
        <v>100.53408</v>
      </c>
      <c r="J1192" s="116" t="s">
        <v>2097</v>
      </c>
      <c r="K1192" s="116" t="s">
        <v>2097</v>
      </c>
      <c r="L1192" s="117" t="s">
        <v>2132</v>
      </c>
      <c r="M1192" s="116" t="s">
        <v>1347</v>
      </c>
      <c r="N1192" s="121" t="s">
        <v>892</v>
      </c>
      <c r="O1192" s="121" t="s">
        <v>984</v>
      </c>
      <c r="P1192" s="117" t="s">
        <v>902</v>
      </c>
      <c r="Q1192" s="125" t="s">
        <v>972</v>
      </c>
      <c r="R1192" s="125" t="s">
        <v>972</v>
      </c>
      <c r="S1192" s="125" t="s">
        <v>972</v>
      </c>
      <c r="T1192" s="222"/>
      <c r="U1192" s="222"/>
      <c r="V1192" s="222"/>
      <c r="W1192" s="230"/>
      <c r="X1192" s="331">
        <f t="shared" si="56"/>
        <v>0</v>
      </c>
      <c r="Y1192" s="222"/>
      <c r="Z1192" s="272">
        <f t="shared" si="54"/>
        <v>0</v>
      </c>
      <c r="AA1192" s="331"/>
      <c r="AB1192" s="331"/>
      <c r="AC1192" s="331"/>
      <c r="AD1192" s="331"/>
      <c r="AE1192" s="331"/>
      <c r="AF1192" s="331"/>
      <c r="AG1192" s="331"/>
      <c r="AH1192" s="241">
        <f t="shared" ca="1" si="55"/>
        <v>46153</v>
      </c>
      <c r="AI1192" s="272"/>
      <c r="AJ1192" s="222"/>
      <c r="AK1192" s="222"/>
    </row>
    <row r="1193" spans="1:37" ht="15" hidden="1" customHeight="1">
      <c r="A1193" s="111">
        <v>396</v>
      </c>
      <c r="B1193" s="112">
        <v>11</v>
      </c>
      <c r="C1193" s="113" t="s">
        <v>1348</v>
      </c>
      <c r="D1193" s="147" t="s">
        <v>1349</v>
      </c>
      <c r="E1193" s="114" t="s">
        <v>1350</v>
      </c>
      <c r="F1193" s="115" t="s">
        <v>1351</v>
      </c>
      <c r="G1193" s="115" t="s">
        <v>1331</v>
      </c>
      <c r="H1193" s="116">
        <v>13.736565000000001</v>
      </c>
      <c r="I1193" s="116">
        <v>100.48687700000001</v>
      </c>
      <c r="J1193" s="116" t="s">
        <v>890</v>
      </c>
      <c r="K1193" s="117" t="s">
        <v>891</v>
      </c>
      <c r="L1193" s="117" t="s">
        <v>891</v>
      </c>
      <c r="M1193" s="117">
        <v>96898152</v>
      </c>
      <c r="N1193" s="117" t="s">
        <v>892</v>
      </c>
      <c r="O1193" s="121" t="s">
        <v>893</v>
      </c>
      <c r="P1193" s="117" t="s">
        <v>894</v>
      </c>
      <c r="Q1193" s="118">
        <v>80057501</v>
      </c>
      <c r="R1193" s="119" t="s">
        <v>895</v>
      </c>
      <c r="S1193" s="119" t="s">
        <v>895</v>
      </c>
      <c r="T1193" s="222"/>
      <c r="U1193" s="222"/>
      <c r="V1193" s="222"/>
      <c r="W1193" s="230"/>
      <c r="X1193" s="331">
        <f t="shared" si="56"/>
        <v>0</v>
      </c>
      <c r="Y1193" s="222"/>
      <c r="Z1193" s="272">
        <f t="shared" si="54"/>
        <v>0</v>
      </c>
      <c r="AA1193" s="331"/>
      <c r="AB1193" s="331"/>
      <c r="AC1193" s="331"/>
      <c r="AD1193" s="331"/>
      <c r="AE1193" s="331"/>
      <c r="AF1193" s="331"/>
      <c r="AG1193" s="331"/>
      <c r="AH1193" s="241">
        <f t="shared" ca="1" si="55"/>
        <v>46153</v>
      </c>
      <c r="AI1193" s="272"/>
      <c r="AJ1193" s="222"/>
      <c r="AK1193" s="222"/>
    </row>
    <row r="1194" spans="1:37" ht="23" hidden="1">
      <c r="A1194" s="111">
        <v>392</v>
      </c>
      <c r="B1194" s="112">
        <v>13</v>
      </c>
      <c r="C1194" s="113" t="s">
        <v>3096</v>
      </c>
      <c r="D1194" s="147" t="s">
        <v>3097</v>
      </c>
      <c r="E1194" s="114" t="s">
        <v>3098</v>
      </c>
      <c r="F1194" s="115" t="s">
        <v>1351</v>
      </c>
      <c r="G1194" s="115" t="s">
        <v>1335</v>
      </c>
      <c r="H1194" s="116">
        <v>13.74794</v>
      </c>
      <c r="I1194" s="116">
        <v>100.479365</v>
      </c>
      <c r="J1194" s="115" t="s">
        <v>2108</v>
      </c>
      <c r="K1194" s="117" t="s">
        <v>2081</v>
      </c>
      <c r="L1194" s="117" t="s">
        <v>3099</v>
      </c>
      <c r="M1194" s="121" t="s">
        <v>972</v>
      </c>
      <c r="N1194" s="121" t="s">
        <v>972</v>
      </c>
      <c r="O1194" s="121" t="s">
        <v>893</v>
      </c>
      <c r="P1194" s="117" t="s">
        <v>1876</v>
      </c>
      <c r="Q1194" s="125" t="s">
        <v>972</v>
      </c>
      <c r="R1194" s="125" t="s">
        <v>972</v>
      </c>
      <c r="S1194" s="125" t="s">
        <v>972</v>
      </c>
      <c r="T1194" s="222"/>
      <c r="U1194" s="222"/>
      <c r="V1194" s="222"/>
      <c r="W1194" s="230"/>
      <c r="X1194" s="331">
        <f t="shared" si="56"/>
        <v>0</v>
      </c>
      <c r="Y1194" s="222"/>
      <c r="Z1194" s="272">
        <f t="shared" si="54"/>
        <v>0</v>
      </c>
      <c r="AA1194" s="331"/>
      <c r="AB1194" s="331"/>
      <c r="AC1194" s="331"/>
      <c r="AD1194" s="331"/>
      <c r="AE1194" s="331"/>
      <c r="AF1194" s="331"/>
      <c r="AG1194" s="331"/>
      <c r="AH1194" s="241">
        <f t="shared" ca="1" si="55"/>
        <v>46153</v>
      </c>
      <c r="AI1194" s="272"/>
      <c r="AJ1194" s="222"/>
      <c r="AK1194" s="222"/>
    </row>
    <row r="1195" spans="1:37" ht="23.5" hidden="1" thickBot="1">
      <c r="A1195" s="111">
        <v>398</v>
      </c>
      <c r="B1195" s="112">
        <v>10</v>
      </c>
      <c r="C1195" s="113" t="s">
        <v>3102</v>
      </c>
      <c r="D1195" s="147" t="s">
        <v>3103</v>
      </c>
      <c r="E1195" s="114" t="s">
        <v>3104</v>
      </c>
      <c r="F1195" s="483" t="s">
        <v>1351</v>
      </c>
      <c r="G1195" s="483" t="s">
        <v>1335</v>
      </c>
      <c r="H1195" s="495">
        <v>13.751371000000001</v>
      </c>
      <c r="I1195" s="495">
        <v>100.47826499999999</v>
      </c>
      <c r="J1195" s="116" t="s">
        <v>2108</v>
      </c>
      <c r="K1195" s="115" t="s">
        <v>2081</v>
      </c>
      <c r="L1195" s="117" t="s">
        <v>3105</v>
      </c>
      <c r="M1195" s="121" t="s">
        <v>972</v>
      </c>
      <c r="N1195" s="121" t="s">
        <v>972</v>
      </c>
      <c r="O1195" s="121" t="s">
        <v>893</v>
      </c>
      <c r="P1195" s="117" t="s">
        <v>894</v>
      </c>
      <c r="Q1195" s="125" t="s">
        <v>972</v>
      </c>
      <c r="R1195" s="125" t="s">
        <v>972</v>
      </c>
      <c r="S1195" s="125" t="s">
        <v>972</v>
      </c>
      <c r="T1195" s="222"/>
      <c r="U1195" s="222"/>
      <c r="V1195" s="222"/>
      <c r="W1195" s="230"/>
      <c r="X1195" s="331">
        <f t="shared" si="56"/>
        <v>0</v>
      </c>
      <c r="Y1195" s="222"/>
      <c r="Z1195" s="272">
        <f t="shared" si="54"/>
        <v>0</v>
      </c>
      <c r="AA1195" s="331"/>
      <c r="AB1195" s="331"/>
      <c r="AC1195" s="331"/>
      <c r="AD1195" s="331"/>
      <c r="AE1195" s="331"/>
      <c r="AF1195" s="331"/>
      <c r="AG1195" s="331"/>
      <c r="AH1195" s="241">
        <f t="shared" ca="1" si="55"/>
        <v>46153</v>
      </c>
      <c r="AI1195" s="272"/>
      <c r="AJ1195" s="222"/>
      <c r="AK1195" s="222"/>
    </row>
    <row r="1196" spans="1:37" ht="23">
      <c r="A1196" s="570"/>
      <c r="B1196" s="570"/>
      <c r="C1196" s="582" t="s">
        <v>5381</v>
      </c>
      <c r="D1196" s="582" t="s">
        <v>5381</v>
      </c>
      <c r="E1196" s="581" t="s">
        <v>5380</v>
      </c>
      <c r="F1196" s="583" t="s">
        <v>1306</v>
      </c>
      <c r="G1196" s="583" t="s">
        <v>936</v>
      </c>
      <c r="H1196" s="570"/>
      <c r="I1196" s="570"/>
      <c r="J1196" s="570"/>
      <c r="K1196" s="570"/>
      <c r="L1196" s="570"/>
      <c r="M1196" s="570"/>
      <c r="N1196" s="570"/>
      <c r="O1196" s="570"/>
      <c r="P1196" s="570"/>
      <c r="T1196" s="584"/>
      <c r="U1196" s="584"/>
      <c r="V1196" s="585"/>
      <c r="W1196" s="585"/>
      <c r="X1196" s="584"/>
      <c r="Y1196" s="584"/>
      <c r="Z1196" s="585"/>
      <c r="AA1196" s="584"/>
      <c r="AB1196" s="584"/>
      <c r="AC1196" s="584"/>
      <c r="AD1196" s="584"/>
      <c r="AE1196" s="584"/>
      <c r="AF1196" s="584"/>
      <c r="AG1196" s="584"/>
      <c r="AH1196" s="584"/>
    </row>
  </sheetData>
  <autoFilter ref="A2:AK1195" xr:uid="{5638978C-4575-4E20-A4F1-A3AD28ED42CA}">
    <filterColumn colId="1">
      <colorFilter dxfId="8"/>
    </filterColumn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FC9CD-747A-4E21-B491-8D8CB6519D86}">
  <dimension ref="A1:J13"/>
  <sheetViews>
    <sheetView zoomScale="82" zoomScaleNormal="82" workbookViewId="0">
      <selection activeCell="G16" sqref="G16"/>
    </sheetView>
  </sheetViews>
  <sheetFormatPr defaultRowHeight="14"/>
  <cols>
    <col min="2" max="2" width="13.25" customWidth="1"/>
    <col min="3" max="3" width="12.58203125" customWidth="1"/>
    <col min="4" max="4" width="80.08203125" customWidth="1"/>
    <col min="5" max="5" width="14.58203125" customWidth="1"/>
    <col min="6" max="6" width="11.58203125" bestFit="1" customWidth="1"/>
    <col min="7" max="7" width="17.33203125" bestFit="1" customWidth="1"/>
    <col min="8" max="8" width="19.75" bestFit="1" customWidth="1"/>
    <col min="9" max="9" width="20.83203125" bestFit="1" customWidth="1"/>
    <col min="10" max="10" width="20.58203125" bestFit="1" customWidth="1"/>
  </cols>
  <sheetData>
    <row r="1" spans="1:10" ht="14.5">
      <c r="A1" s="594" t="s">
        <v>867</v>
      </c>
      <c r="B1" s="595" t="s">
        <v>869</v>
      </c>
      <c r="C1" s="595" t="s">
        <v>870</v>
      </c>
      <c r="D1" s="595" t="s">
        <v>871</v>
      </c>
      <c r="E1" s="595" t="s">
        <v>872</v>
      </c>
      <c r="F1" s="596" t="s">
        <v>873</v>
      </c>
      <c r="G1" s="597" t="s">
        <v>5382</v>
      </c>
      <c r="H1" s="597" t="s">
        <v>5375</v>
      </c>
      <c r="I1" s="598" t="s">
        <v>5383</v>
      </c>
      <c r="J1" s="599" t="s">
        <v>5384</v>
      </c>
    </row>
    <row r="2" spans="1:10" ht="23">
      <c r="A2" s="111">
        <v>1</v>
      </c>
      <c r="B2" s="113" t="s">
        <v>1594</v>
      </c>
      <c r="C2" s="147" t="s">
        <v>1595</v>
      </c>
      <c r="D2" s="114" t="s">
        <v>1596</v>
      </c>
      <c r="E2" s="115" t="s">
        <v>1504</v>
      </c>
      <c r="F2" s="115" t="s">
        <v>1435</v>
      </c>
      <c r="G2" s="586">
        <v>45547</v>
      </c>
      <c r="H2" s="586">
        <v>45555</v>
      </c>
      <c r="I2" s="587">
        <v>45558</v>
      </c>
      <c r="J2" s="116"/>
    </row>
    <row r="3" spans="1:10" ht="23">
      <c r="A3" s="111">
        <v>2</v>
      </c>
      <c r="B3" s="122" t="s">
        <v>3259</v>
      </c>
      <c r="C3" s="147" t="s">
        <v>3260</v>
      </c>
      <c r="D3" s="123" t="s">
        <v>3261</v>
      </c>
      <c r="E3" s="116" t="s">
        <v>1910</v>
      </c>
      <c r="F3" s="116" t="s">
        <v>983</v>
      </c>
      <c r="G3" s="586">
        <v>45547</v>
      </c>
      <c r="H3" s="586">
        <v>45555</v>
      </c>
      <c r="I3" s="587">
        <v>45559</v>
      </c>
      <c r="J3" s="115"/>
    </row>
    <row r="4" spans="1:10" ht="23">
      <c r="A4" s="111">
        <v>3</v>
      </c>
      <c r="B4" s="122" t="s">
        <v>3587</v>
      </c>
      <c r="C4" s="147" t="s">
        <v>3588</v>
      </c>
      <c r="D4" s="123" t="s">
        <v>3589</v>
      </c>
      <c r="E4" s="115" t="s">
        <v>2959</v>
      </c>
      <c r="F4" s="115" t="s">
        <v>990</v>
      </c>
      <c r="G4" s="586">
        <v>45557</v>
      </c>
      <c r="H4" s="586">
        <v>45555</v>
      </c>
      <c r="I4" s="587">
        <v>45560</v>
      </c>
      <c r="J4" s="115"/>
    </row>
    <row r="5" spans="1:10" ht="23">
      <c r="A5" s="111">
        <v>4</v>
      </c>
      <c r="B5" s="113" t="s">
        <v>1247</v>
      </c>
      <c r="C5" s="147" t="s">
        <v>1248</v>
      </c>
      <c r="D5" s="114" t="s">
        <v>1249</v>
      </c>
      <c r="E5" s="115" t="s">
        <v>913</v>
      </c>
      <c r="F5" s="115" t="s">
        <v>936</v>
      </c>
      <c r="G5" s="586">
        <v>45548</v>
      </c>
      <c r="H5" s="586">
        <v>45555</v>
      </c>
      <c r="I5" s="587">
        <v>45561</v>
      </c>
      <c r="J5" s="117"/>
    </row>
    <row r="6" spans="1:10" ht="23">
      <c r="A6" s="111">
        <v>5</v>
      </c>
      <c r="B6" s="147" t="s">
        <v>5381</v>
      </c>
      <c r="C6" s="147" t="s">
        <v>5381</v>
      </c>
      <c r="D6" s="123" t="s">
        <v>5380</v>
      </c>
      <c r="E6" s="115" t="s">
        <v>1306</v>
      </c>
      <c r="F6" s="115" t="s">
        <v>936</v>
      </c>
      <c r="G6" s="586">
        <v>45558</v>
      </c>
      <c r="H6" s="586">
        <v>45555</v>
      </c>
      <c r="I6" s="587">
        <v>45562</v>
      </c>
      <c r="J6" s="305"/>
    </row>
    <row r="7" spans="1:10" ht="23">
      <c r="A7" s="111">
        <v>6</v>
      </c>
      <c r="B7" s="122" t="s">
        <v>1111</v>
      </c>
      <c r="C7" s="147" t="s">
        <v>1112</v>
      </c>
      <c r="D7" s="123" t="s">
        <v>1113</v>
      </c>
      <c r="E7" s="116" t="s">
        <v>989</v>
      </c>
      <c r="F7" s="116" t="s">
        <v>990</v>
      </c>
      <c r="G7" s="586">
        <v>45552</v>
      </c>
      <c r="H7" s="586">
        <v>45555</v>
      </c>
      <c r="I7" s="587">
        <v>45563</v>
      </c>
      <c r="J7" s="125"/>
    </row>
    <row r="8" spans="1:10" ht="23">
      <c r="A8" s="588">
        <v>7</v>
      </c>
      <c r="B8" s="277" t="s">
        <v>1286</v>
      </c>
      <c r="C8" s="589" t="s">
        <v>1287</v>
      </c>
      <c r="D8" s="590" t="s">
        <v>1288</v>
      </c>
      <c r="E8" s="591" t="s">
        <v>989</v>
      </c>
      <c r="F8" s="591" t="s">
        <v>990</v>
      </c>
      <c r="G8" s="592">
        <v>45552</v>
      </c>
      <c r="H8" s="592">
        <v>45555</v>
      </c>
      <c r="I8" s="593">
        <v>45564</v>
      </c>
      <c r="J8" s="340">
        <v>45556</v>
      </c>
    </row>
    <row r="9" spans="1:10" ht="23">
      <c r="A9" s="111">
        <v>8</v>
      </c>
      <c r="B9" s="113" t="s">
        <v>1766</v>
      </c>
      <c r="C9" s="147" t="s">
        <v>1767</v>
      </c>
      <c r="D9" s="114" t="s">
        <v>1768</v>
      </c>
      <c r="E9" s="115" t="s">
        <v>989</v>
      </c>
      <c r="F9" s="115" t="s">
        <v>990</v>
      </c>
      <c r="G9" s="586">
        <v>45552</v>
      </c>
      <c r="H9" s="586">
        <v>45555</v>
      </c>
      <c r="I9" s="587">
        <v>45565</v>
      </c>
      <c r="J9" s="117"/>
    </row>
    <row r="10" spans="1:10" ht="23">
      <c r="A10" s="111">
        <v>9</v>
      </c>
      <c r="B10" s="122" t="s">
        <v>2642</v>
      </c>
      <c r="C10" s="147" t="s">
        <v>2643</v>
      </c>
      <c r="D10" s="123" t="s">
        <v>2644</v>
      </c>
      <c r="E10" s="116" t="s">
        <v>989</v>
      </c>
      <c r="F10" s="116" t="s">
        <v>990</v>
      </c>
      <c r="G10" s="586">
        <v>45552</v>
      </c>
      <c r="H10" s="586">
        <v>45555</v>
      </c>
      <c r="I10" s="587">
        <v>45566</v>
      </c>
      <c r="J10" s="115"/>
    </row>
    <row r="11" spans="1:10" ht="23">
      <c r="A11" s="111">
        <v>10</v>
      </c>
      <c r="B11" s="122" t="s">
        <v>1292</v>
      </c>
      <c r="C11" s="147" t="s">
        <v>1293</v>
      </c>
      <c r="D11" s="114" t="s">
        <v>1294</v>
      </c>
      <c r="E11" s="115" t="s">
        <v>900</v>
      </c>
      <c r="F11" s="115" t="s">
        <v>929</v>
      </c>
      <c r="G11" s="586">
        <v>45550</v>
      </c>
      <c r="H11" s="586">
        <v>45555</v>
      </c>
      <c r="I11" s="587">
        <v>45567</v>
      </c>
      <c r="J11" s="117"/>
    </row>
    <row r="12" spans="1:10" ht="23">
      <c r="A12" s="111">
        <v>11</v>
      </c>
      <c r="B12" s="113" t="s">
        <v>1877</v>
      </c>
      <c r="C12" s="147" t="s">
        <v>1878</v>
      </c>
      <c r="D12" s="114" t="s">
        <v>1879</v>
      </c>
      <c r="E12" s="115" t="s">
        <v>900</v>
      </c>
      <c r="F12" s="115" t="s">
        <v>929</v>
      </c>
      <c r="G12" s="586">
        <v>45550</v>
      </c>
      <c r="H12" s="586">
        <v>45555</v>
      </c>
      <c r="I12" s="587">
        <v>45568</v>
      </c>
      <c r="J12" s="117"/>
    </row>
    <row r="13" spans="1:10" ht="23">
      <c r="A13" s="111">
        <v>12</v>
      </c>
      <c r="B13" s="113" t="s">
        <v>1979</v>
      </c>
      <c r="C13" s="147" t="s">
        <v>1980</v>
      </c>
      <c r="D13" s="114" t="s">
        <v>1981</v>
      </c>
      <c r="E13" s="115" t="s">
        <v>900</v>
      </c>
      <c r="F13" s="115" t="s">
        <v>929</v>
      </c>
      <c r="G13" s="586">
        <v>45550</v>
      </c>
      <c r="H13" s="586">
        <v>45555</v>
      </c>
      <c r="I13" s="587">
        <v>45569</v>
      </c>
      <c r="J13" s="117"/>
    </row>
  </sheetData>
  <autoFilter ref="A1:J1" xr:uid="{70CDBAC2-E3F4-4259-8C5C-D47FC21BEC3E}">
    <sortState xmlns:xlrd2="http://schemas.microsoft.com/office/spreadsheetml/2017/richdata2" ref="A2:J13">
      <sortCondition ref="I1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71F4-8E93-44FA-B06F-1FC8397A0DC0}">
  <dimension ref="A1:J8"/>
  <sheetViews>
    <sheetView workbookViewId="0">
      <selection activeCell="D12" sqref="D12"/>
    </sheetView>
  </sheetViews>
  <sheetFormatPr defaultRowHeight="14"/>
  <cols>
    <col min="1" max="2" width="12.25" customWidth="1"/>
    <col min="3" max="3" width="16.08203125" bestFit="1" customWidth="1"/>
    <col min="4" max="4" width="18.83203125" customWidth="1"/>
    <col min="5" max="5" width="40.25" customWidth="1"/>
    <col min="8" max="8" width="15.33203125" customWidth="1"/>
    <col min="9" max="9" width="14.75" customWidth="1"/>
  </cols>
  <sheetData>
    <row r="1" spans="1:10" ht="14.5">
      <c r="A1" s="509" t="s">
        <v>867</v>
      </c>
      <c r="B1" s="510" t="s">
        <v>868</v>
      </c>
      <c r="C1" s="510" t="s">
        <v>869</v>
      </c>
      <c r="D1" s="510" t="s">
        <v>870</v>
      </c>
      <c r="E1" s="510" t="s">
        <v>871</v>
      </c>
      <c r="F1" s="510" t="s">
        <v>872</v>
      </c>
      <c r="G1" s="511" t="s">
        <v>873</v>
      </c>
      <c r="H1" s="512" t="s">
        <v>874</v>
      </c>
      <c r="I1" s="512" t="s">
        <v>875</v>
      </c>
      <c r="J1" s="518" t="s">
        <v>5364</v>
      </c>
    </row>
    <row r="2" spans="1:10" ht="14.5">
      <c r="A2" s="513">
        <v>1</v>
      </c>
      <c r="B2" s="295" t="s">
        <v>1818</v>
      </c>
      <c r="C2" s="296" t="s">
        <v>5296</v>
      </c>
      <c r="D2" s="296" t="s">
        <v>5158</v>
      </c>
      <c r="E2" s="297" t="s">
        <v>5166</v>
      </c>
      <c r="F2" s="296" t="s">
        <v>5165</v>
      </c>
      <c r="G2" s="298" t="s">
        <v>1018</v>
      </c>
      <c r="H2" s="296">
        <v>13.74452267</v>
      </c>
      <c r="I2" s="296">
        <v>100.56237950000001</v>
      </c>
      <c r="J2" s="514" t="s">
        <v>5365</v>
      </c>
    </row>
    <row r="3" spans="1:10" ht="14.5">
      <c r="A3" s="513">
        <v>2</v>
      </c>
      <c r="B3" s="295" t="s">
        <v>1818</v>
      </c>
      <c r="C3" s="296" t="s">
        <v>5295</v>
      </c>
      <c r="D3" s="296" t="s">
        <v>5157</v>
      </c>
      <c r="E3" s="297" t="s">
        <v>5164</v>
      </c>
      <c r="F3" s="296" t="s">
        <v>5165</v>
      </c>
      <c r="G3" s="298" t="s">
        <v>1018</v>
      </c>
      <c r="H3" s="296">
        <v>13.744231660000001</v>
      </c>
      <c r="I3" s="296">
        <v>100.562297</v>
      </c>
      <c r="J3" s="514" t="s">
        <v>5366</v>
      </c>
    </row>
    <row r="4" spans="1:10" ht="14.5">
      <c r="A4" s="513">
        <v>3</v>
      </c>
      <c r="B4" s="242" t="s">
        <v>1818</v>
      </c>
      <c r="C4" s="219" t="s">
        <v>5153</v>
      </c>
      <c r="D4" s="219" t="s">
        <v>5154</v>
      </c>
      <c r="E4" s="507" t="s">
        <v>5162</v>
      </c>
      <c r="F4" s="219" t="s">
        <v>1159</v>
      </c>
      <c r="G4" s="508" t="s">
        <v>984</v>
      </c>
      <c r="H4" s="219">
        <v>13.742587869999999</v>
      </c>
      <c r="I4" s="219">
        <v>100.55130749999999</v>
      </c>
      <c r="J4" s="514" t="s">
        <v>5366</v>
      </c>
    </row>
    <row r="5" spans="1:10" ht="14.5">
      <c r="A5" s="513">
        <v>4</v>
      </c>
      <c r="B5" s="242" t="s">
        <v>1818</v>
      </c>
      <c r="C5" s="219" t="s">
        <v>5155</v>
      </c>
      <c r="D5" s="219" t="s">
        <v>5156</v>
      </c>
      <c r="E5" s="507" t="s">
        <v>5163</v>
      </c>
      <c r="F5" s="219" t="s">
        <v>1159</v>
      </c>
      <c r="G5" s="508" t="s">
        <v>984</v>
      </c>
      <c r="H5" s="219">
        <v>13.7426098</v>
      </c>
      <c r="I5" s="219">
        <v>100.55100539999999</v>
      </c>
      <c r="J5" s="514" t="s">
        <v>5366</v>
      </c>
    </row>
    <row r="6" spans="1:10" ht="14.5">
      <c r="A6" s="513">
        <v>5</v>
      </c>
      <c r="B6" s="295" t="s">
        <v>1818</v>
      </c>
      <c r="C6" s="296" t="s">
        <v>5159</v>
      </c>
      <c r="D6" s="296" t="s">
        <v>5160</v>
      </c>
      <c r="E6" s="297" t="s">
        <v>5167</v>
      </c>
      <c r="F6" s="296" t="s">
        <v>899</v>
      </c>
      <c r="G6" s="298" t="s">
        <v>936</v>
      </c>
      <c r="H6" s="296">
        <v>13.749667799999999</v>
      </c>
      <c r="I6" s="296">
        <v>100.5926006</v>
      </c>
      <c r="J6" s="514" t="s">
        <v>5365</v>
      </c>
    </row>
    <row r="7" spans="1:10" ht="14.5">
      <c r="A7" s="513">
        <v>6</v>
      </c>
      <c r="B7" s="295" t="s">
        <v>1818</v>
      </c>
      <c r="C7" s="296"/>
      <c r="D7" s="296" t="s">
        <v>5161</v>
      </c>
      <c r="E7" s="299" t="s">
        <v>5168</v>
      </c>
      <c r="F7" s="296" t="s">
        <v>947</v>
      </c>
      <c r="G7" s="298" t="s">
        <v>2394</v>
      </c>
      <c r="H7" s="296">
        <v>13.775734699999999</v>
      </c>
      <c r="I7" s="296">
        <v>100.6709728</v>
      </c>
      <c r="J7" s="514" t="s">
        <v>5365</v>
      </c>
    </row>
    <row r="8" spans="1:10" ht="15" thickBot="1">
      <c r="A8" s="515">
        <v>7</v>
      </c>
      <c r="B8" s="516" t="s">
        <v>1818</v>
      </c>
      <c r="C8" s="516" t="s">
        <v>1818</v>
      </c>
      <c r="D8" s="516" t="s">
        <v>1818</v>
      </c>
      <c r="E8" s="516" t="s">
        <v>1818</v>
      </c>
      <c r="F8" s="516" t="s">
        <v>1818</v>
      </c>
      <c r="G8" s="516" t="s">
        <v>1818</v>
      </c>
      <c r="H8" s="516" t="s">
        <v>1818</v>
      </c>
      <c r="I8" s="516" t="s">
        <v>1818</v>
      </c>
      <c r="J8" s="517" t="s">
        <v>5365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16C7-93EF-4D2D-85B0-94462F155E53}">
  <dimension ref="B2:B4"/>
  <sheetViews>
    <sheetView view="pageBreakPreview" zoomScale="60" zoomScaleNormal="100" workbookViewId="0">
      <selection activeCell="B2" sqref="B2:B4"/>
    </sheetView>
  </sheetViews>
  <sheetFormatPr defaultRowHeight="14"/>
  <sheetData>
    <row r="2" spans="2:2" ht="87.5">
      <c r="B2" s="437" t="s">
        <v>5351</v>
      </c>
    </row>
    <row r="3" spans="2:2" ht="87.5">
      <c r="B3" s="437" t="s">
        <v>5352</v>
      </c>
    </row>
    <row r="4" spans="2:2" ht="87.5">
      <c r="B4" s="437" t="s">
        <v>5353</v>
      </c>
    </row>
  </sheetData>
  <pageMargins left="0.70866141732283472" right="0.70866141732283472" top="0.74803149606299213" bottom="0.74803149606299213" header="0.31496062992125984" footer="0.31496062992125984"/>
  <pageSetup scale="8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7124-5D39-40D9-B13C-6A046B6196E3}">
  <dimension ref="A1:E42"/>
  <sheetViews>
    <sheetView view="pageBreakPreview" zoomScale="60" zoomScaleNormal="100" workbookViewId="0">
      <selection activeCell="F4" sqref="F4"/>
    </sheetView>
  </sheetViews>
  <sheetFormatPr defaultRowHeight="14"/>
  <cols>
    <col min="1" max="5" width="43.75" style="430" customWidth="1"/>
    <col min="6" max="6" width="42.58203125" customWidth="1"/>
    <col min="7" max="12" width="33.33203125" customWidth="1"/>
  </cols>
  <sheetData>
    <row r="1" spans="1:5" ht="17.5">
      <c r="A1" s="314" t="s">
        <v>5342</v>
      </c>
      <c r="B1" s="314" t="s">
        <v>5342</v>
      </c>
      <c r="C1" s="314" t="s">
        <v>5342</v>
      </c>
      <c r="D1" s="314" t="s">
        <v>5342</v>
      </c>
      <c r="E1" s="314" t="s">
        <v>5342</v>
      </c>
    </row>
    <row r="2" spans="1:5" ht="17.5">
      <c r="A2" s="314" t="s">
        <v>5341</v>
      </c>
      <c r="B2" s="314" t="s">
        <v>5341</v>
      </c>
      <c r="C2" s="314" t="s">
        <v>5341</v>
      </c>
      <c r="D2" s="314" t="s">
        <v>5341</v>
      </c>
      <c r="E2" s="314" t="s">
        <v>5341</v>
      </c>
    </row>
    <row r="3" spans="1:5" ht="17.5">
      <c r="A3" s="314"/>
      <c r="B3" s="314"/>
      <c r="C3" s="314"/>
      <c r="D3" s="314"/>
      <c r="E3" s="314"/>
    </row>
    <row r="4" spans="1:5" ht="17.5">
      <c r="A4" s="314"/>
      <c r="B4" s="314"/>
      <c r="C4" s="314"/>
      <c r="D4" s="314"/>
      <c r="E4" s="314"/>
    </row>
    <row r="5" spans="1:5" ht="17.5">
      <c r="A5" s="314"/>
      <c r="B5" s="314"/>
      <c r="C5" s="314"/>
      <c r="D5" s="314"/>
      <c r="E5" s="314"/>
    </row>
    <row r="6" spans="1:5" ht="17.5">
      <c r="A6" s="314"/>
      <c r="B6" s="314"/>
      <c r="C6" s="314"/>
      <c r="D6" s="314"/>
      <c r="E6" s="314"/>
    </row>
    <row r="7" spans="1:5" ht="17.5">
      <c r="A7" s="314"/>
      <c r="B7" s="314"/>
      <c r="C7" s="314"/>
      <c r="D7" s="314"/>
      <c r="E7" s="314"/>
    </row>
    <row r="8" spans="1:5" ht="17.5">
      <c r="A8" s="314"/>
      <c r="B8" s="314"/>
      <c r="C8" s="314"/>
      <c r="D8" s="314"/>
      <c r="E8" s="314"/>
    </row>
    <row r="9" spans="1:5" ht="17.5">
      <c r="A9" s="314" t="s">
        <v>5343</v>
      </c>
      <c r="B9" s="314" t="s">
        <v>5343</v>
      </c>
      <c r="C9" s="314" t="s">
        <v>5343</v>
      </c>
      <c r="D9" s="314" t="s">
        <v>5343</v>
      </c>
      <c r="E9" s="314" t="s">
        <v>5343</v>
      </c>
    </row>
    <row r="10" spans="1:5" ht="17.5">
      <c r="A10" s="314" t="s">
        <v>5344</v>
      </c>
      <c r="B10" s="314" t="s">
        <v>5344</v>
      </c>
      <c r="C10" s="314" t="s">
        <v>5344</v>
      </c>
      <c r="D10" s="314" t="s">
        <v>5344</v>
      </c>
      <c r="E10" s="314" t="s">
        <v>5344</v>
      </c>
    </row>
    <row r="11" spans="1:5" ht="17.5">
      <c r="A11" s="314"/>
      <c r="B11" s="314"/>
      <c r="C11" s="314"/>
      <c r="D11" s="314"/>
      <c r="E11" s="314"/>
    </row>
    <row r="12" spans="1:5" ht="17.5">
      <c r="A12" s="314" t="s">
        <v>5342</v>
      </c>
      <c r="B12" s="314" t="s">
        <v>5342</v>
      </c>
      <c r="C12" s="314" t="s">
        <v>5342</v>
      </c>
      <c r="D12" s="314" t="s">
        <v>5342</v>
      </c>
      <c r="E12" s="314" t="s">
        <v>5342</v>
      </c>
    </row>
    <row r="13" spans="1:5" ht="17.5">
      <c r="A13" s="314" t="s">
        <v>5341</v>
      </c>
      <c r="B13" s="314" t="s">
        <v>5341</v>
      </c>
      <c r="C13" s="314" t="s">
        <v>5341</v>
      </c>
      <c r="D13" s="314" t="s">
        <v>5341</v>
      </c>
      <c r="E13" s="314" t="s">
        <v>5341</v>
      </c>
    </row>
    <row r="14" spans="1:5" ht="17.5">
      <c r="A14" s="314"/>
      <c r="B14" s="314"/>
      <c r="C14" s="314"/>
      <c r="D14" s="314"/>
      <c r="E14" s="314"/>
    </row>
    <row r="15" spans="1:5" ht="17.5">
      <c r="A15" s="314"/>
      <c r="B15" s="314"/>
      <c r="C15" s="314"/>
      <c r="D15" s="314"/>
      <c r="E15" s="314"/>
    </row>
    <row r="16" spans="1:5" ht="17.5">
      <c r="A16" s="314"/>
      <c r="B16" s="314"/>
      <c r="C16" s="314"/>
      <c r="D16" s="314"/>
      <c r="E16" s="314"/>
    </row>
    <row r="17" spans="1:5" ht="17.5">
      <c r="A17" s="314"/>
      <c r="B17" s="314"/>
      <c r="C17" s="314"/>
      <c r="D17" s="314"/>
      <c r="E17" s="314"/>
    </row>
    <row r="18" spans="1:5" ht="17.5">
      <c r="A18" s="314"/>
      <c r="B18" s="314"/>
      <c r="C18" s="314"/>
      <c r="D18" s="314"/>
      <c r="E18" s="314"/>
    </row>
    <row r="19" spans="1:5" ht="17.5">
      <c r="A19" s="314"/>
      <c r="B19" s="314"/>
      <c r="C19" s="314"/>
      <c r="D19" s="314"/>
      <c r="E19" s="314"/>
    </row>
    <row r="20" spans="1:5" ht="17.5">
      <c r="A20" s="314" t="s">
        <v>5343</v>
      </c>
      <c r="B20" s="314" t="s">
        <v>5343</v>
      </c>
      <c r="C20" s="314" t="s">
        <v>5343</v>
      </c>
      <c r="D20" s="314" t="s">
        <v>5343</v>
      </c>
      <c r="E20" s="314" t="s">
        <v>5343</v>
      </c>
    </row>
    <row r="21" spans="1:5" ht="17.5">
      <c r="A21" s="314" t="s">
        <v>5344</v>
      </c>
      <c r="B21" s="314" t="s">
        <v>5344</v>
      </c>
      <c r="C21" s="314" t="s">
        <v>5344</v>
      </c>
      <c r="D21" s="314" t="s">
        <v>5344</v>
      </c>
      <c r="E21" s="314" t="s">
        <v>5344</v>
      </c>
    </row>
    <row r="22" spans="1:5" ht="17.5">
      <c r="A22" s="314" t="s">
        <v>5342</v>
      </c>
      <c r="B22" s="314" t="s">
        <v>5342</v>
      </c>
      <c r="C22" s="314" t="s">
        <v>5342</v>
      </c>
      <c r="D22" s="314" t="s">
        <v>5342</v>
      </c>
      <c r="E22" s="314" t="s">
        <v>5342</v>
      </c>
    </row>
    <row r="23" spans="1:5" ht="17.5">
      <c r="A23" s="314" t="s">
        <v>5341</v>
      </c>
      <c r="B23" s="314" t="s">
        <v>5341</v>
      </c>
      <c r="C23" s="314" t="s">
        <v>5341</v>
      </c>
      <c r="D23" s="314" t="s">
        <v>5341</v>
      </c>
      <c r="E23" s="314" t="s">
        <v>5341</v>
      </c>
    </row>
    <row r="24" spans="1:5" ht="17.5">
      <c r="A24" s="314"/>
      <c r="B24" s="314"/>
      <c r="C24" s="314"/>
      <c r="D24" s="314"/>
      <c r="E24" s="314"/>
    </row>
    <row r="25" spans="1:5" ht="17.5">
      <c r="A25" s="314"/>
      <c r="B25" s="314"/>
      <c r="C25" s="314"/>
      <c r="D25" s="314"/>
      <c r="E25" s="314"/>
    </row>
    <row r="26" spans="1:5" ht="17.5">
      <c r="A26" s="314"/>
      <c r="B26" s="314"/>
      <c r="C26" s="314"/>
      <c r="D26" s="314"/>
      <c r="E26" s="314"/>
    </row>
    <row r="27" spans="1:5" ht="17.5">
      <c r="A27" s="314"/>
      <c r="B27" s="314"/>
      <c r="C27" s="314"/>
      <c r="D27" s="314"/>
      <c r="E27" s="314"/>
    </row>
    <row r="28" spans="1:5" ht="17.5">
      <c r="A28" s="314"/>
      <c r="B28" s="314"/>
      <c r="C28" s="314"/>
      <c r="D28" s="314"/>
      <c r="E28" s="314"/>
    </row>
    <row r="29" spans="1:5" ht="17.5">
      <c r="A29" s="314"/>
      <c r="B29" s="314"/>
      <c r="C29" s="314"/>
      <c r="D29" s="314"/>
      <c r="E29" s="314"/>
    </row>
    <row r="30" spans="1:5" ht="17.5">
      <c r="A30" s="314" t="s">
        <v>5343</v>
      </c>
      <c r="B30" s="314" t="s">
        <v>5343</v>
      </c>
      <c r="C30" s="314" t="s">
        <v>5343</v>
      </c>
      <c r="D30" s="314" t="s">
        <v>5343</v>
      </c>
      <c r="E30" s="314" t="s">
        <v>5343</v>
      </c>
    </row>
    <row r="31" spans="1:5" ht="17.5">
      <c r="A31" s="314" t="s">
        <v>5344</v>
      </c>
      <c r="B31" s="314" t="s">
        <v>5344</v>
      </c>
      <c r="C31" s="314" t="s">
        <v>5344</v>
      </c>
      <c r="D31" s="314" t="s">
        <v>5344</v>
      </c>
      <c r="E31" s="314" t="s">
        <v>5344</v>
      </c>
    </row>
    <row r="32" spans="1:5" ht="17.5">
      <c r="A32" s="314"/>
      <c r="B32" s="314"/>
      <c r="C32" s="314"/>
      <c r="D32" s="314"/>
      <c r="E32" s="314"/>
    </row>
    <row r="33" spans="1:5" ht="17.5">
      <c r="A33" s="314" t="s">
        <v>5342</v>
      </c>
      <c r="B33" s="314" t="s">
        <v>5342</v>
      </c>
      <c r="C33" s="314" t="s">
        <v>5342</v>
      </c>
      <c r="D33" s="314" t="s">
        <v>5342</v>
      </c>
      <c r="E33" s="314" t="s">
        <v>5342</v>
      </c>
    </row>
    <row r="34" spans="1:5" ht="17.5">
      <c r="A34" s="314" t="s">
        <v>5341</v>
      </c>
      <c r="B34" s="314" t="s">
        <v>5341</v>
      </c>
      <c r="C34" s="314" t="s">
        <v>5341</v>
      </c>
      <c r="D34" s="314" t="s">
        <v>5341</v>
      </c>
      <c r="E34" s="314" t="s">
        <v>5341</v>
      </c>
    </row>
    <row r="35" spans="1:5" ht="17.5">
      <c r="A35" s="314"/>
      <c r="B35" s="314"/>
      <c r="C35" s="314"/>
      <c r="D35" s="314"/>
      <c r="E35" s="314"/>
    </row>
    <row r="36" spans="1:5" ht="17.5">
      <c r="A36" s="314"/>
      <c r="B36" s="314"/>
      <c r="C36" s="314"/>
      <c r="D36" s="314"/>
      <c r="E36" s="314"/>
    </row>
    <row r="37" spans="1:5" ht="17.5">
      <c r="A37" s="314"/>
      <c r="B37" s="314"/>
      <c r="C37" s="314"/>
      <c r="D37" s="314"/>
      <c r="E37" s="314"/>
    </row>
    <row r="38" spans="1:5" ht="17.5">
      <c r="A38" s="314"/>
      <c r="B38" s="314"/>
      <c r="C38" s="314"/>
      <c r="D38" s="314"/>
      <c r="E38" s="314"/>
    </row>
    <row r="39" spans="1:5" ht="17.5">
      <c r="A39" s="314"/>
      <c r="B39" s="314"/>
      <c r="C39" s="314"/>
      <c r="D39" s="314"/>
      <c r="E39" s="314"/>
    </row>
    <row r="40" spans="1:5" ht="17.5">
      <c r="A40" s="314"/>
      <c r="B40" s="314"/>
      <c r="C40" s="314"/>
      <c r="D40" s="314"/>
      <c r="E40" s="314"/>
    </row>
    <row r="41" spans="1:5" ht="17.5">
      <c r="A41" s="314" t="s">
        <v>5343</v>
      </c>
      <c r="B41" s="314" t="s">
        <v>5343</v>
      </c>
      <c r="C41" s="314" t="s">
        <v>5343</v>
      </c>
      <c r="D41" s="314" t="s">
        <v>5343</v>
      </c>
      <c r="E41" s="314" t="s">
        <v>5343</v>
      </c>
    </row>
    <row r="42" spans="1:5" ht="17.5">
      <c r="A42" s="314" t="s">
        <v>5344</v>
      </c>
      <c r="B42" s="314" t="s">
        <v>5344</v>
      </c>
      <c r="C42" s="314" t="s">
        <v>5344</v>
      </c>
      <c r="D42" s="314" t="s">
        <v>5344</v>
      </c>
      <c r="E42" s="314" t="s">
        <v>5344</v>
      </c>
    </row>
  </sheetData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5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F476-5EEE-4D13-B1C5-0927A5FD3F2D}">
  <dimension ref="A3:I4"/>
  <sheetViews>
    <sheetView view="pageBreakPreview" zoomScale="60" zoomScaleNormal="100" workbookViewId="0">
      <selection activeCell="E5" sqref="E5"/>
    </sheetView>
  </sheetViews>
  <sheetFormatPr defaultRowHeight="14"/>
  <sheetData>
    <row r="3" spans="1:9" ht="87.5">
      <c r="A3" s="439" t="s">
        <v>5354</v>
      </c>
      <c r="B3" s="438"/>
      <c r="C3" s="438"/>
      <c r="D3" s="438"/>
      <c r="E3" s="438"/>
      <c r="F3" s="438"/>
    </row>
    <row r="4" spans="1:9" ht="87.5">
      <c r="A4" s="629"/>
      <c r="B4" s="629"/>
      <c r="C4" s="629"/>
      <c r="D4" s="629"/>
      <c r="E4" s="629"/>
      <c r="F4" s="629"/>
      <c r="G4" s="629"/>
      <c r="H4" s="629"/>
      <c r="I4" s="629"/>
    </row>
  </sheetData>
  <mergeCells count="1">
    <mergeCell ref="A4:I4"/>
  </mergeCells>
  <pageMargins left="0.70866141732283472" right="0.70866141732283472" top="0.74803149606299213" bottom="0.74803149606299213" header="0.31496062992125984" footer="0.31496062992125984"/>
  <pageSetup scale="148" orientation="landscape" r:id="rId1"/>
  <rowBreaks count="1" manualBreakCount="1">
    <brk id="4" max="11" man="1"/>
  </rowBreaks>
  <colBreaks count="1" manualBreakCount="1">
    <brk id="9" max="2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28B0-F019-4610-9F8D-CD2FBB2FC8DD}">
  <dimension ref="A1:P7"/>
  <sheetViews>
    <sheetView workbookViewId="0">
      <selection activeCell="G13" sqref="G13"/>
    </sheetView>
  </sheetViews>
  <sheetFormatPr defaultRowHeight="14"/>
  <cols>
    <col min="1" max="1" width="11.58203125" customWidth="1"/>
    <col min="2" max="2" width="15.75" customWidth="1"/>
    <col min="5" max="5" width="35.08203125" customWidth="1"/>
    <col min="6" max="6" width="9.25" bestFit="1" customWidth="1"/>
    <col min="11" max="11" width="24.25" customWidth="1"/>
    <col min="14" max="15" width="11.58203125" bestFit="1" customWidth="1"/>
    <col min="16" max="16" width="18.58203125" customWidth="1"/>
  </cols>
  <sheetData>
    <row r="1" spans="1:16" s="264" customFormat="1" ht="25">
      <c r="A1" s="440" t="s">
        <v>867</v>
      </c>
      <c r="B1" s="441" t="s">
        <v>868</v>
      </c>
      <c r="C1" s="442" t="s">
        <v>869</v>
      </c>
      <c r="D1" s="443" t="s">
        <v>870</v>
      </c>
      <c r="E1" s="444" t="s">
        <v>871</v>
      </c>
      <c r="F1" s="444" t="s">
        <v>872</v>
      </c>
      <c r="G1" s="445" t="s">
        <v>873</v>
      </c>
      <c r="H1" s="446" t="s">
        <v>874</v>
      </c>
      <c r="I1" s="446" t="s">
        <v>875</v>
      </c>
      <c r="J1" s="407" t="s">
        <v>5177</v>
      </c>
      <c r="K1" s="407" t="s">
        <v>5179</v>
      </c>
      <c r="L1" s="407" t="s">
        <v>5214</v>
      </c>
      <c r="M1" s="407" t="s">
        <v>5218</v>
      </c>
      <c r="N1" s="407" t="s">
        <v>5215</v>
      </c>
      <c r="O1" s="407" t="s">
        <v>5357</v>
      </c>
      <c r="P1" s="407" t="s">
        <v>5146</v>
      </c>
    </row>
    <row r="2" spans="1:16">
      <c r="A2" s="452">
        <v>1</v>
      </c>
      <c r="B2" s="117" t="s">
        <v>5092</v>
      </c>
      <c r="C2" s="150" t="s">
        <v>154</v>
      </c>
      <c r="D2" s="150" t="s">
        <v>5111</v>
      </c>
      <c r="E2" s="453" t="s">
        <v>5112</v>
      </c>
      <c r="F2" s="453" t="s">
        <v>1047</v>
      </c>
      <c r="G2" s="453" t="s">
        <v>990</v>
      </c>
      <c r="H2" s="459">
        <v>13.7329458</v>
      </c>
      <c r="I2" s="459">
        <v>100.53810180000001</v>
      </c>
      <c r="J2" s="449" t="s">
        <v>5178</v>
      </c>
      <c r="K2" s="454" t="s">
        <v>5116</v>
      </c>
      <c r="L2" s="454" t="s">
        <v>902</v>
      </c>
      <c r="M2" s="450">
        <v>25</v>
      </c>
      <c r="N2" s="228">
        <f t="shared" ref="N2:N7" si="0">M2*950</f>
        <v>23750</v>
      </c>
      <c r="O2" s="228">
        <v>60000</v>
      </c>
      <c r="P2" s="222" t="s">
        <v>5149</v>
      </c>
    </row>
    <row r="3" spans="1:16">
      <c r="A3" s="452">
        <v>2</v>
      </c>
      <c r="B3" s="455" t="s">
        <v>1114</v>
      </c>
      <c r="C3" s="113" t="s">
        <v>4560</v>
      </c>
      <c r="D3" s="235" t="s">
        <v>4561</v>
      </c>
      <c r="E3" s="114" t="s">
        <v>4562</v>
      </c>
      <c r="F3" s="115" t="s">
        <v>1007</v>
      </c>
      <c r="G3" s="115" t="s">
        <v>990</v>
      </c>
      <c r="H3" s="460">
        <v>13.737754000000001</v>
      </c>
      <c r="I3" s="460">
        <v>100.516954</v>
      </c>
      <c r="J3" s="449" t="s">
        <v>5178</v>
      </c>
      <c r="K3" s="454" t="s">
        <v>5116</v>
      </c>
      <c r="L3" s="454" t="s">
        <v>952</v>
      </c>
      <c r="M3" s="450">
        <v>85</v>
      </c>
      <c r="N3" s="228">
        <f t="shared" si="0"/>
        <v>80750</v>
      </c>
      <c r="O3" s="228">
        <v>72475</v>
      </c>
      <c r="P3" s="222" t="s">
        <v>5358</v>
      </c>
    </row>
    <row r="4" spans="1:16">
      <c r="A4" s="452">
        <v>3</v>
      </c>
      <c r="B4" s="454"/>
      <c r="C4" s="457"/>
      <c r="D4" s="458" t="s">
        <v>5356</v>
      </c>
      <c r="E4" s="114" t="s">
        <v>5355</v>
      </c>
      <c r="F4" s="115" t="s">
        <v>1007</v>
      </c>
      <c r="G4" s="115" t="s">
        <v>990</v>
      </c>
      <c r="H4" s="460">
        <v>13.737754000000001</v>
      </c>
      <c r="I4" s="460">
        <v>100.516954</v>
      </c>
      <c r="J4" s="449" t="s">
        <v>5178</v>
      </c>
      <c r="K4" s="454" t="s">
        <v>5116</v>
      </c>
      <c r="L4" s="454" t="s">
        <v>952</v>
      </c>
      <c r="M4" s="450">
        <v>150</v>
      </c>
      <c r="N4" s="228">
        <f t="shared" si="0"/>
        <v>142500</v>
      </c>
      <c r="O4" s="228">
        <v>132600</v>
      </c>
      <c r="P4" s="222" t="s">
        <v>5149</v>
      </c>
    </row>
    <row r="5" spans="1:16">
      <c r="A5" s="452">
        <v>4</v>
      </c>
      <c r="B5" s="117" t="s">
        <v>5091</v>
      </c>
      <c r="C5" s="150" t="s">
        <v>786</v>
      </c>
      <c r="D5" s="150" t="s">
        <v>5113</v>
      </c>
      <c r="E5" s="453" t="s">
        <v>5114</v>
      </c>
      <c r="F5" s="453" t="s">
        <v>1047</v>
      </c>
      <c r="G5" s="453" t="s">
        <v>990</v>
      </c>
      <c r="H5" s="459">
        <v>13.7371576</v>
      </c>
      <c r="I5" s="459">
        <v>100.538989</v>
      </c>
      <c r="J5" s="449" t="s">
        <v>5178</v>
      </c>
      <c r="K5" s="454" t="s">
        <v>5116</v>
      </c>
      <c r="L5" s="454" t="s">
        <v>902</v>
      </c>
      <c r="M5" s="450">
        <v>290</v>
      </c>
      <c r="N5" s="228">
        <f t="shared" si="0"/>
        <v>275500</v>
      </c>
      <c r="O5" s="228">
        <v>60000</v>
      </c>
      <c r="P5" s="222" t="s">
        <v>5149</v>
      </c>
    </row>
    <row r="6" spans="1:16">
      <c r="A6" s="452">
        <v>5</v>
      </c>
      <c r="B6" s="455" t="s">
        <v>1086</v>
      </c>
      <c r="C6" s="122" t="s">
        <v>2061</v>
      </c>
      <c r="D6" s="235" t="s">
        <v>2062</v>
      </c>
      <c r="E6" s="114" t="s">
        <v>2063</v>
      </c>
      <c r="F6" s="115" t="s">
        <v>1047</v>
      </c>
      <c r="G6" s="115" t="s">
        <v>990</v>
      </c>
      <c r="H6" s="461">
        <v>13.7328726</v>
      </c>
      <c r="I6" s="461">
        <v>100.53805029999999</v>
      </c>
      <c r="J6" s="449" t="s">
        <v>5178</v>
      </c>
      <c r="K6" s="454" t="s">
        <v>5116</v>
      </c>
      <c r="L6" s="454" t="s">
        <v>902</v>
      </c>
      <c r="M6" s="451">
        <v>17</v>
      </c>
      <c r="N6" s="228">
        <f t="shared" si="0"/>
        <v>16150</v>
      </c>
      <c r="O6" s="448">
        <v>17750</v>
      </c>
      <c r="P6" s="447" t="s">
        <v>5358</v>
      </c>
    </row>
    <row r="7" spans="1:16">
      <c r="A7" s="452">
        <v>6</v>
      </c>
      <c r="B7" s="456" t="s">
        <v>1022</v>
      </c>
      <c r="C7" s="113" t="s">
        <v>4913</v>
      </c>
      <c r="D7" s="235" t="s">
        <v>4914</v>
      </c>
      <c r="E7" s="114" t="s">
        <v>4915</v>
      </c>
      <c r="F7" s="115" t="s">
        <v>1047</v>
      </c>
      <c r="G7" s="115" t="s">
        <v>990</v>
      </c>
      <c r="H7" s="460">
        <v>13.737178999999999</v>
      </c>
      <c r="I7" s="460">
        <v>100.539053</v>
      </c>
      <c r="J7" s="449" t="s">
        <v>5178</v>
      </c>
      <c r="K7" s="454" t="s">
        <v>5116</v>
      </c>
      <c r="L7" s="454" t="s">
        <v>902</v>
      </c>
      <c r="M7" s="451">
        <v>15</v>
      </c>
      <c r="N7" s="228">
        <f t="shared" si="0"/>
        <v>14250</v>
      </c>
      <c r="O7" s="448">
        <v>19750</v>
      </c>
      <c r="P7" s="447" t="s">
        <v>5358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B06C-E1D7-470A-A529-86180F6C3712}">
  <dimension ref="A1:U8"/>
  <sheetViews>
    <sheetView workbookViewId="0">
      <selection activeCell="E11" sqref="E11"/>
    </sheetView>
  </sheetViews>
  <sheetFormatPr defaultRowHeight="14"/>
  <cols>
    <col min="5" max="5" width="72.25" customWidth="1"/>
    <col min="12" max="12" width="17.08203125" customWidth="1"/>
    <col min="21" max="21" width="19.75" customWidth="1"/>
  </cols>
  <sheetData>
    <row r="1" spans="1:21" ht="42">
      <c r="A1" s="100" t="s">
        <v>867</v>
      </c>
      <c r="B1" s="101" t="s">
        <v>868</v>
      </c>
      <c r="C1" s="101" t="s">
        <v>869</v>
      </c>
      <c r="D1" s="101" t="s">
        <v>870</v>
      </c>
      <c r="E1" s="101" t="s">
        <v>871</v>
      </c>
      <c r="F1" s="101" t="s">
        <v>872</v>
      </c>
      <c r="G1" s="102" t="s">
        <v>873</v>
      </c>
      <c r="H1" s="103" t="s">
        <v>874</v>
      </c>
      <c r="I1" s="103" t="s">
        <v>875</v>
      </c>
      <c r="J1" s="104" t="s">
        <v>876</v>
      </c>
      <c r="K1" s="104" t="s">
        <v>1</v>
      </c>
      <c r="L1" s="104" t="s">
        <v>877</v>
      </c>
      <c r="M1" s="105" t="s">
        <v>878</v>
      </c>
      <c r="N1" s="105" t="s">
        <v>879</v>
      </c>
      <c r="O1" s="106" t="s">
        <v>880</v>
      </c>
      <c r="P1" s="107" t="s">
        <v>881</v>
      </c>
      <c r="Q1" s="108" t="s">
        <v>882</v>
      </c>
      <c r="R1" s="109" t="s">
        <v>883</v>
      </c>
      <c r="S1" s="110" t="s">
        <v>884</v>
      </c>
      <c r="T1" s="269" t="s">
        <v>5177</v>
      </c>
      <c r="U1" s="269" t="s">
        <v>5179</v>
      </c>
    </row>
    <row r="2" spans="1:21" ht="23">
      <c r="A2" s="111">
        <v>278</v>
      </c>
      <c r="B2" s="233" t="s">
        <v>919</v>
      </c>
      <c r="C2" s="122" t="s">
        <v>2834</v>
      </c>
      <c r="D2" s="147" t="s">
        <v>2835</v>
      </c>
      <c r="E2" s="123" t="s">
        <v>2836</v>
      </c>
      <c r="F2" s="116" t="s">
        <v>1190</v>
      </c>
      <c r="G2" s="116" t="s">
        <v>957</v>
      </c>
      <c r="H2" s="116">
        <v>13.756192199999999</v>
      </c>
      <c r="I2" s="116">
        <v>100.5424945</v>
      </c>
      <c r="J2" s="115" t="s">
        <v>2108</v>
      </c>
      <c r="K2" s="117" t="s">
        <v>2109</v>
      </c>
      <c r="L2" s="117" t="s">
        <v>2110</v>
      </c>
      <c r="M2" s="121" t="s">
        <v>972</v>
      </c>
      <c r="N2" s="121" t="s">
        <v>972</v>
      </c>
      <c r="O2" s="121" t="s">
        <v>984</v>
      </c>
      <c r="P2" s="118" t="s">
        <v>1876</v>
      </c>
      <c r="Q2" s="125" t="s">
        <v>972</v>
      </c>
      <c r="R2" s="125" t="s">
        <v>972</v>
      </c>
      <c r="S2" s="125" t="s">
        <v>972</v>
      </c>
      <c r="T2" s="271" t="s">
        <v>5178</v>
      </c>
      <c r="U2" s="271" t="s">
        <v>5184</v>
      </c>
    </row>
    <row r="3" spans="1:21" ht="23">
      <c r="A3" s="111">
        <v>311</v>
      </c>
      <c r="B3" s="233">
        <v>1</v>
      </c>
      <c r="C3" s="113" t="s">
        <v>2896</v>
      </c>
      <c r="D3" s="243" t="s">
        <v>2897</v>
      </c>
      <c r="E3" s="114" t="s">
        <v>2898</v>
      </c>
      <c r="F3" s="115" t="s">
        <v>1132</v>
      </c>
      <c r="G3" s="115" t="s">
        <v>901</v>
      </c>
      <c r="H3" s="116">
        <v>13.755247000000001</v>
      </c>
      <c r="I3" s="116">
        <v>100.64587400000001</v>
      </c>
      <c r="J3" s="116" t="s">
        <v>2108</v>
      </c>
      <c r="K3" s="115" t="s">
        <v>2081</v>
      </c>
      <c r="L3" s="117" t="s">
        <v>2899</v>
      </c>
      <c r="M3" s="121" t="s">
        <v>972</v>
      </c>
      <c r="N3" s="121" t="s">
        <v>972</v>
      </c>
      <c r="O3" s="121" t="s">
        <v>901</v>
      </c>
      <c r="P3" s="117" t="s">
        <v>902</v>
      </c>
      <c r="Q3" s="125" t="s">
        <v>972</v>
      </c>
      <c r="R3" s="125" t="s">
        <v>972</v>
      </c>
      <c r="S3" s="125" t="s">
        <v>972</v>
      </c>
      <c r="T3" s="271" t="s">
        <v>5178</v>
      </c>
      <c r="U3" s="271" t="s">
        <v>5181</v>
      </c>
    </row>
    <row r="4" spans="1:21" ht="23">
      <c r="A4" s="111">
        <v>494</v>
      </c>
      <c r="B4" s="233">
        <v>5</v>
      </c>
      <c r="C4" s="113" t="s">
        <v>3347</v>
      </c>
      <c r="D4" s="147" t="s">
        <v>3348</v>
      </c>
      <c r="E4" s="114" t="s">
        <v>3349</v>
      </c>
      <c r="F4" s="115" t="s">
        <v>1458</v>
      </c>
      <c r="G4" s="115" t="s">
        <v>1435</v>
      </c>
      <c r="H4" s="116">
        <v>13.812936300000001</v>
      </c>
      <c r="I4" s="116">
        <v>100.5349609</v>
      </c>
      <c r="J4" s="115" t="s">
        <v>2108</v>
      </c>
      <c r="K4" s="115" t="s">
        <v>2136</v>
      </c>
      <c r="L4" s="117" t="s">
        <v>3350</v>
      </c>
      <c r="M4" s="121" t="s">
        <v>972</v>
      </c>
      <c r="N4" s="121" t="s">
        <v>972</v>
      </c>
      <c r="O4" s="121" t="s">
        <v>1436</v>
      </c>
      <c r="P4" s="117" t="s">
        <v>1876</v>
      </c>
      <c r="Q4" s="125" t="s">
        <v>972</v>
      </c>
      <c r="R4" s="125" t="s">
        <v>972</v>
      </c>
      <c r="S4" s="125" t="s">
        <v>972</v>
      </c>
      <c r="T4" s="274" t="s">
        <v>5178</v>
      </c>
      <c r="U4" s="271" t="s">
        <v>5184</v>
      </c>
    </row>
    <row r="5" spans="1:21" ht="23">
      <c r="A5" s="111">
        <v>528</v>
      </c>
      <c r="B5" s="233">
        <v>13</v>
      </c>
      <c r="C5" s="113" t="s">
        <v>3442</v>
      </c>
      <c r="D5" s="243" t="s">
        <v>3443</v>
      </c>
      <c r="E5" s="123" t="s">
        <v>3444</v>
      </c>
      <c r="F5" s="115" t="s">
        <v>951</v>
      </c>
      <c r="G5" s="115" t="s">
        <v>1435</v>
      </c>
      <c r="H5" s="116">
        <v>13.830894799999999</v>
      </c>
      <c r="I5" s="116">
        <v>100.53477530000001</v>
      </c>
      <c r="J5" s="115" t="s">
        <v>2108</v>
      </c>
      <c r="K5" s="115" t="s">
        <v>2136</v>
      </c>
      <c r="L5" s="117" t="s">
        <v>3445</v>
      </c>
      <c r="M5" s="121" t="s">
        <v>972</v>
      </c>
      <c r="N5" s="121" t="s">
        <v>972</v>
      </c>
      <c r="O5" s="121" t="s">
        <v>1436</v>
      </c>
      <c r="P5" s="118" t="s">
        <v>1876</v>
      </c>
      <c r="Q5" s="125" t="s">
        <v>972</v>
      </c>
      <c r="R5" s="125" t="s">
        <v>972</v>
      </c>
      <c r="S5" s="125" t="s">
        <v>972</v>
      </c>
      <c r="T5" s="271" t="s">
        <v>5178</v>
      </c>
      <c r="U5" s="271" t="s">
        <v>5184</v>
      </c>
    </row>
    <row r="6" spans="1:21" ht="23">
      <c r="A6" s="111">
        <v>1101</v>
      </c>
      <c r="B6" s="233">
        <v>8</v>
      </c>
      <c r="C6" s="126" t="s">
        <v>4849</v>
      </c>
      <c r="D6" s="147" t="s">
        <v>4850</v>
      </c>
      <c r="E6" s="114" t="s">
        <v>4851</v>
      </c>
      <c r="F6" s="115" t="s">
        <v>1159</v>
      </c>
      <c r="G6" s="115" t="s">
        <v>1018</v>
      </c>
      <c r="H6" s="116">
        <v>13.706518000000001</v>
      </c>
      <c r="I6" s="116">
        <v>100.600632</v>
      </c>
      <c r="J6" s="115" t="s">
        <v>2108</v>
      </c>
      <c r="K6" s="117" t="s">
        <v>2109</v>
      </c>
      <c r="L6" s="121" t="s">
        <v>2110</v>
      </c>
      <c r="M6" s="121" t="s">
        <v>972</v>
      </c>
      <c r="N6" s="121" t="s">
        <v>972</v>
      </c>
      <c r="O6" s="121" t="s">
        <v>984</v>
      </c>
      <c r="P6" s="121" t="s">
        <v>1876</v>
      </c>
      <c r="Q6" s="125" t="s">
        <v>972</v>
      </c>
      <c r="R6" s="125" t="s">
        <v>972</v>
      </c>
      <c r="S6" s="125" t="s">
        <v>972</v>
      </c>
      <c r="T6" s="274" t="s">
        <v>5178</v>
      </c>
      <c r="U6" s="271" t="s">
        <v>5259</v>
      </c>
    </row>
    <row r="7" spans="1:21" ht="23">
      <c r="A7" s="111">
        <v>1102</v>
      </c>
      <c r="B7" s="233" t="s">
        <v>979</v>
      </c>
      <c r="C7" s="126" t="s">
        <v>4852</v>
      </c>
      <c r="D7" s="147" t="s">
        <v>4853</v>
      </c>
      <c r="E7" s="114" t="s">
        <v>4854</v>
      </c>
      <c r="F7" s="115" t="s">
        <v>1159</v>
      </c>
      <c r="G7" s="115" t="s">
        <v>984</v>
      </c>
      <c r="H7" s="116">
        <v>13.707305</v>
      </c>
      <c r="I7" s="116">
        <v>100.600025</v>
      </c>
      <c r="J7" s="115" t="s">
        <v>2108</v>
      </c>
      <c r="K7" s="117" t="s">
        <v>2109</v>
      </c>
      <c r="L7" s="117" t="s">
        <v>2110</v>
      </c>
      <c r="M7" s="121" t="s">
        <v>972</v>
      </c>
      <c r="N7" s="121" t="s">
        <v>972</v>
      </c>
      <c r="O7" s="121" t="s">
        <v>984</v>
      </c>
      <c r="P7" s="117" t="s">
        <v>894</v>
      </c>
      <c r="Q7" s="125" t="s">
        <v>972</v>
      </c>
      <c r="R7" s="125" t="s">
        <v>972</v>
      </c>
      <c r="S7" s="125" t="s">
        <v>972</v>
      </c>
      <c r="T7" s="274" t="s">
        <v>5178</v>
      </c>
      <c r="U7" s="271" t="s">
        <v>5181</v>
      </c>
    </row>
    <row r="8" spans="1:21">
      <c r="T8" s="246"/>
      <c r="U8" s="246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6B59-4AE1-4D6D-ACF2-56BD9DBBAC1C}">
  <dimension ref="A1:U8"/>
  <sheetViews>
    <sheetView workbookViewId="0">
      <selection activeCell="E10" sqref="E10"/>
    </sheetView>
  </sheetViews>
  <sheetFormatPr defaultRowHeight="14"/>
  <cols>
    <col min="1" max="1" width="9.08203125" bestFit="1" customWidth="1"/>
    <col min="2" max="2" width="59.5" style="247" customWidth="1"/>
    <col min="3" max="3" width="13.75" customWidth="1"/>
    <col min="4" max="4" width="12.08203125" customWidth="1"/>
    <col min="5" max="5" width="13.25" customWidth="1"/>
    <col min="6" max="6" width="15.75" customWidth="1"/>
    <col min="7" max="7" width="10.75" bestFit="1" customWidth="1"/>
    <col min="8" max="9" width="10.75" customWidth="1"/>
    <col min="10" max="10" width="18.08203125" bestFit="1" customWidth="1"/>
    <col min="11" max="11" width="23.08203125" bestFit="1" customWidth="1"/>
  </cols>
  <sheetData>
    <row r="1" spans="1:21" ht="25">
      <c r="A1" s="208" t="s">
        <v>867</v>
      </c>
      <c r="B1" s="208" t="s">
        <v>871</v>
      </c>
      <c r="C1" s="208" t="s">
        <v>872</v>
      </c>
      <c r="D1" s="209" t="s">
        <v>873</v>
      </c>
      <c r="E1" s="210" t="s">
        <v>874</v>
      </c>
      <c r="F1" s="210" t="s">
        <v>875</v>
      </c>
      <c r="G1" s="603" t="s">
        <v>5388</v>
      </c>
      <c r="H1" s="603" t="s">
        <v>5382</v>
      </c>
      <c r="I1" s="603" t="s">
        <v>5390</v>
      </c>
      <c r="J1" s="603" t="s">
        <v>5389</v>
      </c>
      <c r="K1" s="600" t="s">
        <v>5386</v>
      </c>
      <c r="L1" s="600" t="s">
        <v>5387</v>
      </c>
      <c r="M1" s="211" t="s">
        <v>876</v>
      </c>
      <c r="N1" s="211" t="s">
        <v>1</v>
      </c>
      <c r="O1" s="211" t="s">
        <v>877</v>
      </c>
      <c r="P1" s="212" t="s">
        <v>878</v>
      </c>
      <c r="Q1" s="212" t="s">
        <v>879</v>
      </c>
      <c r="R1" s="212" t="s">
        <v>5089</v>
      </c>
      <c r="S1" s="212" t="s">
        <v>881</v>
      </c>
    </row>
    <row r="2" spans="1:21">
      <c r="A2" s="609">
        <v>1</v>
      </c>
      <c r="B2" s="605" t="s">
        <v>4338</v>
      </c>
      <c r="C2" s="605" t="s">
        <v>947</v>
      </c>
      <c r="D2" s="605" t="s">
        <v>2394</v>
      </c>
      <c r="E2" s="610">
        <v>13.786383499999999</v>
      </c>
      <c r="F2" s="602">
        <v>100.69089030000001</v>
      </c>
      <c r="G2" s="601" t="s">
        <v>5391</v>
      </c>
      <c r="H2" s="604">
        <v>45630</v>
      </c>
      <c r="I2" s="602"/>
      <c r="J2" s="602"/>
      <c r="K2" s="116" t="s">
        <v>5385</v>
      </c>
      <c r="L2" s="116" t="s">
        <v>5217</v>
      </c>
      <c r="M2" s="116"/>
      <c r="N2" s="116"/>
      <c r="O2" s="116" t="s">
        <v>2108</v>
      </c>
      <c r="P2" s="115" t="s">
        <v>2081</v>
      </c>
      <c r="Q2" s="118" t="s">
        <v>4339</v>
      </c>
      <c r="R2" s="121" t="s">
        <v>972</v>
      </c>
      <c r="S2" s="121" t="s">
        <v>972</v>
      </c>
      <c r="T2" s="135" t="s">
        <v>3897</v>
      </c>
      <c r="U2" s="118" t="s">
        <v>902</v>
      </c>
    </row>
    <row r="3" spans="1:21" s="356" customFormat="1">
      <c r="A3" s="609">
        <v>2</v>
      </c>
      <c r="B3" s="606" t="s">
        <v>4325</v>
      </c>
      <c r="C3" s="606" t="s">
        <v>947</v>
      </c>
      <c r="D3" s="606" t="s">
        <v>2394</v>
      </c>
      <c r="E3" s="610">
        <v>13.7742889</v>
      </c>
      <c r="F3" s="602">
        <v>100.6689023</v>
      </c>
      <c r="G3" s="601" t="s">
        <v>5391</v>
      </c>
      <c r="H3" s="604">
        <v>45630</v>
      </c>
      <c r="I3" s="602"/>
      <c r="J3" s="602"/>
      <c r="K3" s="116" t="s">
        <v>5385</v>
      </c>
      <c r="L3" s="116" t="s">
        <v>5253</v>
      </c>
      <c r="M3" s="116"/>
      <c r="N3" s="116"/>
      <c r="O3" s="115" t="s">
        <v>2108</v>
      </c>
      <c r="P3" s="117" t="s">
        <v>2109</v>
      </c>
      <c r="Q3" s="117" t="s">
        <v>2110</v>
      </c>
      <c r="R3" s="121" t="s">
        <v>972</v>
      </c>
      <c r="S3" s="121" t="s">
        <v>972</v>
      </c>
      <c r="T3" s="117" t="s">
        <v>901</v>
      </c>
      <c r="U3" s="117" t="s">
        <v>1876</v>
      </c>
    </row>
    <row r="4" spans="1:21" s="356" customFormat="1">
      <c r="A4" s="609">
        <v>3</v>
      </c>
      <c r="B4" s="607" t="s">
        <v>5168</v>
      </c>
      <c r="C4" s="607" t="s">
        <v>947</v>
      </c>
      <c r="D4" s="608" t="s">
        <v>2394</v>
      </c>
      <c r="E4" s="611">
        <v>13.775734699999999</v>
      </c>
      <c r="F4" s="532">
        <v>100.6709728</v>
      </c>
      <c r="G4" s="601" t="s">
        <v>5391</v>
      </c>
      <c r="H4" s="604">
        <v>45630</v>
      </c>
      <c r="I4" s="532"/>
      <c r="J4" s="532"/>
      <c r="K4" s="532" t="s">
        <v>5385</v>
      </c>
      <c r="L4" s="116" t="s">
        <v>5253</v>
      </c>
      <c r="M4" s="532"/>
      <c r="N4" s="532"/>
      <c r="O4" s="305"/>
      <c r="P4" s="305"/>
      <c r="Q4" s="305"/>
      <c r="R4" s="305"/>
      <c r="S4" s="305"/>
      <c r="T4" s="402"/>
      <c r="U4" s="402"/>
    </row>
    <row r="5" spans="1:21">
      <c r="A5" s="609">
        <v>4</v>
      </c>
      <c r="B5" s="605" t="s">
        <v>1309</v>
      </c>
      <c r="C5" s="605" t="s">
        <v>947</v>
      </c>
      <c r="D5" s="605" t="s">
        <v>901</v>
      </c>
      <c r="E5" s="612">
        <v>13.770187</v>
      </c>
      <c r="F5" s="354">
        <v>100.6620001</v>
      </c>
    </row>
    <row r="6" spans="1:21">
      <c r="A6" s="609">
        <v>5</v>
      </c>
      <c r="B6" s="609" t="s">
        <v>5392</v>
      </c>
      <c r="C6" s="609" t="s">
        <v>1029</v>
      </c>
      <c r="D6" s="609" t="s">
        <v>1030</v>
      </c>
    </row>
    <row r="7" spans="1:21">
      <c r="A7" s="609">
        <v>6</v>
      </c>
      <c r="B7" s="609" t="s">
        <v>5393</v>
      </c>
      <c r="C7" s="609" t="s">
        <v>1029</v>
      </c>
      <c r="D7" s="609" t="s">
        <v>1030</v>
      </c>
    </row>
    <row r="8" spans="1:21">
      <c r="A8" s="609">
        <v>7</v>
      </c>
      <c r="B8" s="609" t="s">
        <v>5394</v>
      </c>
      <c r="C8" s="609" t="s">
        <v>1330</v>
      </c>
      <c r="D8" s="609" t="s">
        <v>1331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EAA2-35EB-4D92-8069-D8034AD9323C}">
  <dimension ref="A2:G33"/>
  <sheetViews>
    <sheetView workbookViewId="0">
      <selection activeCell="G14" sqref="G14"/>
    </sheetView>
  </sheetViews>
  <sheetFormatPr defaultRowHeight="14"/>
  <cols>
    <col min="2" max="2" width="21" customWidth="1"/>
    <col min="3" max="3" width="11.83203125" customWidth="1"/>
    <col min="5" max="5" width="15.83203125" customWidth="1"/>
    <col min="6" max="6" width="13.58203125" customWidth="1"/>
  </cols>
  <sheetData>
    <row r="2" spans="1:7">
      <c r="A2" s="222" t="s">
        <v>5227</v>
      </c>
      <c r="B2" s="222" t="s">
        <v>5179</v>
      </c>
      <c r="C2" s="222" t="s">
        <v>5228</v>
      </c>
      <c r="D2" s="288" t="s">
        <v>5227</v>
      </c>
      <c r="E2" s="230" t="s">
        <v>5142</v>
      </c>
      <c r="F2" s="230" t="s">
        <v>5242</v>
      </c>
      <c r="G2" s="230" t="s">
        <v>5134</v>
      </c>
    </row>
    <row r="3" spans="1:7">
      <c r="A3" s="222">
        <v>1</v>
      </c>
      <c r="B3" s="222" t="s">
        <v>5229</v>
      </c>
      <c r="C3" s="222">
        <v>6</v>
      </c>
      <c r="D3" s="230">
        <v>1</v>
      </c>
      <c r="E3" s="230" t="s">
        <v>5244</v>
      </c>
      <c r="F3" s="286">
        <v>45015</v>
      </c>
      <c r="G3" s="230">
        <v>3</v>
      </c>
    </row>
    <row r="4" spans="1:7">
      <c r="A4" s="222">
        <v>2</v>
      </c>
      <c r="B4" s="222" t="s">
        <v>5230</v>
      </c>
      <c r="C4" s="222">
        <v>4</v>
      </c>
      <c r="D4" s="230">
        <v>2</v>
      </c>
      <c r="E4" s="230" t="s">
        <v>5243</v>
      </c>
      <c r="F4" s="286">
        <v>45022</v>
      </c>
      <c r="G4" s="230">
        <v>25</v>
      </c>
    </row>
    <row r="5" spans="1:7">
      <c r="A5" s="222">
        <v>3</v>
      </c>
      <c r="B5" s="222" t="s">
        <v>5231</v>
      </c>
      <c r="C5" s="222">
        <v>20</v>
      </c>
      <c r="D5" s="230">
        <v>3</v>
      </c>
      <c r="E5" s="230" t="s">
        <v>5243</v>
      </c>
      <c r="F5" s="286">
        <v>45046</v>
      </c>
      <c r="G5" s="230">
        <v>6</v>
      </c>
    </row>
    <row r="6" spans="1:7">
      <c r="A6" s="222">
        <v>4</v>
      </c>
      <c r="B6" s="222" t="s">
        <v>5180</v>
      </c>
      <c r="C6" s="222">
        <v>2</v>
      </c>
      <c r="D6" s="230">
        <v>4</v>
      </c>
      <c r="E6" s="288" t="s">
        <v>5245</v>
      </c>
      <c r="F6" s="230"/>
      <c r="G6" s="288">
        <v>2</v>
      </c>
    </row>
    <row r="7" spans="1:7">
      <c r="A7" s="222">
        <v>5</v>
      </c>
      <c r="B7" s="222" t="s">
        <v>5185</v>
      </c>
      <c r="C7" s="222">
        <v>4</v>
      </c>
      <c r="G7">
        <f>SUM(G3:G6)</f>
        <v>36</v>
      </c>
    </row>
    <row r="8" spans="1:7">
      <c r="C8">
        <f>SUM(C3:C7)</f>
        <v>36</v>
      </c>
    </row>
    <row r="10" spans="1:7">
      <c r="A10" s="222" t="s">
        <v>5227</v>
      </c>
      <c r="B10" s="222" t="s">
        <v>5130</v>
      </c>
      <c r="C10" s="222" t="s">
        <v>5134</v>
      </c>
      <c r="D10" s="222" t="s">
        <v>5232</v>
      </c>
      <c r="E10" s="222" t="s">
        <v>5233</v>
      </c>
    </row>
    <row r="11" spans="1:7">
      <c r="A11" s="222">
        <v>1</v>
      </c>
      <c r="B11" s="222" t="s">
        <v>5234</v>
      </c>
      <c r="C11" s="222">
        <v>49</v>
      </c>
      <c r="D11" s="222">
        <v>46</v>
      </c>
      <c r="E11" s="222">
        <v>3</v>
      </c>
    </row>
    <row r="12" spans="1:7">
      <c r="A12" s="222">
        <v>2</v>
      </c>
      <c r="B12" s="222" t="s">
        <v>5143</v>
      </c>
      <c r="C12" s="222">
        <v>12</v>
      </c>
      <c r="D12" s="222">
        <v>12</v>
      </c>
      <c r="E12" s="222">
        <v>0</v>
      </c>
    </row>
    <row r="13" spans="1:7">
      <c r="A13" s="222">
        <v>3</v>
      </c>
      <c r="B13" s="222" t="s">
        <v>5235</v>
      </c>
      <c r="C13" s="222">
        <v>32</v>
      </c>
      <c r="D13" s="222">
        <v>32</v>
      </c>
      <c r="E13" s="222">
        <v>3</v>
      </c>
    </row>
    <row r="14" spans="1:7">
      <c r="A14" s="222"/>
      <c r="B14" s="222" t="s">
        <v>5236</v>
      </c>
      <c r="C14" s="222">
        <v>2</v>
      </c>
      <c r="D14" s="222">
        <v>2</v>
      </c>
      <c r="E14" s="222">
        <v>0</v>
      </c>
    </row>
    <row r="15" spans="1:7">
      <c r="A15" s="222"/>
      <c r="B15" s="222"/>
      <c r="C15" s="222"/>
      <c r="D15" s="222"/>
      <c r="E15" s="222"/>
    </row>
    <row r="18" spans="1:6">
      <c r="A18" s="222" t="s">
        <v>5227</v>
      </c>
      <c r="B18" s="222" t="s">
        <v>5237</v>
      </c>
      <c r="C18" s="222" t="s">
        <v>5178</v>
      </c>
      <c r="D18" s="222" t="s">
        <v>5143</v>
      </c>
      <c r="E18" s="222" t="s">
        <v>5235</v>
      </c>
      <c r="F18" s="222" t="s">
        <v>5236</v>
      </c>
    </row>
    <row r="19" spans="1:6">
      <c r="A19" s="222">
        <v>1</v>
      </c>
      <c r="B19" s="222" t="s">
        <v>5232</v>
      </c>
      <c r="C19" s="222">
        <v>46</v>
      </c>
      <c r="D19" s="222">
        <v>12</v>
      </c>
      <c r="E19" s="222">
        <v>32</v>
      </c>
      <c r="F19" s="222">
        <v>2</v>
      </c>
    </row>
    <row r="20" spans="1:6">
      <c r="A20" s="222">
        <v>2</v>
      </c>
      <c r="B20" s="222" t="s">
        <v>5233</v>
      </c>
      <c r="C20" s="222">
        <v>3</v>
      </c>
      <c r="D20" s="222">
        <v>1</v>
      </c>
      <c r="E20" s="222">
        <v>3</v>
      </c>
      <c r="F20" s="222">
        <v>0</v>
      </c>
    </row>
    <row r="21" spans="1:6">
      <c r="A21" s="222"/>
      <c r="B21" s="222" t="s">
        <v>5238</v>
      </c>
      <c r="C21" s="222">
        <f>SUM(C19:C20)</f>
        <v>49</v>
      </c>
      <c r="D21" s="222">
        <f>SUM(D19:D20)</f>
        <v>13</v>
      </c>
      <c r="E21" s="222">
        <f>SUM(E19:E20)</f>
        <v>35</v>
      </c>
      <c r="F21" s="222">
        <f>SUM(F19:F20)</f>
        <v>2</v>
      </c>
    </row>
    <row r="22" spans="1:6">
      <c r="A22" s="222"/>
      <c r="B22" s="222"/>
      <c r="C22" s="222"/>
      <c r="D22" s="222"/>
      <c r="E22" s="222"/>
      <c r="F22" s="222"/>
    </row>
    <row r="23" spans="1:6">
      <c r="A23" s="222"/>
      <c r="B23" s="222"/>
      <c r="C23" s="222"/>
      <c r="D23" s="222"/>
      <c r="E23" s="222"/>
      <c r="F23" s="222"/>
    </row>
    <row r="24" spans="1:6">
      <c r="C24" s="222"/>
    </row>
    <row r="28" spans="1:6">
      <c r="A28" s="222" t="s">
        <v>5227</v>
      </c>
      <c r="B28" s="222" t="s">
        <v>5239</v>
      </c>
      <c r="C28" s="222" t="s">
        <v>5228</v>
      </c>
    </row>
    <row r="29" spans="1:6">
      <c r="A29" s="222">
        <v>1</v>
      </c>
      <c r="B29" s="222" t="s">
        <v>5240</v>
      </c>
      <c r="C29" s="222">
        <v>40</v>
      </c>
    </row>
    <row r="30" spans="1:6">
      <c r="A30" s="222">
        <v>2</v>
      </c>
      <c r="B30" s="222" t="s">
        <v>5241</v>
      </c>
      <c r="C30" s="222">
        <v>9</v>
      </c>
    </row>
    <row r="31" spans="1:6">
      <c r="A31" s="222"/>
      <c r="B31" s="222"/>
      <c r="C31" s="222"/>
    </row>
    <row r="32" spans="1:6">
      <c r="A32" s="222"/>
      <c r="B32" s="222"/>
      <c r="C32" s="222"/>
    </row>
    <row r="33" spans="1:3">
      <c r="A33" s="222"/>
      <c r="B33" s="222"/>
      <c r="C33" s="22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1379-7AF0-4308-997B-2EE15313F5FC}">
  <dimension ref="A1:N40"/>
  <sheetViews>
    <sheetView workbookViewId="0">
      <selection activeCell="A4" sqref="A4"/>
    </sheetView>
  </sheetViews>
  <sheetFormatPr defaultRowHeight="14"/>
  <cols>
    <col min="2" max="2" width="11.08203125" customWidth="1"/>
    <col min="3" max="4" width="17.25" customWidth="1"/>
    <col min="5" max="5" width="66.08203125" customWidth="1"/>
    <col min="6" max="6" width="14.75" customWidth="1"/>
    <col min="7" max="9" width="13.33203125" customWidth="1"/>
    <col min="10" max="10" width="14.33203125" customWidth="1"/>
    <col min="11" max="11" width="18.83203125" customWidth="1"/>
    <col min="12" max="12" width="17.83203125" customWidth="1"/>
    <col min="13" max="13" width="40.83203125" customWidth="1"/>
    <col min="14" max="14" width="10" customWidth="1"/>
  </cols>
  <sheetData>
    <row r="1" spans="1:14" ht="14.5">
      <c r="A1" s="91" t="s">
        <v>5210</v>
      </c>
      <c r="B1" s="92"/>
      <c r="C1" s="92"/>
      <c r="D1" s="93"/>
      <c r="E1" s="94"/>
      <c r="F1" s="95"/>
      <c r="G1" s="96"/>
      <c r="H1" s="97"/>
      <c r="I1" s="97"/>
      <c r="J1" s="245"/>
      <c r="K1" s="245"/>
      <c r="L1" s="245"/>
      <c r="M1" s="247"/>
      <c r="N1" s="246"/>
    </row>
    <row r="2" spans="1:14" ht="14.5">
      <c r="A2" s="100" t="s">
        <v>867</v>
      </c>
      <c r="B2" s="101" t="s">
        <v>868</v>
      </c>
      <c r="C2" s="101" t="s">
        <v>869</v>
      </c>
      <c r="D2" s="101" t="s">
        <v>870</v>
      </c>
      <c r="E2" s="101" t="s">
        <v>871</v>
      </c>
      <c r="F2" s="101" t="s">
        <v>872</v>
      </c>
      <c r="G2" s="102" t="s">
        <v>873</v>
      </c>
      <c r="H2" s="103" t="s">
        <v>874</v>
      </c>
      <c r="I2" s="103" t="s">
        <v>875</v>
      </c>
      <c r="J2" s="234" t="s">
        <v>5177</v>
      </c>
      <c r="K2" s="234" t="s">
        <v>5179</v>
      </c>
      <c r="L2" s="234" t="s">
        <v>5142</v>
      </c>
      <c r="M2" s="248" t="s">
        <v>5145</v>
      </c>
      <c r="N2" s="249" t="s">
        <v>5146</v>
      </c>
    </row>
    <row r="3" spans="1:14">
      <c r="A3" s="250">
        <v>1</v>
      </c>
      <c r="B3" s="112" t="s">
        <v>979</v>
      </c>
      <c r="C3" s="122" t="s">
        <v>980</v>
      </c>
      <c r="D3" s="235" t="s">
        <v>981</v>
      </c>
      <c r="E3" s="236" t="s">
        <v>982</v>
      </c>
      <c r="F3" s="113" t="s">
        <v>968</v>
      </c>
      <c r="G3" s="113" t="s">
        <v>983</v>
      </c>
      <c r="H3" s="122">
        <v>13.763033399999999</v>
      </c>
      <c r="I3" s="122">
        <v>100.54375</v>
      </c>
      <c r="J3" s="251" t="s">
        <v>5178</v>
      </c>
      <c r="K3" s="251" t="s">
        <v>5205</v>
      </c>
      <c r="L3" s="252">
        <v>45010</v>
      </c>
      <c r="M3" s="253" t="s">
        <v>5208</v>
      </c>
      <c r="N3" s="254" t="s">
        <v>5149</v>
      </c>
    </row>
    <row r="4" spans="1:14">
      <c r="A4" s="250">
        <v>2</v>
      </c>
      <c r="B4" s="112">
        <v>4</v>
      </c>
      <c r="C4" s="113" t="s">
        <v>1034</v>
      </c>
      <c r="D4" s="235" t="s">
        <v>1035</v>
      </c>
      <c r="E4" s="236" t="s">
        <v>1036</v>
      </c>
      <c r="F4" s="113" t="s">
        <v>1007</v>
      </c>
      <c r="G4" s="113" t="s">
        <v>984</v>
      </c>
      <c r="H4" s="122">
        <v>13.718023199999999</v>
      </c>
      <c r="I4" s="122">
        <v>100.5691133</v>
      </c>
      <c r="J4" s="251" t="s">
        <v>5178</v>
      </c>
      <c r="K4" s="251" t="s">
        <v>5181</v>
      </c>
      <c r="L4" s="252">
        <v>44650</v>
      </c>
      <c r="M4" s="253" t="s">
        <v>5147</v>
      </c>
      <c r="N4" s="254"/>
    </row>
    <row r="5" spans="1:14">
      <c r="A5" s="250">
        <v>3</v>
      </c>
      <c r="B5" s="112">
        <v>11</v>
      </c>
      <c r="C5" s="113" t="s">
        <v>1256</v>
      </c>
      <c r="D5" s="235" t="s">
        <v>1257</v>
      </c>
      <c r="E5" s="236" t="s">
        <v>5128</v>
      </c>
      <c r="F5" s="113" t="s">
        <v>1159</v>
      </c>
      <c r="G5" s="113" t="s">
        <v>1018</v>
      </c>
      <c r="H5" s="122">
        <v>13.7357117</v>
      </c>
      <c r="I5" s="122">
        <v>100.5623995</v>
      </c>
      <c r="J5" s="251" t="s">
        <v>5178</v>
      </c>
      <c r="K5" s="251" t="s">
        <v>5184</v>
      </c>
      <c r="L5" s="252">
        <v>45015</v>
      </c>
      <c r="M5" s="253" t="s">
        <v>5152</v>
      </c>
      <c r="N5" s="254"/>
    </row>
    <row r="6" spans="1:14">
      <c r="A6" s="250">
        <v>4</v>
      </c>
      <c r="B6" s="112">
        <v>7</v>
      </c>
      <c r="C6" s="113" t="s">
        <v>1512</v>
      </c>
      <c r="D6" s="235" t="s">
        <v>1513</v>
      </c>
      <c r="E6" s="236" t="s">
        <v>1514</v>
      </c>
      <c r="F6" s="113" t="s">
        <v>1007</v>
      </c>
      <c r="G6" s="113" t="s">
        <v>990</v>
      </c>
      <c r="H6" s="122">
        <v>13.729195000000001</v>
      </c>
      <c r="I6" s="122">
        <v>100.537848</v>
      </c>
      <c r="J6" s="255" t="s">
        <v>5178</v>
      </c>
      <c r="K6" s="251" t="s">
        <v>5184</v>
      </c>
      <c r="L6" s="252">
        <v>45015</v>
      </c>
      <c r="M6" s="253" t="s">
        <v>5152</v>
      </c>
      <c r="N6" s="254"/>
    </row>
    <row r="7" spans="1:14">
      <c r="A7" s="250">
        <v>5</v>
      </c>
      <c r="B7" s="112">
        <v>6</v>
      </c>
      <c r="C7" s="113" t="s">
        <v>1720</v>
      </c>
      <c r="D7" s="235" t="s">
        <v>1721</v>
      </c>
      <c r="E7" s="236" t="s">
        <v>1722</v>
      </c>
      <c r="F7" s="113" t="s">
        <v>1480</v>
      </c>
      <c r="G7" s="113" t="s">
        <v>918</v>
      </c>
      <c r="H7" s="122">
        <v>13.705883999999999</v>
      </c>
      <c r="I7" s="122">
        <v>100.538158</v>
      </c>
      <c r="J7" s="251" t="s">
        <v>5178</v>
      </c>
      <c r="K7" s="251" t="s">
        <v>5184</v>
      </c>
      <c r="L7" s="252">
        <v>45015</v>
      </c>
      <c r="M7" s="253" t="s">
        <v>5152</v>
      </c>
      <c r="N7" s="254"/>
    </row>
    <row r="8" spans="1:14">
      <c r="A8" s="250">
        <v>6</v>
      </c>
      <c r="B8" s="112">
        <v>9</v>
      </c>
      <c r="C8" s="122" t="s">
        <v>1851</v>
      </c>
      <c r="D8" s="235" t="s">
        <v>1852</v>
      </c>
      <c r="E8" s="256" t="s">
        <v>1853</v>
      </c>
      <c r="F8" s="122" t="s">
        <v>917</v>
      </c>
      <c r="G8" s="122" t="s">
        <v>918</v>
      </c>
      <c r="H8" s="122">
        <v>13.6804223</v>
      </c>
      <c r="I8" s="122">
        <v>100.54768679999999</v>
      </c>
      <c r="J8" s="251" t="s">
        <v>5178</v>
      </c>
      <c r="K8" s="251" t="s">
        <v>5184</v>
      </c>
      <c r="L8" s="252">
        <v>45015</v>
      </c>
      <c r="M8" s="253" t="s">
        <v>5203</v>
      </c>
      <c r="N8" s="254"/>
    </row>
    <row r="9" spans="1:14">
      <c r="A9" s="250">
        <v>7</v>
      </c>
      <c r="B9" s="112" t="s">
        <v>1022</v>
      </c>
      <c r="C9" s="113" t="s">
        <v>2232</v>
      </c>
      <c r="D9" s="235" t="s">
        <v>2233</v>
      </c>
      <c r="E9" s="236" t="s">
        <v>2234</v>
      </c>
      <c r="F9" s="113" t="s">
        <v>2220</v>
      </c>
      <c r="G9" s="113" t="s">
        <v>968</v>
      </c>
      <c r="H9" s="113">
        <v>13.765701399999999</v>
      </c>
      <c r="I9" s="113">
        <v>100.5570158</v>
      </c>
      <c r="J9" s="251" t="s">
        <v>5178</v>
      </c>
      <c r="K9" s="251" t="s">
        <v>5117</v>
      </c>
      <c r="L9" s="252">
        <v>45036</v>
      </c>
      <c r="M9" s="253" t="s">
        <v>5148</v>
      </c>
      <c r="N9" s="257" t="s">
        <v>5149</v>
      </c>
    </row>
    <row r="10" spans="1:14">
      <c r="A10" s="250">
        <v>8</v>
      </c>
      <c r="B10" s="112">
        <v>13</v>
      </c>
      <c r="C10" s="113" t="s">
        <v>2340</v>
      </c>
      <c r="D10" s="235" t="s">
        <v>2341</v>
      </c>
      <c r="E10" s="236" t="s">
        <v>2342</v>
      </c>
      <c r="F10" s="113" t="s">
        <v>951</v>
      </c>
      <c r="G10" s="113" t="s">
        <v>936</v>
      </c>
      <c r="H10" s="122">
        <v>13.799825</v>
      </c>
      <c r="I10" s="122">
        <v>100.574541</v>
      </c>
      <c r="J10" s="251" t="s">
        <v>5178</v>
      </c>
      <c r="K10" s="251" t="s">
        <v>5094</v>
      </c>
      <c r="L10" s="252">
        <v>45046</v>
      </c>
      <c r="M10" s="253" t="s">
        <v>5148</v>
      </c>
      <c r="N10" s="257" t="s">
        <v>5149</v>
      </c>
    </row>
    <row r="11" spans="1:14">
      <c r="A11" s="250">
        <v>9</v>
      </c>
      <c r="B11" s="112" t="s">
        <v>1022</v>
      </c>
      <c r="C11" s="122" t="s">
        <v>2412</v>
      </c>
      <c r="D11" s="235" t="s">
        <v>2413</v>
      </c>
      <c r="E11" s="258" t="s">
        <v>2414</v>
      </c>
      <c r="F11" s="168" t="s">
        <v>994</v>
      </c>
      <c r="G11" s="259" t="s">
        <v>1094</v>
      </c>
      <c r="H11" s="150" t="s">
        <v>2415</v>
      </c>
      <c r="I11" s="150">
        <v>100.5768558</v>
      </c>
      <c r="J11" s="251" t="s">
        <v>5178</v>
      </c>
      <c r="K11" s="251" t="s">
        <v>5185</v>
      </c>
      <c r="L11" s="252">
        <v>45046</v>
      </c>
      <c r="M11" s="253" t="s">
        <v>5186</v>
      </c>
      <c r="N11" s="257"/>
    </row>
    <row r="12" spans="1:14">
      <c r="A12" s="250">
        <v>10</v>
      </c>
      <c r="B12" s="112" t="s">
        <v>1114</v>
      </c>
      <c r="C12" s="113" t="s">
        <v>2651</v>
      </c>
      <c r="D12" s="235" t="s">
        <v>2652</v>
      </c>
      <c r="E12" s="236" t="s">
        <v>2653</v>
      </c>
      <c r="F12" s="113" t="s">
        <v>899</v>
      </c>
      <c r="G12" s="113" t="s">
        <v>936</v>
      </c>
      <c r="H12" s="113">
        <v>13.7525134</v>
      </c>
      <c r="I12" s="113">
        <v>100.593806</v>
      </c>
      <c r="J12" s="255" t="s">
        <v>5178</v>
      </c>
      <c r="K12" s="251" t="s">
        <v>5205</v>
      </c>
      <c r="L12" s="252">
        <v>45010</v>
      </c>
      <c r="M12" s="253" t="s">
        <v>5208</v>
      </c>
      <c r="N12" s="254"/>
    </row>
    <row r="13" spans="1:14">
      <c r="A13" s="250">
        <v>11</v>
      </c>
      <c r="B13" s="112">
        <v>4</v>
      </c>
      <c r="C13" s="122" t="s">
        <v>2675</v>
      </c>
      <c r="D13" s="235" t="s">
        <v>2676</v>
      </c>
      <c r="E13" s="256" t="s">
        <v>2677</v>
      </c>
      <c r="F13" s="122" t="s">
        <v>900</v>
      </c>
      <c r="G13" s="122" t="s">
        <v>1094</v>
      </c>
      <c r="H13" s="122">
        <v>13.804243100000001</v>
      </c>
      <c r="I13" s="122">
        <v>100.5770768</v>
      </c>
      <c r="J13" s="255" t="s">
        <v>5178</v>
      </c>
      <c r="K13" s="251" t="s">
        <v>5117</v>
      </c>
      <c r="L13" s="252">
        <v>45015</v>
      </c>
      <c r="M13" s="253" t="s">
        <v>5187</v>
      </c>
      <c r="N13" s="257" t="s">
        <v>5149</v>
      </c>
    </row>
    <row r="14" spans="1:14">
      <c r="A14" s="250">
        <v>12</v>
      </c>
      <c r="B14" s="112">
        <v>2</v>
      </c>
      <c r="C14" s="122" t="s">
        <v>2686</v>
      </c>
      <c r="D14" s="235" t="s">
        <v>2687</v>
      </c>
      <c r="E14" s="256" t="s">
        <v>2688</v>
      </c>
      <c r="F14" s="113" t="s">
        <v>1963</v>
      </c>
      <c r="G14" s="122" t="s">
        <v>990</v>
      </c>
      <c r="H14" s="122">
        <v>13.738249</v>
      </c>
      <c r="I14" s="122">
        <v>100.53480279999999</v>
      </c>
      <c r="J14" s="251" t="s">
        <v>5178</v>
      </c>
      <c r="K14" s="251" t="s">
        <v>5117</v>
      </c>
      <c r="L14" s="252">
        <v>45046</v>
      </c>
      <c r="M14" s="253" t="s">
        <v>5188</v>
      </c>
      <c r="N14" s="257" t="s">
        <v>5149</v>
      </c>
    </row>
    <row r="15" spans="1:14">
      <c r="A15" s="250">
        <v>13</v>
      </c>
      <c r="B15" s="112" t="s">
        <v>1553</v>
      </c>
      <c r="C15" s="122" t="s">
        <v>2726</v>
      </c>
      <c r="D15" s="235" t="s">
        <v>2727</v>
      </c>
      <c r="E15" s="258" t="s">
        <v>2728</v>
      </c>
      <c r="F15" s="113" t="s">
        <v>899</v>
      </c>
      <c r="G15" s="259" t="s">
        <v>2729</v>
      </c>
      <c r="H15" s="150" t="s">
        <v>2730</v>
      </c>
      <c r="I15" s="150">
        <v>100.59511019999999</v>
      </c>
      <c r="J15" s="251" t="s">
        <v>5178</v>
      </c>
      <c r="K15" s="251" t="s">
        <v>5205</v>
      </c>
      <c r="L15" s="252">
        <v>45010</v>
      </c>
      <c r="M15" s="253" t="s">
        <v>5208</v>
      </c>
      <c r="N15" s="254" t="s">
        <v>5149</v>
      </c>
    </row>
    <row r="16" spans="1:14">
      <c r="A16" s="250">
        <v>14</v>
      </c>
      <c r="B16" s="112" t="s">
        <v>919</v>
      </c>
      <c r="C16" s="122" t="s">
        <v>2834</v>
      </c>
      <c r="D16" s="235" t="s">
        <v>2835</v>
      </c>
      <c r="E16" s="256" t="s">
        <v>2836</v>
      </c>
      <c r="F16" s="122" t="s">
        <v>1190</v>
      </c>
      <c r="G16" s="122" t="s">
        <v>957</v>
      </c>
      <c r="H16" s="122">
        <v>13.756192199999999</v>
      </c>
      <c r="I16" s="122">
        <v>100.5424945</v>
      </c>
      <c r="J16" s="251" t="s">
        <v>5178</v>
      </c>
      <c r="K16" s="251" t="s">
        <v>5184</v>
      </c>
      <c r="L16" s="252">
        <v>45015</v>
      </c>
      <c r="M16" s="253" t="s">
        <v>5152</v>
      </c>
      <c r="N16" s="254"/>
    </row>
    <row r="17" spans="1:14">
      <c r="A17" s="250">
        <v>15</v>
      </c>
      <c r="B17" s="112">
        <v>1</v>
      </c>
      <c r="C17" s="113" t="s">
        <v>2896</v>
      </c>
      <c r="D17" s="235" t="s">
        <v>2897</v>
      </c>
      <c r="E17" s="236" t="s">
        <v>2898</v>
      </c>
      <c r="F17" s="113" t="s">
        <v>1132</v>
      </c>
      <c r="G17" s="113" t="s">
        <v>901</v>
      </c>
      <c r="H17" s="122">
        <v>13.755247000000001</v>
      </c>
      <c r="I17" s="122">
        <v>100.64587400000001</v>
      </c>
      <c r="J17" s="251" t="s">
        <v>5178</v>
      </c>
      <c r="K17" s="251" t="s">
        <v>5181</v>
      </c>
      <c r="L17" s="252">
        <v>45015</v>
      </c>
      <c r="M17" s="253" t="s">
        <v>5147</v>
      </c>
      <c r="N17" s="254"/>
    </row>
    <row r="18" spans="1:14">
      <c r="A18" s="250">
        <v>16</v>
      </c>
      <c r="B18" s="112" t="s">
        <v>985</v>
      </c>
      <c r="C18" s="113" t="s">
        <v>2907</v>
      </c>
      <c r="D18" s="235" t="s">
        <v>2908</v>
      </c>
      <c r="E18" s="236" t="s">
        <v>2909</v>
      </c>
      <c r="F18" s="113" t="s">
        <v>1132</v>
      </c>
      <c r="G18" s="113" t="s">
        <v>1133</v>
      </c>
      <c r="H18" s="122">
        <v>13.694486299999999</v>
      </c>
      <c r="I18" s="122">
        <v>100.6474865</v>
      </c>
      <c r="J18" s="255" t="s">
        <v>5178</v>
      </c>
      <c r="K18" s="251" t="s">
        <v>5189</v>
      </c>
      <c r="L18" s="252">
        <v>45015</v>
      </c>
      <c r="M18" s="253" t="s">
        <v>5190</v>
      </c>
      <c r="N18" s="254"/>
    </row>
    <row r="19" spans="1:14">
      <c r="A19" s="250">
        <v>17</v>
      </c>
      <c r="B19" s="112" t="s">
        <v>1459</v>
      </c>
      <c r="C19" s="113" t="s">
        <v>2928</v>
      </c>
      <c r="D19" s="235" t="s">
        <v>2929</v>
      </c>
      <c r="E19" s="236" t="s">
        <v>2930</v>
      </c>
      <c r="F19" s="113" t="s">
        <v>2788</v>
      </c>
      <c r="G19" s="113" t="s">
        <v>1580</v>
      </c>
      <c r="H19" s="122">
        <v>13.747095</v>
      </c>
      <c r="I19" s="122">
        <v>100.516419</v>
      </c>
      <c r="J19" s="251" t="s">
        <v>5178</v>
      </c>
      <c r="K19" s="251" t="s">
        <v>5191</v>
      </c>
      <c r="L19" s="252">
        <v>45006</v>
      </c>
      <c r="M19" s="253" t="s">
        <v>5190</v>
      </c>
      <c r="N19" s="257" t="s">
        <v>5149</v>
      </c>
    </row>
    <row r="20" spans="1:14">
      <c r="A20" s="250">
        <v>18</v>
      </c>
      <c r="B20" s="112">
        <v>4</v>
      </c>
      <c r="C20" s="113" t="s">
        <v>2973</v>
      </c>
      <c r="D20" s="235" t="s">
        <v>2974</v>
      </c>
      <c r="E20" s="236" t="s">
        <v>2975</v>
      </c>
      <c r="F20" s="113" t="s">
        <v>1480</v>
      </c>
      <c r="G20" s="113" t="s">
        <v>1451</v>
      </c>
      <c r="H20" s="122">
        <v>13.7164822</v>
      </c>
      <c r="I20" s="122">
        <v>100.53273590000001</v>
      </c>
      <c r="J20" s="255" t="s">
        <v>5178</v>
      </c>
      <c r="K20" s="251" t="s">
        <v>5184</v>
      </c>
      <c r="L20" s="252">
        <v>45008</v>
      </c>
      <c r="M20" s="253" t="s">
        <v>5152</v>
      </c>
      <c r="N20" s="254"/>
    </row>
    <row r="21" spans="1:14">
      <c r="A21" s="250">
        <v>19</v>
      </c>
      <c r="B21" s="128" t="s">
        <v>1155</v>
      </c>
      <c r="C21" s="113" t="s">
        <v>2976</v>
      </c>
      <c r="D21" s="235" t="s">
        <v>2977</v>
      </c>
      <c r="E21" s="236" t="s">
        <v>2978</v>
      </c>
      <c r="F21" s="113" t="s">
        <v>899</v>
      </c>
      <c r="G21" s="113" t="s">
        <v>936</v>
      </c>
      <c r="H21" s="113">
        <v>13.752114300000001</v>
      </c>
      <c r="I21" s="113">
        <v>100.5936708</v>
      </c>
      <c r="J21" s="255" t="s">
        <v>5178</v>
      </c>
      <c r="K21" s="251" t="s">
        <v>5205</v>
      </c>
      <c r="L21" s="252">
        <v>45010</v>
      </c>
      <c r="M21" s="253" t="s">
        <v>5208</v>
      </c>
      <c r="N21" s="254"/>
    </row>
    <row r="22" spans="1:14">
      <c r="A22" s="250">
        <v>20</v>
      </c>
      <c r="B22" s="112" t="s">
        <v>1082</v>
      </c>
      <c r="C22" s="113" t="s">
        <v>2992</v>
      </c>
      <c r="D22" s="235" t="s">
        <v>2993</v>
      </c>
      <c r="E22" s="236" t="s">
        <v>2994</v>
      </c>
      <c r="F22" s="113" t="s">
        <v>2788</v>
      </c>
      <c r="G22" s="113" t="s">
        <v>1580</v>
      </c>
      <c r="H22" s="122">
        <v>13.758305699999999</v>
      </c>
      <c r="I22" s="122">
        <v>100.5145722</v>
      </c>
      <c r="J22" s="251" t="s">
        <v>5178</v>
      </c>
      <c r="K22" s="251" t="s">
        <v>5192</v>
      </c>
      <c r="L22" s="252">
        <v>45015</v>
      </c>
      <c r="M22" s="253" t="s">
        <v>5193</v>
      </c>
      <c r="N22" s="257" t="s">
        <v>5149</v>
      </c>
    </row>
    <row r="23" spans="1:14">
      <c r="A23" s="250">
        <v>21</v>
      </c>
      <c r="B23" s="112" t="s">
        <v>985</v>
      </c>
      <c r="C23" s="122" t="s">
        <v>3091</v>
      </c>
      <c r="D23" s="235" t="s">
        <v>3092</v>
      </c>
      <c r="E23" s="260" t="s">
        <v>5209</v>
      </c>
      <c r="F23" s="150" t="s">
        <v>2788</v>
      </c>
      <c r="G23" s="259" t="s">
        <v>1580</v>
      </c>
      <c r="H23" s="150" t="s">
        <v>3094</v>
      </c>
      <c r="I23" s="150">
        <v>100.51330799999999</v>
      </c>
      <c r="J23" s="251" t="s">
        <v>5178</v>
      </c>
      <c r="K23" s="251" t="s">
        <v>5192</v>
      </c>
      <c r="L23" s="252">
        <v>45015</v>
      </c>
      <c r="M23" s="253" t="s">
        <v>5193</v>
      </c>
      <c r="N23" s="257" t="s">
        <v>5149</v>
      </c>
    </row>
    <row r="24" spans="1:14">
      <c r="A24" s="250">
        <v>22</v>
      </c>
      <c r="B24" s="112">
        <v>5</v>
      </c>
      <c r="C24" s="113" t="s">
        <v>3347</v>
      </c>
      <c r="D24" s="235" t="s">
        <v>3348</v>
      </c>
      <c r="E24" s="236" t="s">
        <v>3349</v>
      </c>
      <c r="F24" s="113" t="s">
        <v>1458</v>
      </c>
      <c r="G24" s="113" t="s">
        <v>1435</v>
      </c>
      <c r="H24" s="122">
        <v>13.812936300000001</v>
      </c>
      <c r="I24" s="122">
        <v>100.5349609</v>
      </c>
      <c r="J24" s="255" t="s">
        <v>5178</v>
      </c>
      <c r="K24" s="251" t="s">
        <v>5184</v>
      </c>
      <c r="L24" s="252">
        <v>45008</v>
      </c>
      <c r="M24" s="253" t="s">
        <v>5152</v>
      </c>
      <c r="N24" s="254"/>
    </row>
    <row r="25" spans="1:14">
      <c r="A25" s="250">
        <v>23</v>
      </c>
      <c r="B25" s="112">
        <v>13</v>
      </c>
      <c r="C25" s="113" t="s">
        <v>3442</v>
      </c>
      <c r="D25" s="235" t="s">
        <v>3443</v>
      </c>
      <c r="E25" s="256" t="s">
        <v>3444</v>
      </c>
      <c r="F25" s="113" t="s">
        <v>951</v>
      </c>
      <c r="G25" s="113" t="s">
        <v>1435</v>
      </c>
      <c r="H25" s="122">
        <v>13.830894799999999</v>
      </c>
      <c r="I25" s="122">
        <v>100.53477530000001</v>
      </c>
      <c r="J25" s="251" t="s">
        <v>5178</v>
      </c>
      <c r="K25" s="251" t="s">
        <v>5184</v>
      </c>
      <c r="L25" s="252">
        <v>44650</v>
      </c>
      <c r="M25" s="253" t="s">
        <v>5147</v>
      </c>
      <c r="N25" s="254"/>
    </row>
    <row r="26" spans="1:14">
      <c r="A26" s="250">
        <v>24</v>
      </c>
      <c r="B26" s="112">
        <v>11</v>
      </c>
      <c r="C26" s="113" t="s">
        <v>3577</v>
      </c>
      <c r="D26" s="235" t="s">
        <v>3578</v>
      </c>
      <c r="E26" s="256" t="s">
        <v>3579</v>
      </c>
      <c r="F26" s="122" t="s">
        <v>3580</v>
      </c>
      <c r="G26" s="122" t="s">
        <v>901</v>
      </c>
      <c r="H26" s="122">
        <v>13.768568800000001</v>
      </c>
      <c r="I26" s="122">
        <v>100.65720690000001</v>
      </c>
      <c r="J26" s="251" t="s">
        <v>5178</v>
      </c>
      <c r="K26" s="251" t="s">
        <v>5150</v>
      </c>
      <c r="L26" s="252">
        <v>44650</v>
      </c>
      <c r="M26" s="253" t="s">
        <v>5194</v>
      </c>
      <c r="N26" s="254" t="s">
        <v>5149</v>
      </c>
    </row>
    <row r="27" spans="1:14">
      <c r="A27" s="250">
        <v>25</v>
      </c>
      <c r="B27" s="112">
        <v>4</v>
      </c>
      <c r="C27" s="122" t="s">
        <v>3641</v>
      </c>
      <c r="D27" s="235" t="s">
        <v>3642</v>
      </c>
      <c r="E27" s="256" t="s">
        <v>3643</v>
      </c>
      <c r="F27" s="122" t="s">
        <v>2788</v>
      </c>
      <c r="G27" s="122" t="s">
        <v>1580</v>
      </c>
      <c r="H27" s="122">
        <v>13.747906</v>
      </c>
      <c r="I27" s="122">
        <v>100.51655890000001</v>
      </c>
      <c r="J27" s="255" t="s">
        <v>5178</v>
      </c>
      <c r="K27" s="251" t="s">
        <v>5184</v>
      </c>
      <c r="L27" s="252">
        <v>45006</v>
      </c>
      <c r="M27" s="253" t="s">
        <v>5196</v>
      </c>
      <c r="N27" s="254"/>
    </row>
    <row r="28" spans="1:14">
      <c r="A28" s="250">
        <v>26</v>
      </c>
      <c r="B28" s="112" t="s">
        <v>1098</v>
      </c>
      <c r="C28" s="122" t="s">
        <v>3849</v>
      </c>
      <c r="D28" s="235" t="s">
        <v>3850</v>
      </c>
      <c r="E28" s="256" t="s">
        <v>3851</v>
      </c>
      <c r="F28" s="122" t="s">
        <v>1075</v>
      </c>
      <c r="G28" s="122" t="s">
        <v>990</v>
      </c>
      <c r="H28" s="122">
        <v>13.7442013</v>
      </c>
      <c r="I28" s="122">
        <v>100.54288</v>
      </c>
      <c r="J28" s="251" t="s">
        <v>5178</v>
      </c>
      <c r="K28" s="251" t="s">
        <v>5184</v>
      </c>
      <c r="L28" s="252">
        <v>45007</v>
      </c>
      <c r="M28" s="253" t="s">
        <v>5152</v>
      </c>
      <c r="N28" s="254"/>
    </row>
    <row r="29" spans="1:14">
      <c r="A29" s="250">
        <v>27</v>
      </c>
      <c r="B29" s="112" t="s">
        <v>1818</v>
      </c>
      <c r="C29" s="113" t="s">
        <v>3899</v>
      </c>
      <c r="D29" s="235" t="s">
        <v>3900</v>
      </c>
      <c r="E29" s="236" t="s">
        <v>3901</v>
      </c>
      <c r="F29" s="113" t="s">
        <v>899</v>
      </c>
      <c r="G29" s="113" t="s">
        <v>901</v>
      </c>
      <c r="H29" s="122">
        <v>13.7527638</v>
      </c>
      <c r="I29" s="122">
        <v>100.59386069999999</v>
      </c>
      <c r="J29" s="255" t="s">
        <v>5178</v>
      </c>
      <c r="K29" s="251" t="s">
        <v>5205</v>
      </c>
      <c r="L29" s="252">
        <v>45010</v>
      </c>
      <c r="M29" s="253" t="s">
        <v>5208</v>
      </c>
      <c r="N29" s="254"/>
    </row>
    <row r="30" spans="1:14">
      <c r="A30" s="250">
        <v>28</v>
      </c>
      <c r="B30" s="112">
        <v>16</v>
      </c>
      <c r="C30" s="122" t="s">
        <v>3979</v>
      </c>
      <c r="D30" s="235" t="s">
        <v>3980</v>
      </c>
      <c r="E30" s="236" t="s">
        <v>3981</v>
      </c>
      <c r="F30" s="113" t="s">
        <v>1480</v>
      </c>
      <c r="G30" s="113" t="s">
        <v>918</v>
      </c>
      <c r="H30" s="113">
        <v>13.699220199999999</v>
      </c>
      <c r="I30" s="113">
        <v>100.5427775</v>
      </c>
      <c r="J30" s="255" t="s">
        <v>5178</v>
      </c>
      <c r="K30" s="251" t="s">
        <v>5117</v>
      </c>
      <c r="L30" s="252">
        <v>45046</v>
      </c>
      <c r="M30" s="253" t="s">
        <v>5197</v>
      </c>
      <c r="N30" s="257" t="s">
        <v>5149</v>
      </c>
    </row>
    <row r="31" spans="1:14">
      <c r="A31" s="250">
        <v>29</v>
      </c>
      <c r="B31" s="112" t="s">
        <v>919</v>
      </c>
      <c r="C31" s="113" t="s">
        <v>3982</v>
      </c>
      <c r="D31" s="235" t="s">
        <v>3983</v>
      </c>
      <c r="E31" s="236" t="s">
        <v>3984</v>
      </c>
      <c r="F31" s="113" t="s">
        <v>913</v>
      </c>
      <c r="G31" s="113" t="s">
        <v>1030</v>
      </c>
      <c r="H31" s="122">
        <v>13.741405800000001</v>
      </c>
      <c r="I31" s="122">
        <v>100.6177347</v>
      </c>
      <c r="J31" s="255" t="s">
        <v>5178</v>
      </c>
      <c r="K31" s="251" t="s">
        <v>5184</v>
      </c>
      <c r="L31" s="252">
        <v>45008</v>
      </c>
      <c r="M31" s="253" t="s">
        <v>5198</v>
      </c>
      <c r="N31" s="254"/>
    </row>
    <row r="32" spans="1:14">
      <c r="A32" s="250">
        <v>30</v>
      </c>
      <c r="B32" s="112">
        <v>10</v>
      </c>
      <c r="C32" s="113" t="s">
        <v>4134</v>
      </c>
      <c r="D32" s="235" t="s">
        <v>4135</v>
      </c>
      <c r="E32" s="236" t="s">
        <v>4136</v>
      </c>
      <c r="F32" s="113" t="s">
        <v>4070</v>
      </c>
      <c r="G32" s="113" t="s">
        <v>4070</v>
      </c>
      <c r="H32" s="122">
        <v>13.6854988</v>
      </c>
      <c r="I32" s="122">
        <v>100.49406380000001</v>
      </c>
      <c r="J32" s="251" t="s">
        <v>5178</v>
      </c>
      <c r="K32" s="251" t="s">
        <v>5184</v>
      </c>
      <c r="L32" s="252">
        <v>45007</v>
      </c>
      <c r="M32" s="253" t="s">
        <v>5182</v>
      </c>
      <c r="N32" s="257"/>
    </row>
    <row r="33" spans="1:14">
      <c r="A33" s="250">
        <v>31</v>
      </c>
      <c r="B33" s="112">
        <v>5</v>
      </c>
      <c r="C33" s="113" t="s">
        <v>4165</v>
      </c>
      <c r="D33" s="235" t="s">
        <v>4166</v>
      </c>
      <c r="E33" s="236" t="s">
        <v>4167</v>
      </c>
      <c r="F33" s="113" t="s">
        <v>1480</v>
      </c>
      <c r="G33" s="113" t="s">
        <v>1451</v>
      </c>
      <c r="H33" s="150">
        <v>13.7161147</v>
      </c>
      <c r="I33" s="150">
        <v>100.5333861</v>
      </c>
      <c r="J33" s="251" t="s">
        <v>5178</v>
      </c>
      <c r="K33" s="251" t="s">
        <v>5184</v>
      </c>
      <c r="L33" s="252">
        <v>45015</v>
      </c>
      <c r="M33" s="253" t="s">
        <v>5151</v>
      </c>
      <c r="N33" s="254"/>
    </row>
    <row r="34" spans="1:14">
      <c r="A34" s="250">
        <v>32</v>
      </c>
      <c r="B34" s="112">
        <v>10</v>
      </c>
      <c r="C34" s="122" t="s">
        <v>4395</v>
      </c>
      <c r="D34" s="235" t="s">
        <v>4396</v>
      </c>
      <c r="E34" s="256" t="s">
        <v>4397</v>
      </c>
      <c r="F34" s="122" t="s">
        <v>1480</v>
      </c>
      <c r="G34" s="122" t="s">
        <v>1451</v>
      </c>
      <c r="H34" s="122">
        <v>13.716025999999999</v>
      </c>
      <c r="I34" s="122">
        <v>100.53340300000001</v>
      </c>
      <c r="J34" s="251" t="s">
        <v>5178</v>
      </c>
      <c r="K34" s="251" t="s">
        <v>5184</v>
      </c>
      <c r="L34" s="252">
        <v>45015</v>
      </c>
      <c r="M34" s="253" t="s">
        <v>5151</v>
      </c>
      <c r="N34" s="254"/>
    </row>
    <row r="35" spans="1:14">
      <c r="A35" s="250">
        <v>33</v>
      </c>
      <c r="B35" s="112">
        <v>12</v>
      </c>
      <c r="C35" s="113" t="s">
        <v>4414</v>
      </c>
      <c r="D35" s="235" t="s">
        <v>4415</v>
      </c>
      <c r="E35" s="236" t="s">
        <v>4416</v>
      </c>
      <c r="F35" s="113" t="s">
        <v>1480</v>
      </c>
      <c r="G35" s="113" t="s">
        <v>1451</v>
      </c>
      <c r="H35" s="122">
        <v>13.7134933</v>
      </c>
      <c r="I35" s="122">
        <v>100.53469560000001</v>
      </c>
      <c r="J35" s="255" t="s">
        <v>5178</v>
      </c>
      <c r="K35" s="251" t="s">
        <v>5184</v>
      </c>
      <c r="L35" s="252">
        <v>45015</v>
      </c>
      <c r="M35" s="253" t="s">
        <v>5152</v>
      </c>
      <c r="N35" s="254"/>
    </row>
    <row r="36" spans="1:14">
      <c r="A36" s="250">
        <v>34</v>
      </c>
      <c r="B36" s="112">
        <v>2</v>
      </c>
      <c r="C36" s="113" t="s">
        <v>4462</v>
      </c>
      <c r="D36" s="235" t="s">
        <v>4463</v>
      </c>
      <c r="E36" s="236" t="s">
        <v>4464</v>
      </c>
      <c r="F36" s="113" t="s">
        <v>951</v>
      </c>
      <c r="G36" s="113" t="s">
        <v>1094</v>
      </c>
      <c r="H36" s="122">
        <v>13.803740100000001</v>
      </c>
      <c r="I36" s="122">
        <v>100.5750254</v>
      </c>
      <c r="J36" s="255" t="s">
        <v>5178</v>
      </c>
      <c r="K36" s="255" t="s">
        <v>5180</v>
      </c>
      <c r="L36" s="252">
        <v>45046</v>
      </c>
      <c r="M36" s="261" t="s">
        <v>5200</v>
      </c>
      <c r="N36" s="254"/>
    </row>
    <row r="37" spans="1:14">
      <c r="A37" s="250">
        <v>35</v>
      </c>
      <c r="B37" s="112">
        <v>8</v>
      </c>
      <c r="C37" s="113" t="s">
        <v>4849</v>
      </c>
      <c r="D37" s="235" t="s">
        <v>4850</v>
      </c>
      <c r="E37" s="236" t="s">
        <v>4851</v>
      </c>
      <c r="F37" s="113" t="s">
        <v>1159</v>
      </c>
      <c r="G37" s="113" t="s">
        <v>1018</v>
      </c>
      <c r="H37" s="122">
        <v>13.706518000000001</v>
      </c>
      <c r="I37" s="122">
        <v>100.600632</v>
      </c>
      <c r="J37" s="255" t="s">
        <v>5178</v>
      </c>
      <c r="K37" s="251" t="s">
        <v>5184</v>
      </c>
      <c r="L37" s="252">
        <v>45015</v>
      </c>
      <c r="M37" s="253" t="s">
        <v>5199</v>
      </c>
      <c r="N37" s="254"/>
    </row>
    <row r="38" spans="1:14">
      <c r="A38" s="250">
        <v>36</v>
      </c>
      <c r="B38" s="112" t="s">
        <v>979</v>
      </c>
      <c r="C38" s="113" t="s">
        <v>4852</v>
      </c>
      <c r="D38" s="235" t="s">
        <v>4853</v>
      </c>
      <c r="E38" s="236" t="s">
        <v>4854</v>
      </c>
      <c r="F38" s="113" t="s">
        <v>1159</v>
      </c>
      <c r="G38" s="113" t="s">
        <v>984</v>
      </c>
      <c r="H38" s="122">
        <v>13.707305</v>
      </c>
      <c r="I38" s="122">
        <v>100.600025</v>
      </c>
      <c r="J38" s="255" t="s">
        <v>5178</v>
      </c>
      <c r="K38" s="251" t="s">
        <v>5184</v>
      </c>
      <c r="L38" s="252">
        <v>45015</v>
      </c>
      <c r="M38" s="253" t="s">
        <v>5181</v>
      </c>
      <c r="N38" s="254"/>
    </row>
    <row r="39" spans="1:14">
      <c r="A39" s="250">
        <v>37</v>
      </c>
      <c r="B39" s="112">
        <v>10</v>
      </c>
      <c r="C39" s="113" t="s">
        <v>4892</v>
      </c>
      <c r="D39" s="235" t="s">
        <v>4893</v>
      </c>
      <c r="E39" s="236" t="s">
        <v>4894</v>
      </c>
      <c r="F39" s="113" t="s">
        <v>1064</v>
      </c>
      <c r="G39" s="113" t="s">
        <v>1018</v>
      </c>
      <c r="H39" s="122">
        <v>13.742200199999999</v>
      </c>
      <c r="I39" s="122">
        <v>100.56200699999999</v>
      </c>
      <c r="J39" s="255" t="s">
        <v>5178</v>
      </c>
      <c r="K39" s="251" t="s">
        <v>5184</v>
      </c>
      <c r="L39" s="252">
        <v>45010</v>
      </c>
      <c r="M39" s="253" t="s">
        <v>5201</v>
      </c>
      <c r="N39" s="257" t="s">
        <v>5149</v>
      </c>
    </row>
    <row r="40" spans="1:14">
      <c r="A40" s="250">
        <v>38</v>
      </c>
      <c r="B40" s="112">
        <v>16</v>
      </c>
      <c r="C40" s="113" t="s">
        <v>4935</v>
      </c>
      <c r="D40" s="235" t="s">
        <v>4936</v>
      </c>
      <c r="E40" s="236" t="s">
        <v>4937</v>
      </c>
      <c r="F40" s="113" t="s">
        <v>1064</v>
      </c>
      <c r="G40" s="113" t="s">
        <v>1018</v>
      </c>
      <c r="H40" s="122">
        <v>13.742074000000001</v>
      </c>
      <c r="I40" s="122">
        <v>100.56199700000001</v>
      </c>
      <c r="J40" s="255" t="s">
        <v>5178</v>
      </c>
      <c r="K40" s="251" t="s">
        <v>5184</v>
      </c>
      <c r="L40" s="252">
        <v>45010</v>
      </c>
      <c r="M40" s="253" t="s">
        <v>5202</v>
      </c>
      <c r="N40" s="254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11F44-1389-4D79-8404-79E24892CE50}">
  <dimension ref="A1:I4"/>
  <sheetViews>
    <sheetView workbookViewId="0">
      <selection activeCell="D14" sqref="D14"/>
    </sheetView>
  </sheetViews>
  <sheetFormatPr defaultRowHeight="14"/>
  <cols>
    <col min="2" max="2" width="15.75" customWidth="1"/>
    <col min="3" max="3" width="21.33203125" customWidth="1"/>
    <col min="4" max="4" width="22.08203125" customWidth="1"/>
    <col min="5" max="5" width="40.83203125" customWidth="1"/>
    <col min="6" max="7" width="10.25" customWidth="1"/>
    <col min="8" max="9" width="13.08203125" customWidth="1"/>
  </cols>
  <sheetData>
    <row r="1" spans="1:9">
      <c r="A1" s="308" t="s">
        <v>867</v>
      </c>
      <c r="B1" s="308" t="s">
        <v>868</v>
      </c>
      <c r="C1" s="309" t="s">
        <v>5087</v>
      </c>
      <c r="D1" s="309" t="s">
        <v>5088</v>
      </c>
      <c r="E1" s="308" t="s">
        <v>871</v>
      </c>
      <c r="F1" s="308" t="s">
        <v>872</v>
      </c>
      <c r="G1" s="310" t="s">
        <v>873</v>
      </c>
      <c r="H1" s="311" t="s">
        <v>874</v>
      </c>
      <c r="I1" s="311" t="s">
        <v>875</v>
      </c>
    </row>
    <row r="2" spans="1:9">
      <c r="A2" s="213">
        <v>1</v>
      </c>
      <c r="B2" s="150" t="s">
        <v>5090</v>
      </c>
      <c r="C2" s="214" t="s">
        <v>5108</v>
      </c>
      <c r="D2" s="150" t="s">
        <v>5109</v>
      </c>
      <c r="E2" s="214" t="s">
        <v>5110</v>
      </c>
      <c r="F2" s="214" t="s">
        <v>5107</v>
      </c>
      <c r="G2" s="214" t="s">
        <v>5093</v>
      </c>
      <c r="H2" s="150">
        <v>13.856534099999999</v>
      </c>
      <c r="I2" s="150">
        <v>100.8259175</v>
      </c>
    </row>
    <row r="3" spans="1:9">
      <c r="A3" s="251">
        <v>2</v>
      </c>
      <c r="B3" s="150" t="s">
        <v>5092</v>
      </c>
      <c r="C3" s="150" t="s">
        <v>472</v>
      </c>
      <c r="D3" s="150" t="s">
        <v>5115</v>
      </c>
      <c r="E3" s="216" t="s">
        <v>5260</v>
      </c>
      <c r="F3" s="216" t="s">
        <v>917</v>
      </c>
      <c r="G3" s="216" t="s">
        <v>1421</v>
      </c>
      <c r="H3" s="217">
        <v>13.6897365</v>
      </c>
      <c r="I3" s="217">
        <v>100.5057809</v>
      </c>
    </row>
    <row r="4" spans="1:9">
      <c r="A4" s="251">
        <v>3</v>
      </c>
      <c r="B4" s="112" t="s">
        <v>1022</v>
      </c>
      <c r="C4" s="122" t="s">
        <v>2412</v>
      </c>
      <c r="D4" s="235" t="s">
        <v>2413</v>
      </c>
      <c r="E4" s="258" t="s">
        <v>2414</v>
      </c>
      <c r="F4" s="168" t="s">
        <v>994</v>
      </c>
      <c r="G4" s="259" t="s">
        <v>1094</v>
      </c>
      <c r="H4" s="150" t="s">
        <v>2415</v>
      </c>
      <c r="I4" s="150">
        <v>100.5768558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4596-D38E-42AF-8A9B-405BD57180CF}">
  <dimension ref="A1:T58"/>
  <sheetViews>
    <sheetView zoomScale="69" zoomScaleNormal="69" workbookViewId="0">
      <selection activeCell="B55" sqref="B55:K58"/>
    </sheetView>
  </sheetViews>
  <sheetFormatPr defaultRowHeight="14"/>
  <cols>
    <col min="1" max="1" width="7.75" customWidth="1"/>
    <col min="2" max="2" width="14.75" customWidth="1"/>
    <col min="3" max="3" width="12.58203125" customWidth="1"/>
    <col min="4" max="4" width="16.83203125" customWidth="1"/>
    <col min="5" max="5" width="52.58203125" customWidth="1"/>
    <col min="6" max="6" width="11.83203125" customWidth="1"/>
    <col min="8" max="9" width="11.08203125" customWidth="1"/>
    <col min="10" max="10" width="12.75" customWidth="1"/>
    <col min="11" max="11" width="18" customWidth="1"/>
    <col min="12" max="12" width="12.58203125" customWidth="1"/>
    <col min="13" max="13" width="18.25" customWidth="1"/>
    <col min="14" max="14" width="14.58203125" style="245" hidden="1" customWidth="1"/>
    <col min="15" max="15" width="11.58203125" customWidth="1"/>
    <col min="16" max="16" width="14.33203125" customWidth="1"/>
    <col min="17" max="17" width="14.08203125" customWidth="1"/>
    <col min="18" max="18" width="18.25" customWidth="1"/>
    <col min="19" max="19" width="12.58203125" customWidth="1"/>
    <col min="20" max="20" width="40" customWidth="1"/>
  </cols>
  <sheetData>
    <row r="1" spans="1:20" s="264" customFormat="1" ht="13">
      <c r="A1" s="262" t="s">
        <v>867</v>
      </c>
      <c r="B1" s="263" t="s">
        <v>868</v>
      </c>
      <c r="C1" s="397" t="s">
        <v>869</v>
      </c>
      <c r="D1" s="403" t="s">
        <v>870</v>
      </c>
      <c r="E1" s="404" t="s">
        <v>871</v>
      </c>
      <c r="F1" s="404" t="s">
        <v>872</v>
      </c>
      <c r="G1" s="405" t="s">
        <v>873</v>
      </c>
      <c r="H1" s="406" t="s">
        <v>874</v>
      </c>
      <c r="I1" s="406" t="s">
        <v>875</v>
      </c>
      <c r="J1" s="407" t="s">
        <v>5177</v>
      </c>
      <c r="K1" s="407" t="s">
        <v>5179</v>
      </c>
      <c r="L1" s="407" t="s">
        <v>5206</v>
      </c>
      <c r="M1" s="407" t="s">
        <v>5142</v>
      </c>
      <c r="N1" s="407" t="s">
        <v>5332</v>
      </c>
      <c r="O1" s="407" t="s">
        <v>5216</v>
      </c>
      <c r="P1" s="407" t="s">
        <v>5214</v>
      </c>
      <c r="Q1" s="407" t="s">
        <v>5218</v>
      </c>
      <c r="R1" s="407" t="s">
        <v>5215</v>
      </c>
      <c r="S1" s="407" t="s">
        <v>5146</v>
      </c>
      <c r="T1" s="408" t="s">
        <v>5276</v>
      </c>
    </row>
    <row r="2" spans="1:20" hidden="1">
      <c r="A2" s="235">
        <v>1</v>
      </c>
      <c r="B2" s="112" t="s">
        <v>979</v>
      </c>
      <c r="C2" s="398" t="s">
        <v>980</v>
      </c>
      <c r="D2" s="409" t="s">
        <v>981</v>
      </c>
      <c r="E2" s="236" t="s">
        <v>982</v>
      </c>
      <c r="F2" s="113" t="s">
        <v>968</v>
      </c>
      <c r="G2" s="113" t="s">
        <v>983</v>
      </c>
      <c r="H2" s="122">
        <v>13.763033399999999</v>
      </c>
      <c r="I2" s="122">
        <v>100.54375</v>
      </c>
      <c r="J2" s="265" t="s">
        <v>5178</v>
      </c>
      <c r="K2" s="265" t="s">
        <v>5205</v>
      </c>
      <c r="L2" s="266">
        <v>45006</v>
      </c>
      <c r="M2" s="266">
        <v>45010</v>
      </c>
      <c r="N2" s="266">
        <v>45006</v>
      </c>
      <c r="O2" s="265" t="s">
        <v>5217</v>
      </c>
      <c r="P2" s="266" t="s">
        <v>902</v>
      </c>
      <c r="Q2" s="265">
        <v>40</v>
      </c>
      <c r="R2" s="267">
        <f>960*Q2</f>
        <v>38400</v>
      </c>
      <c r="S2" s="265" t="s">
        <v>5149</v>
      </c>
      <c r="T2" s="410"/>
    </row>
    <row r="3" spans="1:20" hidden="1">
      <c r="A3" s="235">
        <v>2</v>
      </c>
      <c r="B3" s="112">
        <v>2</v>
      </c>
      <c r="C3" s="399" t="s">
        <v>1247</v>
      </c>
      <c r="D3" s="409" t="s">
        <v>1248</v>
      </c>
      <c r="E3" s="236" t="s">
        <v>1249</v>
      </c>
      <c r="F3" s="113" t="s">
        <v>913</v>
      </c>
      <c r="G3" s="113" t="s">
        <v>936</v>
      </c>
      <c r="H3" s="122">
        <v>13.755444000000001</v>
      </c>
      <c r="I3" s="122">
        <v>100.572276</v>
      </c>
      <c r="J3" s="265" t="s">
        <v>5178</v>
      </c>
      <c r="K3" s="265" t="s">
        <v>5205</v>
      </c>
      <c r="L3" s="266">
        <v>45007</v>
      </c>
      <c r="M3" s="266">
        <v>45011</v>
      </c>
      <c r="N3" s="266">
        <v>45007</v>
      </c>
      <c r="O3" s="265" t="s">
        <v>5217</v>
      </c>
      <c r="P3" s="266" t="s">
        <v>902</v>
      </c>
      <c r="Q3" s="265">
        <v>25</v>
      </c>
      <c r="R3" s="267">
        <f t="shared" ref="R3:R8" si="0">960*Q3</f>
        <v>24000</v>
      </c>
      <c r="S3" s="265" t="s">
        <v>5149</v>
      </c>
      <c r="T3" s="410"/>
    </row>
    <row r="4" spans="1:20" hidden="1">
      <c r="A4" s="235">
        <v>3</v>
      </c>
      <c r="B4" s="112">
        <v>14</v>
      </c>
      <c r="C4" s="399" t="s">
        <v>1563</v>
      </c>
      <c r="D4" s="409" t="s">
        <v>1564</v>
      </c>
      <c r="E4" s="236" t="s">
        <v>1565</v>
      </c>
      <c r="F4" s="113" t="s">
        <v>899</v>
      </c>
      <c r="G4" s="113" t="s">
        <v>929</v>
      </c>
      <c r="H4" s="122">
        <v>13.765345</v>
      </c>
      <c r="I4" s="122">
        <v>100.60044000000001</v>
      </c>
      <c r="J4" s="265" t="s">
        <v>5178</v>
      </c>
      <c r="K4" s="265" t="s">
        <v>5205</v>
      </c>
      <c r="L4" s="266">
        <v>45007</v>
      </c>
      <c r="M4" s="266">
        <v>45011</v>
      </c>
      <c r="N4" s="266">
        <v>45007</v>
      </c>
      <c r="O4" s="265" t="s">
        <v>5217</v>
      </c>
      <c r="P4" s="266" t="s">
        <v>902</v>
      </c>
      <c r="Q4" s="265">
        <v>36</v>
      </c>
      <c r="R4" s="267">
        <f t="shared" si="0"/>
        <v>34560</v>
      </c>
      <c r="S4" s="265" t="s">
        <v>5149</v>
      </c>
      <c r="T4" s="410"/>
    </row>
    <row r="5" spans="1:20" hidden="1">
      <c r="A5" s="235">
        <v>4</v>
      </c>
      <c r="B5" s="112" t="s">
        <v>1114</v>
      </c>
      <c r="C5" s="398" t="s">
        <v>2007</v>
      </c>
      <c r="D5" s="409" t="s">
        <v>2008</v>
      </c>
      <c r="E5" s="256" t="s">
        <v>2009</v>
      </c>
      <c r="F5" s="122" t="s">
        <v>1011</v>
      </c>
      <c r="G5" s="122" t="s">
        <v>957</v>
      </c>
      <c r="H5" s="122">
        <v>13.749604</v>
      </c>
      <c r="I5" s="122">
        <v>100.55712509999999</v>
      </c>
      <c r="J5" s="265" t="s">
        <v>5178</v>
      </c>
      <c r="K5" s="265" t="s">
        <v>5205</v>
      </c>
      <c r="L5" s="266">
        <v>45007</v>
      </c>
      <c r="M5" s="266">
        <v>45011</v>
      </c>
      <c r="N5" s="266">
        <v>45007</v>
      </c>
      <c r="O5" s="265" t="s">
        <v>5217</v>
      </c>
      <c r="P5" s="266" t="s">
        <v>902</v>
      </c>
      <c r="Q5" s="265">
        <v>53</v>
      </c>
      <c r="R5" s="267">
        <f t="shared" si="0"/>
        <v>50880</v>
      </c>
      <c r="S5" s="265" t="s">
        <v>5149</v>
      </c>
      <c r="T5" s="410"/>
    </row>
    <row r="6" spans="1:20" hidden="1">
      <c r="A6" s="235">
        <v>5</v>
      </c>
      <c r="B6" s="112" t="s">
        <v>1553</v>
      </c>
      <c r="C6" s="398" t="s">
        <v>2726</v>
      </c>
      <c r="D6" s="409" t="s">
        <v>2727</v>
      </c>
      <c r="E6" s="152" t="s">
        <v>2728</v>
      </c>
      <c r="F6" s="113" t="s">
        <v>899</v>
      </c>
      <c r="G6" s="150" t="s">
        <v>2729</v>
      </c>
      <c r="H6" s="150" t="s">
        <v>2730</v>
      </c>
      <c r="I6" s="150">
        <v>100.59511019999999</v>
      </c>
      <c r="J6" s="265" t="s">
        <v>5178</v>
      </c>
      <c r="K6" s="215" t="s">
        <v>5205</v>
      </c>
      <c r="L6" s="266">
        <v>45006</v>
      </c>
      <c r="M6" s="266">
        <v>45010</v>
      </c>
      <c r="N6" s="266">
        <v>45006</v>
      </c>
      <c r="O6" s="265" t="s">
        <v>5217</v>
      </c>
      <c r="P6" s="266" t="s">
        <v>902</v>
      </c>
      <c r="Q6" s="265">
        <v>40</v>
      </c>
      <c r="R6" s="267">
        <f t="shared" si="0"/>
        <v>38400</v>
      </c>
      <c r="S6" s="265" t="s">
        <v>5149</v>
      </c>
      <c r="T6" s="410"/>
    </row>
    <row r="7" spans="1:20" hidden="1">
      <c r="A7" s="235">
        <v>6</v>
      </c>
      <c r="B7" s="112">
        <v>4</v>
      </c>
      <c r="C7" s="399" t="s">
        <v>4778</v>
      </c>
      <c r="D7" s="409" t="s">
        <v>4779</v>
      </c>
      <c r="E7" s="236" t="s">
        <v>4780</v>
      </c>
      <c r="F7" s="113" t="s">
        <v>956</v>
      </c>
      <c r="G7" s="113" t="s">
        <v>957</v>
      </c>
      <c r="H7" s="113">
        <v>13.749530500000001</v>
      </c>
      <c r="I7" s="113">
        <v>100.5577516</v>
      </c>
      <c r="J7" s="255" t="s">
        <v>5178</v>
      </c>
      <c r="K7" s="265" t="s">
        <v>5205</v>
      </c>
      <c r="L7" s="266">
        <v>45007</v>
      </c>
      <c r="M7" s="266">
        <v>45011</v>
      </c>
      <c r="N7" s="266">
        <v>45007</v>
      </c>
      <c r="O7" s="265" t="s">
        <v>5217</v>
      </c>
      <c r="P7" s="266" t="s">
        <v>902</v>
      </c>
      <c r="Q7" s="265">
        <v>90</v>
      </c>
      <c r="R7" s="267">
        <f t="shared" si="0"/>
        <v>86400</v>
      </c>
      <c r="S7" s="265" t="s">
        <v>5149</v>
      </c>
      <c r="T7" s="410"/>
    </row>
    <row r="8" spans="1:20" hidden="1">
      <c r="A8" s="235">
        <v>7</v>
      </c>
      <c r="B8" s="150" t="s">
        <v>5091</v>
      </c>
      <c r="C8" s="268" t="s">
        <v>364</v>
      </c>
      <c r="D8" s="411" t="s">
        <v>5103</v>
      </c>
      <c r="E8" s="216" t="s">
        <v>5104</v>
      </c>
      <c r="F8" s="216" t="s">
        <v>956</v>
      </c>
      <c r="G8" s="216" t="s">
        <v>957</v>
      </c>
      <c r="H8" s="153">
        <v>13.749622</v>
      </c>
      <c r="I8" s="150">
        <v>100.547067</v>
      </c>
      <c r="J8" s="222"/>
      <c r="K8" s="265" t="s">
        <v>5205</v>
      </c>
      <c r="L8" s="266">
        <v>45007</v>
      </c>
      <c r="M8" s="266">
        <v>45011</v>
      </c>
      <c r="N8" s="266">
        <v>45001</v>
      </c>
      <c r="O8" s="265" t="s">
        <v>5217</v>
      </c>
      <c r="P8" s="266" t="s">
        <v>902</v>
      </c>
      <c r="Q8" s="265">
        <v>26</v>
      </c>
      <c r="R8" s="267">
        <f t="shared" si="0"/>
        <v>24960</v>
      </c>
      <c r="S8" s="265" t="s">
        <v>5149</v>
      </c>
      <c r="T8" s="410"/>
    </row>
    <row r="9" spans="1:20" hidden="1">
      <c r="A9" s="235">
        <v>8</v>
      </c>
      <c r="B9" s="244" t="s">
        <v>5091</v>
      </c>
      <c r="C9" s="268" t="s">
        <v>5095</v>
      </c>
      <c r="D9" s="411" t="s">
        <v>5096</v>
      </c>
      <c r="E9" s="122" t="s">
        <v>5097</v>
      </c>
      <c r="F9" s="122" t="s">
        <v>968</v>
      </c>
      <c r="G9" s="122" t="s">
        <v>968</v>
      </c>
      <c r="H9" s="388"/>
      <c r="I9" s="388"/>
      <c r="J9" s="388"/>
      <c r="K9" s="265" t="s">
        <v>5205</v>
      </c>
      <c r="L9" s="388"/>
      <c r="M9" s="388"/>
      <c r="N9" s="266">
        <v>45006</v>
      </c>
      <c r="O9" s="265" t="s">
        <v>5217</v>
      </c>
      <c r="P9" s="266" t="s">
        <v>902</v>
      </c>
      <c r="Q9" s="265">
        <v>98</v>
      </c>
      <c r="R9" s="267">
        <f>960*Q9</f>
        <v>94080</v>
      </c>
      <c r="S9" s="265" t="s">
        <v>5149</v>
      </c>
      <c r="T9" s="410"/>
    </row>
    <row r="10" spans="1:20" hidden="1">
      <c r="A10" s="235">
        <v>9</v>
      </c>
      <c r="B10" s="233">
        <v>14</v>
      </c>
      <c r="C10" s="398" t="s">
        <v>3780</v>
      </c>
      <c r="D10" s="412" t="s">
        <v>3781</v>
      </c>
      <c r="E10" s="133" t="s">
        <v>3782</v>
      </c>
      <c r="F10" s="117" t="s">
        <v>968</v>
      </c>
      <c r="G10" s="148" t="s">
        <v>968</v>
      </c>
      <c r="H10" s="388"/>
      <c r="I10" s="388"/>
      <c r="J10" s="388"/>
      <c r="K10" s="265" t="s">
        <v>5205</v>
      </c>
      <c r="L10" s="388"/>
      <c r="M10" s="388"/>
      <c r="N10" s="413">
        <v>45007</v>
      </c>
      <c r="O10" s="265" t="s">
        <v>5217</v>
      </c>
      <c r="P10" s="266" t="s">
        <v>902</v>
      </c>
      <c r="Q10" s="265">
        <v>85</v>
      </c>
      <c r="R10" s="267">
        <f>960*Q10</f>
        <v>81600</v>
      </c>
      <c r="S10" s="265" t="s">
        <v>5149</v>
      </c>
      <c r="T10" s="410"/>
    </row>
    <row r="11" spans="1:20" hidden="1">
      <c r="A11" s="235">
        <v>10</v>
      </c>
      <c r="B11" s="112" t="s">
        <v>1114</v>
      </c>
      <c r="C11" s="400" t="s">
        <v>2651</v>
      </c>
      <c r="D11" s="414" t="s">
        <v>2652</v>
      </c>
      <c r="E11" s="278" t="s">
        <v>5221</v>
      </c>
      <c r="F11" s="277" t="s">
        <v>899</v>
      </c>
      <c r="G11" s="277" t="s">
        <v>936</v>
      </c>
      <c r="H11" s="277">
        <v>13.7525134</v>
      </c>
      <c r="I11" s="277">
        <v>100.593806</v>
      </c>
      <c r="J11" s="279" t="s">
        <v>5212</v>
      </c>
      <c r="K11" s="280" t="s">
        <v>5220</v>
      </c>
      <c r="L11" s="281"/>
      <c r="M11" s="281"/>
      <c r="N11" s="284">
        <v>45006</v>
      </c>
      <c r="O11" s="282" t="s">
        <v>5217</v>
      </c>
      <c r="P11" s="276" t="s">
        <v>5219</v>
      </c>
      <c r="Q11" s="280">
        <v>82</v>
      </c>
      <c r="R11" s="281">
        <v>0</v>
      </c>
      <c r="S11" s="281" t="s">
        <v>5223</v>
      </c>
      <c r="T11" s="410"/>
    </row>
    <row r="12" spans="1:20" hidden="1">
      <c r="A12" s="235">
        <v>11</v>
      </c>
      <c r="B12" s="128" t="s">
        <v>1155</v>
      </c>
      <c r="C12" s="400" t="s">
        <v>2976</v>
      </c>
      <c r="D12" s="414" t="s">
        <v>2977</v>
      </c>
      <c r="E12" s="278" t="s">
        <v>2978</v>
      </c>
      <c r="F12" s="277" t="s">
        <v>899</v>
      </c>
      <c r="G12" s="277" t="s">
        <v>936</v>
      </c>
      <c r="H12" s="277">
        <v>13.752114300000001</v>
      </c>
      <c r="I12" s="277">
        <v>100.5936708</v>
      </c>
      <c r="J12" s="279" t="s">
        <v>5212</v>
      </c>
      <c r="K12" s="280" t="s">
        <v>5220</v>
      </c>
      <c r="L12" s="281"/>
      <c r="M12" s="281"/>
      <c r="N12" s="284">
        <v>45007</v>
      </c>
      <c r="O12" s="282" t="s">
        <v>5217</v>
      </c>
      <c r="P12" s="276" t="s">
        <v>5219</v>
      </c>
      <c r="Q12" s="280">
        <v>70</v>
      </c>
      <c r="R12" s="281">
        <v>0</v>
      </c>
      <c r="S12" s="281" t="s">
        <v>5222</v>
      </c>
      <c r="T12" s="410"/>
    </row>
    <row r="13" spans="1:20" hidden="1">
      <c r="A13" s="235">
        <v>12</v>
      </c>
      <c r="B13" s="112" t="s">
        <v>1818</v>
      </c>
      <c r="C13" s="400" t="s">
        <v>3899</v>
      </c>
      <c r="D13" s="414" t="s">
        <v>3900</v>
      </c>
      <c r="E13" s="278" t="s">
        <v>2653</v>
      </c>
      <c r="F13" s="277" t="s">
        <v>899</v>
      </c>
      <c r="G13" s="277" t="s">
        <v>901</v>
      </c>
      <c r="H13" s="283">
        <v>13.7527638</v>
      </c>
      <c r="I13" s="283">
        <v>100.59386069999999</v>
      </c>
      <c r="J13" s="279" t="s">
        <v>5212</v>
      </c>
      <c r="K13" s="280" t="s">
        <v>5220</v>
      </c>
      <c r="L13" s="281"/>
      <c r="M13" s="281"/>
      <c r="N13" s="284">
        <v>45008</v>
      </c>
      <c r="O13" s="282" t="s">
        <v>5217</v>
      </c>
      <c r="P13" s="276" t="s">
        <v>5219</v>
      </c>
      <c r="Q13" s="280">
        <v>60</v>
      </c>
      <c r="R13" s="281">
        <v>0</v>
      </c>
      <c r="S13" s="281" t="s">
        <v>5223</v>
      </c>
      <c r="T13" s="410"/>
    </row>
    <row r="14" spans="1:20" ht="23" hidden="1">
      <c r="A14" s="235">
        <v>13</v>
      </c>
      <c r="B14" s="245"/>
      <c r="C14" s="401" t="s">
        <v>4184</v>
      </c>
      <c r="D14" s="415" t="s">
        <v>4185</v>
      </c>
      <c r="E14" s="289" t="s">
        <v>4186</v>
      </c>
      <c r="F14" s="289" t="s">
        <v>913</v>
      </c>
      <c r="G14" s="289" t="s">
        <v>936</v>
      </c>
      <c r="H14" s="290"/>
      <c r="I14" s="290"/>
      <c r="J14" s="290"/>
      <c r="K14" s="291" t="s">
        <v>5205</v>
      </c>
      <c r="L14" s="290"/>
      <c r="M14" s="290"/>
      <c r="N14" s="292">
        <v>45014</v>
      </c>
      <c r="O14" s="291" t="s">
        <v>5217</v>
      </c>
      <c r="P14" s="293" t="s">
        <v>902</v>
      </c>
      <c r="Q14" s="291">
        <v>87</v>
      </c>
      <c r="R14" s="294">
        <f t="shared" ref="R14:R20" si="1">960*Q14</f>
        <v>83520</v>
      </c>
      <c r="S14" s="291" t="s">
        <v>5149</v>
      </c>
      <c r="T14" s="410"/>
    </row>
    <row r="15" spans="1:20" ht="23" hidden="1">
      <c r="A15" s="235">
        <v>14</v>
      </c>
      <c r="B15" s="222"/>
      <c r="C15" s="399" t="s">
        <v>923</v>
      </c>
      <c r="D15" s="416" t="s">
        <v>924</v>
      </c>
      <c r="E15" s="114" t="s">
        <v>925</v>
      </c>
      <c r="F15" s="115" t="s">
        <v>899</v>
      </c>
      <c r="G15" s="115" t="s">
        <v>900</v>
      </c>
      <c r="H15" s="115">
        <v>13.819578</v>
      </c>
      <c r="I15" s="115">
        <v>100.624863</v>
      </c>
      <c r="J15" s="222"/>
      <c r="K15" s="265" t="s">
        <v>5205</v>
      </c>
      <c r="L15" s="230"/>
      <c r="M15" s="230"/>
      <c r="N15" s="286">
        <v>45021</v>
      </c>
      <c r="O15" s="265" t="s">
        <v>5217</v>
      </c>
      <c r="P15" s="266" t="s">
        <v>902</v>
      </c>
      <c r="Q15" s="265">
        <v>36</v>
      </c>
      <c r="R15" s="267">
        <f t="shared" si="1"/>
        <v>34560</v>
      </c>
      <c r="S15" s="265" t="s">
        <v>5149</v>
      </c>
      <c r="T15" s="410"/>
    </row>
    <row r="16" spans="1:20" hidden="1">
      <c r="A16" s="235">
        <v>15</v>
      </c>
      <c r="B16" s="222"/>
      <c r="C16" s="268" t="s">
        <v>5098</v>
      </c>
      <c r="D16" s="417" t="s">
        <v>5105</v>
      </c>
      <c r="E16" s="122" t="s">
        <v>5106</v>
      </c>
      <c r="F16" s="122" t="s">
        <v>1011</v>
      </c>
      <c r="G16" s="122" t="s">
        <v>936</v>
      </c>
      <c r="H16" s="222"/>
      <c r="I16" s="222"/>
      <c r="J16" s="222"/>
      <c r="K16" s="280" t="s">
        <v>5246</v>
      </c>
      <c r="L16" s="222"/>
      <c r="M16" s="222"/>
      <c r="N16" s="286">
        <v>45021</v>
      </c>
      <c r="O16" s="265" t="s">
        <v>5217</v>
      </c>
      <c r="P16" s="266" t="s">
        <v>902</v>
      </c>
      <c r="Q16" s="265">
        <v>28</v>
      </c>
      <c r="R16" s="267">
        <f t="shared" si="1"/>
        <v>26880</v>
      </c>
      <c r="S16" s="265" t="s">
        <v>5149</v>
      </c>
      <c r="T16" s="418" t="s">
        <v>5254</v>
      </c>
    </row>
    <row r="17" spans="1:20" ht="23" hidden="1">
      <c r="A17" s="235">
        <v>16</v>
      </c>
      <c r="B17" s="222"/>
      <c r="C17" s="398" t="s">
        <v>2675</v>
      </c>
      <c r="D17" s="419" t="s">
        <v>2676</v>
      </c>
      <c r="E17" s="123" t="s">
        <v>2677</v>
      </c>
      <c r="F17" s="116" t="s">
        <v>900</v>
      </c>
      <c r="G17" s="116" t="s">
        <v>1094</v>
      </c>
      <c r="H17" s="222"/>
      <c r="I17" s="222"/>
      <c r="J17" s="222"/>
      <c r="K17" s="280" t="s">
        <v>5252</v>
      </c>
      <c r="L17" s="222"/>
      <c r="M17" s="222"/>
      <c r="N17" s="286">
        <v>45039</v>
      </c>
      <c r="O17" s="222" t="s">
        <v>5253</v>
      </c>
      <c r="P17" s="222" t="s">
        <v>952</v>
      </c>
      <c r="Q17" s="265">
        <v>33</v>
      </c>
      <c r="R17" s="267">
        <f t="shared" si="1"/>
        <v>31680</v>
      </c>
      <c r="S17" s="265" t="s">
        <v>5149</v>
      </c>
      <c r="T17" s="418"/>
    </row>
    <row r="18" spans="1:20" ht="23" hidden="1">
      <c r="A18" s="235">
        <v>17</v>
      </c>
      <c r="B18" s="222"/>
      <c r="C18" s="399" t="s">
        <v>2548</v>
      </c>
      <c r="D18" s="419" t="s">
        <v>2549</v>
      </c>
      <c r="E18" s="114" t="s">
        <v>2550</v>
      </c>
      <c r="F18" s="115" t="s">
        <v>1480</v>
      </c>
      <c r="G18" s="115" t="s">
        <v>1451</v>
      </c>
      <c r="H18" s="222"/>
      <c r="I18" s="222"/>
      <c r="J18" s="222"/>
      <c r="K18" s="280" t="s">
        <v>5252</v>
      </c>
      <c r="L18" s="222"/>
      <c r="M18" s="222"/>
      <c r="N18" s="286">
        <v>45039</v>
      </c>
      <c r="O18" s="222" t="s">
        <v>5253</v>
      </c>
      <c r="P18" s="222" t="s">
        <v>902</v>
      </c>
      <c r="Q18" s="265">
        <v>70</v>
      </c>
      <c r="R18" s="267">
        <f t="shared" si="1"/>
        <v>67200</v>
      </c>
      <c r="S18" s="265" t="s">
        <v>5149</v>
      </c>
      <c r="T18" s="418" t="s">
        <v>5254</v>
      </c>
    </row>
    <row r="19" spans="1:20" ht="23" hidden="1">
      <c r="A19" s="235">
        <v>18</v>
      </c>
      <c r="B19" s="222"/>
      <c r="C19" s="399" t="s">
        <v>2973</v>
      </c>
      <c r="D19" s="419" t="s">
        <v>2974</v>
      </c>
      <c r="E19" s="114" t="s">
        <v>2975</v>
      </c>
      <c r="F19" s="115" t="s">
        <v>1480</v>
      </c>
      <c r="G19" s="115" t="s">
        <v>1451</v>
      </c>
      <c r="H19" s="222"/>
      <c r="I19" s="222"/>
      <c r="J19" s="222"/>
      <c r="K19" s="280" t="s">
        <v>5246</v>
      </c>
      <c r="L19" s="222"/>
      <c r="M19" s="222"/>
      <c r="N19" s="286">
        <v>45039</v>
      </c>
      <c r="O19" s="222" t="s">
        <v>5253</v>
      </c>
      <c r="P19" s="222" t="s">
        <v>902</v>
      </c>
      <c r="Q19" s="265">
        <v>40</v>
      </c>
      <c r="R19" s="267">
        <f t="shared" si="1"/>
        <v>38400</v>
      </c>
      <c r="S19" s="265" t="s">
        <v>5149</v>
      </c>
      <c r="T19" s="418" t="s">
        <v>5254</v>
      </c>
    </row>
    <row r="20" spans="1:20" ht="23" hidden="1">
      <c r="A20" s="235">
        <v>19</v>
      </c>
      <c r="B20" s="222"/>
      <c r="C20" s="398" t="s">
        <v>4395</v>
      </c>
      <c r="D20" s="420" t="s">
        <v>4396</v>
      </c>
      <c r="E20" s="123" t="s">
        <v>4397</v>
      </c>
      <c r="F20" s="116" t="s">
        <v>1480</v>
      </c>
      <c r="G20" s="116" t="s">
        <v>1451</v>
      </c>
      <c r="H20" s="222"/>
      <c r="I20" s="222"/>
      <c r="J20" s="222"/>
      <c r="K20" s="280" t="s">
        <v>5252</v>
      </c>
      <c r="L20" s="222"/>
      <c r="M20" s="222"/>
      <c r="N20" s="286">
        <v>45039</v>
      </c>
      <c r="O20" s="222" t="s">
        <v>5217</v>
      </c>
      <c r="P20" s="222" t="s">
        <v>902</v>
      </c>
      <c r="Q20" s="265">
        <v>80</v>
      </c>
      <c r="R20" s="267">
        <f t="shared" si="1"/>
        <v>76800</v>
      </c>
      <c r="S20" s="265" t="s">
        <v>5149</v>
      </c>
      <c r="T20" s="418" t="s">
        <v>5254</v>
      </c>
    </row>
    <row r="21" spans="1:20" ht="23" hidden="1">
      <c r="A21" s="235">
        <v>20</v>
      </c>
      <c r="B21" s="222"/>
      <c r="C21" s="399" t="s">
        <v>3347</v>
      </c>
      <c r="D21" s="419" t="s">
        <v>3348</v>
      </c>
      <c r="E21" s="114" t="s">
        <v>3349</v>
      </c>
      <c r="F21" s="115" t="s">
        <v>1458</v>
      </c>
      <c r="G21" s="115" t="s">
        <v>1435</v>
      </c>
      <c r="H21" s="305"/>
      <c r="I21" s="305"/>
      <c r="J21" s="305"/>
      <c r="K21" s="280" t="s">
        <v>5246</v>
      </c>
      <c r="L21" s="305"/>
      <c r="M21" s="305"/>
      <c r="N21" s="292">
        <v>45069</v>
      </c>
      <c r="O21" s="323" t="s">
        <v>5253</v>
      </c>
      <c r="P21" s="323" t="s">
        <v>952</v>
      </c>
      <c r="Q21" s="324">
        <v>25</v>
      </c>
      <c r="R21" s="325">
        <v>35000</v>
      </c>
      <c r="S21" s="291" t="s">
        <v>5149</v>
      </c>
      <c r="T21" s="418"/>
    </row>
    <row r="22" spans="1:20" ht="23" hidden="1">
      <c r="A22" s="235">
        <v>21</v>
      </c>
      <c r="B22" s="305"/>
      <c r="C22" s="399" t="s">
        <v>1391</v>
      </c>
      <c r="D22" s="419" t="s">
        <v>1392</v>
      </c>
      <c r="E22" s="114" t="s">
        <v>1393</v>
      </c>
      <c r="F22" s="115" t="s">
        <v>1394</v>
      </c>
      <c r="G22" s="115" t="s">
        <v>936</v>
      </c>
      <c r="H22" s="305"/>
      <c r="I22" s="305"/>
      <c r="J22" s="305"/>
      <c r="K22" s="251" t="s">
        <v>5205</v>
      </c>
      <c r="L22" s="305"/>
      <c r="M22" s="305"/>
      <c r="N22" s="306">
        <v>45102</v>
      </c>
      <c r="O22" s="305" t="s">
        <v>5217</v>
      </c>
      <c r="P22" s="305" t="s">
        <v>902</v>
      </c>
      <c r="Q22" s="213">
        <v>15</v>
      </c>
      <c r="R22" s="307">
        <f>Q22*800</f>
        <v>12000</v>
      </c>
      <c r="S22" s="213" t="s">
        <v>5149</v>
      </c>
      <c r="T22" s="421" t="s">
        <v>5277</v>
      </c>
    </row>
    <row r="23" spans="1:20" ht="23" hidden="1">
      <c r="A23" s="235">
        <v>22</v>
      </c>
      <c r="B23" s="305"/>
      <c r="C23" s="399" t="s">
        <v>1602</v>
      </c>
      <c r="D23" s="419" t="s">
        <v>1603</v>
      </c>
      <c r="E23" s="114" t="s">
        <v>1604</v>
      </c>
      <c r="F23" s="115" t="s">
        <v>947</v>
      </c>
      <c r="G23" s="115" t="s">
        <v>901</v>
      </c>
      <c r="H23" s="305"/>
      <c r="I23" s="305"/>
      <c r="J23" s="305"/>
      <c r="K23" s="251" t="s">
        <v>5205</v>
      </c>
      <c r="L23" s="305"/>
      <c r="M23" s="305"/>
      <c r="N23" s="306">
        <v>45103</v>
      </c>
      <c r="O23" s="305" t="s">
        <v>5217</v>
      </c>
      <c r="P23" s="305" t="s">
        <v>5265</v>
      </c>
      <c r="Q23" s="326">
        <v>45</v>
      </c>
      <c r="R23" s="307">
        <f t="shared" ref="R23:R32" si="2">Q23*800</f>
        <v>36000</v>
      </c>
      <c r="S23" s="213" t="s">
        <v>5149</v>
      </c>
      <c r="T23" s="421" t="s">
        <v>5278</v>
      </c>
    </row>
    <row r="24" spans="1:20" ht="23" hidden="1">
      <c r="A24" s="235">
        <v>23</v>
      </c>
      <c r="B24" s="305"/>
      <c r="C24" s="399" t="s">
        <v>1839</v>
      </c>
      <c r="D24" s="419" t="s">
        <v>1840</v>
      </c>
      <c r="E24" s="114" t="s">
        <v>1841</v>
      </c>
      <c r="F24" s="115" t="s">
        <v>1011</v>
      </c>
      <c r="G24" s="115" t="s">
        <v>936</v>
      </c>
      <c r="H24" s="305"/>
      <c r="I24" s="305"/>
      <c r="J24" s="305"/>
      <c r="K24" s="251" t="s">
        <v>5252</v>
      </c>
      <c r="L24" s="305"/>
      <c r="M24" s="305"/>
      <c r="N24" s="306">
        <v>45103</v>
      </c>
      <c r="O24" s="305" t="s">
        <v>5217</v>
      </c>
      <c r="P24" s="305" t="s">
        <v>902</v>
      </c>
      <c r="Q24" s="326">
        <v>40</v>
      </c>
      <c r="R24" s="307">
        <f t="shared" si="2"/>
        <v>32000</v>
      </c>
      <c r="S24" s="213" t="s">
        <v>5149</v>
      </c>
      <c r="T24" s="421" t="s">
        <v>5277</v>
      </c>
    </row>
    <row r="25" spans="1:20" ht="23" hidden="1">
      <c r="A25" s="235">
        <v>24</v>
      </c>
      <c r="B25" s="305"/>
      <c r="C25" s="399" t="s">
        <v>2992</v>
      </c>
      <c r="D25" s="419" t="s">
        <v>2993</v>
      </c>
      <c r="E25" s="114" t="s">
        <v>2994</v>
      </c>
      <c r="F25" s="115" t="s">
        <v>2788</v>
      </c>
      <c r="G25" s="115" t="s">
        <v>1580</v>
      </c>
      <c r="H25" s="305"/>
      <c r="I25" s="305"/>
      <c r="J25" s="305"/>
      <c r="K25" s="251" t="s">
        <v>5205</v>
      </c>
      <c r="L25" s="305"/>
      <c r="M25" s="305"/>
      <c r="N25" s="306">
        <v>45103</v>
      </c>
      <c r="O25" s="305" t="s">
        <v>5217</v>
      </c>
      <c r="P25" s="305" t="s">
        <v>952</v>
      </c>
      <c r="Q25" s="326">
        <v>90</v>
      </c>
      <c r="R25" s="307">
        <f t="shared" si="2"/>
        <v>72000</v>
      </c>
      <c r="S25" s="213" t="s">
        <v>5149</v>
      </c>
      <c r="T25" s="421" t="s">
        <v>5277</v>
      </c>
    </row>
    <row r="26" spans="1:20" ht="23" hidden="1">
      <c r="A26" s="235">
        <v>25</v>
      </c>
      <c r="B26" s="305"/>
      <c r="C26" s="399" t="s">
        <v>3189</v>
      </c>
      <c r="D26" s="419" t="s">
        <v>3190</v>
      </c>
      <c r="E26" s="114" t="s">
        <v>3191</v>
      </c>
      <c r="F26" s="115" t="s">
        <v>1910</v>
      </c>
      <c r="G26" s="115" t="s">
        <v>957</v>
      </c>
      <c r="H26" s="305"/>
      <c r="I26" s="305"/>
      <c r="J26" s="305"/>
      <c r="K26" s="251" t="s">
        <v>5252</v>
      </c>
      <c r="L26" s="305"/>
      <c r="M26" s="305"/>
      <c r="N26" s="306">
        <v>45103</v>
      </c>
      <c r="O26" s="305" t="s">
        <v>5253</v>
      </c>
      <c r="P26" s="305" t="s">
        <v>952</v>
      </c>
      <c r="Q26" s="326">
        <v>60</v>
      </c>
      <c r="R26" s="307">
        <f t="shared" si="2"/>
        <v>48000</v>
      </c>
      <c r="S26" s="213" t="s">
        <v>5149</v>
      </c>
      <c r="T26" s="421" t="s">
        <v>5277</v>
      </c>
    </row>
    <row r="27" spans="1:20" ht="23" hidden="1">
      <c r="A27" s="235">
        <v>26</v>
      </c>
      <c r="B27" s="305"/>
      <c r="C27" s="398" t="s">
        <v>3370</v>
      </c>
      <c r="D27" s="419" t="s">
        <v>3371</v>
      </c>
      <c r="E27" s="123" t="s">
        <v>3372</v>
      </c>
      <c r="F27" s="116" t="s">
        <v>913</v>
      </c>
      <c r="G27" s="116" t="s">
        <v>936</v>
      </c>
      <c r="H27" s="305"/>
      <c r="I27" s="305"/>
      <c r="J27" s="305"/>
      <c r="K27" s="251" t="s">
        <v>5205</v>
      </c>
      <c r="L27" s="305"/>
      <c r="M27" s="305"/>
      <c r="N27" s="306">
        <v>45103</v>
      </c>
      <c r="O27" s="305" t="s">
        <v>5217</v>
      </c>
      <c r="P27" s="305" t="s">
        <v>902</v>
      </c>
      <c r="Q27" s="326">
        <v>60</v>
      </c>
      <c r="R27" s="307">
        <f t="shared" si="2"/>
        <v>48000</v>
      </c>
      <c r="S27" s="213" t="s">
        <v>5149</v>
      </c>
      <c r="T27" s="421" t="s">
        <v>5277</v>
      </c>
    </row>
    <row r="28" spans="1:20" ht="23" hidden="1">
      <c r="A28" s="235">
        <v>27</v>
      </c>
      <c r="B28" s="305"/>
      <c r="C28" s="398" t="s">
        <v>3481</v>
      </c>
      <c r="D28" s="419" t="s">
        <v>3482</v>
      </c>
      <c r="E28" s="123" t="s">
        <v>3483</v>
      </c>
      <c r="F28" s="116" t="s">
        <v>1047</v>
      </c>
      <c r="G28" s="116" t="s">
        <v>990</v>
      </c>
      <c r="H28" s="305"/>
      <c r="I28" s="305"/>
      <c r="J28" s="305"/>
      <c r="K28" s="251" t="s">
        <v>5205</v>
      </c>
      <c r="L28" s="305"/>
      <c r="M28" s="305"/>
      <c r="N28" s="306">
        <v>45103</v>
      </c>
      <c r="O28" s="305" t="s">
        <v>5217</v>
      </c>
      <c r="P28" s="305" t="s">
        <v>902</v>
      </c>
      <c r="Q28" s="326">
        <v>125</v>
      </c>
      <c r="R28" s="307">
        <f t="shared" si="2"/>
        <v>100000</v>
      </c>
      <c r="S28" s="213" t="s">
        <v>5149</v>
      </c>
      <c r="T28" s="421" t="s">
        <v>5277</v>
      </c>
    </row>
    <row r="29" spans="1:20" ht="23" hidden="1">
      <c r="A29" s="235">
        <v>28</v>
      </c>
      <c r="B29" s="305"/>
      <c r="C29" s="398" t="s">
        <v>3641</v>
      </c>
      <c r="D29" s="419" t="s">
        <v>3642</v>
      </c>
      <c r="E29" s="123" t="s">
        <v>3643</v>
      </c>
      <c r="F29" s="116" t="s">
        <v>2788</v>
      </c>
      <c r="G29" s="116" t="s">
        <v>1580</v>
      </c>
      <c r="H29" s="305"/>
      <c r="I29" s="305"/>
      <c r="J29" s="305"/>
      <c r="K29" s="251" t="s">
        <v>5252</v>
      </c>
      <c r="L29" s="305"/>
      <c r="M29" s="305"/>
      <c r="N29" s="306">
        <v>45103</v>
      </c>
      <c r="O29" s="305" t="s">
        <v>5253</v>
      </c>
      <c r="P29" s="305" t="s">
        <v>952</v>
      </c>
      <c r="Q29" s="326">
        <v>97</v>
      </c>
      <c r="R29" s="307">
        <f t="shared" si="2"/>
        <v>77600</v>
      </c>
      <c r="S29" s="213" t="s">
        <v>5149</v>
      </c>
      <c r="T29" s="421" t="s">
        <v>5277</v>
      </c>
    </row>
    <row r="30" spans="1:20" ht="23" hidden="1">
      <c r="A30" s="235">
        <v>29</v>
      </c>
      <c r="B30" s="305"/>
      <c r="C30" s="399" t="s">
        <v>4190</v>
      </c>
      <c r="D30" s="419" t="s">
        <v>4191</v>
      </c>
      <c r="E30" s="114" t="s">
        <v>4192</v>
      </c>
      <c r="F30" s="115" t="s">
        <v>994</v>
      </c>
      <c r="G30" s="115" t="s">
        <v>1094</v>
      </c>
      <c r="H30" s="305"/>
      <c r="I30" s="305"/>
      <c r="J30" s="305"/>
      <c r="K30" s="251" t="s">
        <v>5264</v>
      </c>
      <c r="L30" s="305"/>
      <c r="M30" s="305"/>
      <c r="N30" s="306">
        <v>45103</v>
      </c>
      <c r="O30" s="305" t="s">
        <v>5217</v>
      </c>
      <c r="P30" s="305" t="s">
        <v>5285</v>
      </c>
      <c r="Q30" s="326">
        <v>20</v>
      </c>
      <c r="R30" s="307">
        <f t="shared" si="2"/>
        <v>16000</v>
      </c>
      <c r="S30" s="213" t="s">
        <v>5254</v>
      </c>
      <c r="T30" s="421" t="s">
        <v>5280</v>
      </c>
    </row>
    <row r="31" spans="1:20" ht="23" hidden="1">
      <c r="A31" s="235">
        <v>30</v>
      </c>
      <c r="B31" s="305"/>
      <c r="C31" s="398" t="s">
        <v>5069</v>
      </c>
      <c r="D31" s="419" t="s">
        <v>5070</v>
      </c>
      <c r="E31" s="123" t="s">
        <v>5071</v>
      </c>
      <c r="F31" s="116" t="s">
        <v>1064</v>
      </c>
      <c r="G31" s="116" t="s">
        <v>1018</v>
      </c>
      <c r="H31" s="305"/>
      <c r="I31" s="305"/>
      <c r="J31" s="305"/>
      <c r="K31" s="251" t="s">
        <v>5205</v>
      </c>
      <c r="L31" s="305"/>
      <c r="M31" s="305"/>
      <c r="N31" s="306">
        <v>45103</v>
      </c>
      <c r="O31" s="305" t="s">
        <v>5217</v>
      </c>
      <c r="P31" s="305" t="s">
        <v>902</v>
      </c>
      <c r="Q31" s="326">
        <v>68</v>
      </c>
      <c r="R31" s="307">
        <f t="shared" si="2"/>
        <v>54400</v>
      </c>
      <c r="S31" s="213" t="s">
        <v>5149</v>
      </c>
      <c r="T31" s="421" t="s">
        <v>5277</v>
      </c>
    </row>
    <row r="32" spans="1:20" ht="23" hidden="1">
      <c r="A32" s="235">
        <v>31</v>
      </c>
      <c r="B32" s="305"/>
      <c r="C32" s="402"/>
      <c r="D32" s="419" t="s">
        <v>5266</v>
      </c>
      <c r="E32" s="123" t="s">
        <v>5271</v>
      </c>
      <c r="F32" s="327" t="s">
        <v>1007</v>
      </c>
      <c r="G32" s="305" t="s">
        <v>1542</v>
      </c>
      <c r="H32" s="305"/>
      <c r="I32" s="305"/>
      <c r="J32" s="305"/>
      <c r="K32" s="251" t="s">
        <v>5252</v>
      </c>
      <c r="L32" s="305"/>
      <c r="M32" s="305"/>
      <c r="N32" s="306">
        <v>45100</v>
      </c>
      <c r="O32" s="305" t="s">
        <v>5253</v>
      </c>
      <c r="P32" s="305" t="s">
        <v>5274</v>
      </c>
      <c r="Q32" s="327">
        <v>60</v>
      </c>
      <c r="R32" s="307">
        <f t="shared" si="2"/>
        <v>48000</v>
      </c>
      <c r="S32" s="213" t="s">
        <v>5272</v>
      </c>
      <c r="T32" s="421" t="s">
        <v>5275</v>
      </c>
    </row>
    <row r="33" spans="1:20" ht="23" hidden="1">
      <c r="A33" s="235">
        <v>32</v>
      </c>
      <c r="B33" s="305"/>
      <c r="C33" s="402"/>
      <c r="D33" s="419" t="s">
        <v>5267</v>
      </c>
      <c r="E33" s="305" t="s">
        <v>5269</v>
      </c>
      <c r="F33" s="116" t="s">
        <v>5270</v>
      </c>
      <c r="G33" s="305"/>
      <c r="H33" s="305"/>
      <c r="I33" s="305"/>
      <c r="J33" s="305"/>
      <c r="K33" s="251" t="s">
        <v>5268</v>
      </c>
      <c r="L33" s="305"/>
      <c r="M33" s="305"/>
      <c r="N33" s="306">
        <v>45098</v>
      </c>
      <c r="O33" s="305" t="s">
        <v>5253</v>
      </c>
      <c r="P33" s="305" t="s">
        <v>5285</v>
      </c>
      <c r="Q33" s="327" t="s">
        <v>5273</v>
      </c>
      <c r="R33" s="307">
        <v>11000</v>
      </c>
      <c r="S33" s="213" t="s">
        <v>5149</v>
      </c>
      <c r="T33" s="421" t="s">
        <v>5279</v>
      </c>
    </row>
    <row r="34" spans="1:20" ht="23" hidden="1">
      <c r="A34" s="235">
        <v>33</v>
      </c>
      <c r="B34" s="222"/>
      <c r="C34" s="399" t="s">
        <v>4350</v>
      </c>
      <c r="D34" s="419" t="s">
        <v>4351</v>
      </c>
      <c r="E34" s="114" t="s">
        <v>4352</v>
      </c>
      <c r="F34" s="115" t="s">
        <v>3885</v>
      </c>
      <c r="G34" s="222" t="s">
        <v>5286</v>
      </c>
      <c r="H34" s="222"/>
      <c r="I34" s="222"/>
      <c r="J34" s="222"/>
      <c r="K34" s="251" t="s">
        <v>5268</v>
      </c>
      <c r="L34" s="222"/>
      <c r="M34" s="222"/>
      <c r="N34" s="286">
        <v>45114</v>
      </c>
      <c r="O34" s="305" t="s">
        <v>5253</v>
      </c>
      <c r="P34" s="305" t="s">
        <v>952</v>
      </c>
      <c r="Q34" s="326">
        <v>80</v>
      </c>
      <c r="R34" s="307">
        <f t="shared" ref="R34:R39" si="3">Q34*800</f>
        <v>64000</v>
      </c>
      <c r="S34" s="213" t="s">
        <v>5149</v>
      </c>
      <c r="T34" s="223"/>
    </row>
    <row r="35" spans="1:20" ht="23" hidden="1">
      <c r="A35" s="235">
        <v>34</v>
      </c>
      <c r="B35" s="222"/>
      <c r="C35" s="399" t="s">
        <v>4134</v>
      </c>
      <c r="D35" s="419" t="s">
        <v>4135</v>
      </c>
      <c r="E35" s="114" t="s">
        <v>4136</v>
      </c>
      <c r="F35" s="115" t="s">
        <v>4070</v>
      </c>
      <c r="G35" s="115" t="s">
        <v>4070</v>
      </c>
      <c r="H35" s="222"/>
      <c r="I35" s="222"/>
      <c r="J35" s="222"/>
      <c r="K35" s="251" t="s">
        <v>5287</v>
      </c>
      <c r="L35" s="222"/>
      <c r="M35" s="222"/>
      <c r="N35" s="286">
        <v>45114</v>
      </c>
      <c r="O35" s="305" t="s">
        <v>5253</v>
      </c>
      <c r="P35" s="305" t="s">
        <v>952</v>
      </c>
      <c r="Q35" s="326">
        <v>40</v>
      </c>
      <c r="R35" s="307">
        <f t="shared" si="3"/>
        <v>32000</v>
      </c>
      <c r="S35" s="213" t="s">
        <v>5149</v>
      </c>
      <c r="T35" s="223"/>
    </row>
    <row r="36" spans="1:20" ht="23" hidden="1">
      <c r="A36" s="235">
        <v>35</v>
      </c>
      <c r="B36" s="233">
        <v>14</v>
      </c>
      <c r="C36" s="399" t="s">
        <v>1970</v>
      </c>
      <c r="D36" s="416" t="s">
        <v>1971</v>
      </c>
      <c r="E36" s="114" t="s">
        <v>1972</v>
      </c>
      <c r="F36" s="115" t="s">
        <v>1080</v>
      </c>
      <c r="G36" s="115" t="s">
        <v>957</v>
      </c>
      <c r="H36" s="116">
        <v>13.770099</v>
      </c>
      <c r="I36" s="116">
        <v>100.526742</v>
      </c>
      <c r="J36" s="116"/>
      <c r="K36" s="251" t="s">
        <v>5287</v>
      </c>
      <c r="L36" s="388"/>
      <c r="M36" s="388"/>
      <c r="N36" s="413">
        <v>45154</v>
      </c>
      <c r="O36" s="335" t="s">
        <v>5217</v>
      </c>
      <c r="P36" s="335" t="s">
        <v>5288</v>
      </c>
      <c r="Q36" s="336">
        <v>50</v>
      </c>
      <c r="R36" s="337">
        <f t="shared" si="3"/>
        <v>40000</v>
      </c>
      <c r="S36" s="213" t="s">
        <v>5149</v>
      </c>
      <c r="T36" s="422" t="s">
        <v>5291</v>
      </c>
    </row>
    <row r="37" spans="1:20" ht="23" hidden="1">
      <c r="A37" s="235">
        <v>36</v>
      </c>
      <c r="B37" s="233">
        <v>11</v>
      </c>
      <c r="C37" s="399" t="s">
        <v>1991</v>
      </c>
      <c r="D37" s="416" t="s">
        <v>1992</v>
      </c>
      <c r="E37" s="114" t="s">
        <v>1993</v>
      </c>
      <c r="F37" s="115" t="s">
        <v>1080</v>
      </c>
      <c r="G37" s="115" t="s">
        <v>957</v>
      </c>
      <c r="H37" s="116">
        <v>13.769416</v>
      </c>
      <c r="I37" s="116">
        <v>100.528352</v>
      </c>
      <c r="J37" s="388"/>
      <c r="K37" s="251" t="s">
        <v>5287</v>
      </c>
      <c r="L37" s="388"/>
      <c r="M37" s="388"/>
      <c r="N37" s="413">
        <v>45154</v>
      </c>
      <c r="O37" s="335" t="s">
        <v>5217</v>
      </c>
      <c r="P37" s="335" t="s">
        <v>5288</v>
      </c>
      <c r="Q37" s="336">
        <v>60</v>
      </c>
      <c r="R37" s="337">
        <f t="shared" si="3"/>
        <v>48000</v>
      </c>
      <c r="S37" s="213" t="s">
        <v>5149</v>
      </c>
      <c r="T37" s="422" t="s">
        <v>5291</v>
      </c>
    </row>
    <row r="38" spans="1:20" ht="23" hidden="1">
      <c r="A38" s="235">
        <v>37</v>
      </c>
      <c r="B38" s="233">
        <v>6</v>
      </c>
      <c r="C38" s="399" t="s">
        <v>4178</v>
      </c>
      <c r="D38" s="419" t="s">
        <v>4179</v>
      </c>
      <c r="E38" s="114" t="s">
        <v>4180</v>
      </c>
      <c r="F38" s="115" t="s">
        <v>3885</v>
      </c>
      <c r="G38" s="115" t="s">
        <v>983</v>
      </c>
      <c r="H38" s="116">
        <v>13.7890385</v>
      </c>
      <c r="I38" s="116">
        <v>100.55601</v>
      </c>
      <c r="J38" s="388"/>
      <c r="K38" s="251" t="s">
        <v>5287</v>
      </c>
      <c r="L38" s="388"/>
      <c r="M38" s="388"/>
      <c r="N38" s="413">
        <v>45154</v>
      </c>
      <c r="O38" s="334" t="s">
        <v>5253</v>
      </c>
      <c r="P38" s="335" t="s">
        <v>952</v>
      </c>
      <c r="Q38" s="336">
        <v>80</v>
      </c>
      <c r="R38" s="337">
        <f t="shared" si="3"/>
        <v>64000</v>
      </c>
      <c r="S38" s="213" t="s">
        <v>5149</v>
      </c>
      <c r="T38" s="422" t="s">
        <v>5289</v>
      </c>
    </row>
    <row r="39" spans="1:20" hidden="1">
      <c r="A39" s="235">
        <v>38</v>
      </c>
      <c r="B39" s="150" t="s">
        <v>5092</v>
      </c>
      <c r="C39" s="268" t="s">
        <v>57</v>
      </c>
      <c r="D39" s="417" t="s">
        <v>5101</v>
      </c>
      <c r="E39" s="220" t="s">
        <v>5102</v>
      </c>
      <c r="F39" s="220" t="s">
        <v>1910</v>
      </c>
      <c r="G39" s="220" t="s">
        <v>957</v>
      </c>
      <c r="H39" s="217">
        <v>13.763655999999999</v>
      </c>
      <c r="I39" s="217">
        <v>100.526303</v>
      </c>
      <c r="J39" s="388"/>
      <c r="K39" s="393" t="s">
        <v>5287</v>
      </c>
      <c r="L39" s="388"/>
      <c r="M39" s="388"/>
      <c r="N39" s="413">
        <v>45153</v>
      </c>
      <c r="O39" s="388" t="s">
        <v>5217</v>
      </c>
      <c r="P39" s="334" t="s">
        <v>952</v>
      </c>
      <c r="Q39" s="336">
        <v>105</v>
      </c>
      <c r="R39" s="337">
        <f t="shared" si="3"/>
        <v>84000</v>
      </c>
      <c r="S39" s="324" t="s">
        <v>5149</v>
      </c>
      <c r="T39" s="422" t="s">
        <v>5290</v>
      </c>
    </row>
    <row r="40" spans="1:20" ht="23">
      <c r="A40" s="111">
        <v>1</v>
      </c>
      <c r="B40" s="128">
        <v>16</v>
      </c>
      <c r="C40" s="398" t="s">
        <v>3384</v>
      </c>
      <c r="D40" s="416" t="s">
        <v>3385</v>
      </c>
      <c r="E40" s="156" t="s">
        <v>3386</v>
      </c>
      <c r="F40" s="117" t="s">
        <v>2788</v>
      </c>
      <c r="G40" s="148" t="s">
        <v>2789</v>
      </c>
      <c r="H40" s="117" t="s">
        <v>3387</v>
      </c>
      <c r="I40" s="117">
        <v>100.50754999999999</v>
      </c>
      <c r="J40" s="394" t="s">
        <v>5178</v>
      </c>
      <c r="K40" s="305" t="s">
        <v>5116</v>
      </c>
      <c r="L40" s="331">
        <v>45238</v>
      </c>
      <c r="M40" s="331" t="s">
        <v>5333</v>
      </c>
      <c r="N40" s="230"/>
      <c r="O40" s="222" t="s">
        <v>5217</v>
      </c>
      <c r="P40" s="222" t="s">
        <v>952</v>
      </c>
      <c r="Q40" s="222">
        <v>85</v>
      </c>
      <c r="R40" s="222">
        <f>Q40*900</f>
        <v>76500</v>
      </c>
      <c r="S40" s="396" t="s">
        <v>5149</v>
      </c>
      <c r="T40" s="223" t="s">
        <v>5334</v>
      </c>
    </row>
    <row r="41" spans="1:20" ht="23">
      <c r="A41" s="111">
        <v>2</v>
      </c>
      <c r="B41" s="112">
        <v>11</v>
      </c>
      <c r="C41" s="398" t="s">
        <v>4575</v>
      </c>
      <c r="D41" s="419" t="s">
        <v>4576</v>
      </c>
      <c r="E41" s="114" t="s">
        <v>4577</v>
      </c>
      <c r="F41" s="115" t="s">
        <v>3801</v>
      </c>
      <c r="G41" s="115" t="s">
        <v>1435</v>
      </c>
      <c r="H41" s="116">
        <v>13.800672</v>
      </c>
      <c r="I41" s="116">
        <v>100.538371</v>
      </c>
      <c r="J41" s="394" t="s">
        <v>5178</v>
      </c>
      <c r="K41" s="305" t="s">
        <v>5330</v>
      </c>
      <c r="L41" s="331">
        <v>45238</v>
      </c>
      <c r="M41" s="331" t="s">
        <v>5333</v>
      </c>
      <c r="N41" s="230"/>
      <c r="O41" s="222" t="s">
        <v>5253</v>
      </c>
      <c r="P41" s="222" t="s">
        <v>952</v>
      </c>
      <c r="Q41" s="222">
        <v>40</v>
      </c>
      <c r="R41" s="222">
        <f>Q41*900</f>
        <v>36000</v>
      </c>
      <c r="S41" s="396" t="s">
        <v>5149</v>
      </c>
      <c r="T41" s="223" t="s">
        <v>5335</v>
      </c>
    </row>
    <row r="42" spans="1:20" ht="23">
      <c r="A42" s="111">
        <v>3</v>
      </c>
      <c r="B42" s="112">
        <v>16</v>
      </c>
      <c r="C42" s="399" t="s">
        <v>2654</v>
      </c>
      <c r="D42" s="416" t="s">
        <v>2655</v>
      </c>
      <c r="E42" s="114" t="s">
        <v>2656</v>
      </c>
      <c r="F42" s="115" t="s">
        <v>2657</v>
      </c>
      <c r="G42" s="115" t="s">
        <v>1000</v>
      </c>
      <c r="H42" s="116">
        <v>13.777339899999999</v>
      </c>
      <c r="I42" s="116">
        <v>100.5262115</v>
      </c>
      <c r="J42" s="394" t="s">
        <v>5178</v>
      </c>
      <c r="K42" s="305" t="s">
        <v>5330</v>
      </c>
      <c r="L42" s="331">
        <v>45238</v>
      </c>
      <c r="M42" s="331" t="s">
        <v>5333</v>
      </c>
      <c r="N42" s="230"/>
      <c r="O42" s="222" t="s">
        <v>5253</v>
      </c>
      <c r="P42" s="222" t="s">
        <v>902</v>
      </c>
      <c r="Q42" s="222">
        <v>20</v>
      </c>
      <c r="R42" s="222">
        <f>Q42*900</f>
        <v>18000</v>
      </c>
      <c r="S42" s="396" t="s">
        <v>5149</v>
      </c>
      <c r="T42" s="223" t="s">
        <v>5336</v>
      </c>
    </row>
    <row r="43" spans="1:20" ht="14.5">
      <c r="A43" s="111">
        <v>4</v>
      </c>
      <c r="B43" s="150" t="s">
        <v>5091</v>
      </c>
      <c r="C43" s="268" t="s">
        <v>53</v>
      </c>
      <c r="D43" s="411" t="s">
        <v>5099</v>
      </c>
      <c r="E43" s="216" t="s">
        <v>5100</v>
      </c>
      <c r="F43" s="216" t="s">
        <v>983</v>
      </c>
      <c r="G43" s="216" t="s">
        <v>990</v>
      </c>
      <c r="H43" s="150">
        <v>13.7406095</v>
      </c>
      <c r="I43" s="150">
        <v>100.53007529999999</v>
      </c>
      <c r="J43" s="394" t="s">
        <v>5178</v>
      </c>
      <c r="K43" s="305" t="s">
        <v>5331</v>
      </c>
      <c r="L43" s="331">
        <v>45238</v>
      </c>
      <c r="M43" s="331" t="s">
        <v>5333</v>
      </c>
      <c r="N43" s="230"/>
      <c r="O43" s="222" t="s">
        <v>5253</v>
      </c>
      <c r="P43" s="222" t="s">
        <v>902</v>
      </c>
      <c r="Q43" s="222">
        <v>15</v>
      </c>
      <c r="R43" s="222">
        <f>Q43*900+18000</f>
        <v>31500</v>
      </c>
      <c r="S43" s="396" t="s">
        <v>5149</v>
      </c>
      <c r="T43" s="223" t="s">
        <v>5337</v>
      </c>
    </row>
    <row r="44" spans="1:20" ht="23">
      <c r="A44" s="111">
        <v>5</v>
      </c>
      <c r="B44" s="112">
        <v>16</v>
      </c>
      <c r="C44" s="399" t="s">
        <v>1205</v>
      </c>
      <c r="D44" s="416" t="s">
        <v>1206</v>
      </c>
      <c r="E44" s="114" t="s">
        <v>1207</v>
      </c>
      <c r="F44" s="115" t="s">
        <v>917</v>
      </c>
      <c r="G44" s="115" t="s">
        <v>918</v>
      </c>
      <c r="H44" s="115">
        <v>13.6889197</v>
      </c>
      <c r="I44" s="115">
        <v>100.5475471</v>
      </c>
      <c r="J44" s="394" t="s">
        <v>5178</v>
      </c>
      <c r="K44" s="305" t="s">
        <v>5329</v>
      </c>
      <c r="L44" s="331">
        <v>45238</v>
      </c>
      <c r="M44" s="331" t="s">
        <v>5333</v>
      </c>
      <c r="N44" s="230"/>
      <c r="O44" s="222" t="s">
        <v>5217</v>
      </c>
      <c r="P44" s="222" t="s">
        <v>5288</v>
      </c>
      <c r="Q44" s="222">
        <v>30</v>
      </c>
      <c r="R44" s="222">
        <f>Q44*900</f>
        <v>27000</v>
      </c>
      <c r="S44" s="396" t="s">
        <v>5149</v>
      </c>
      <c r="T44" s="223" t="s">
        <v>5338</v>
      </c>
    </row>
    <row r="45" spans="1:20" ht="23">
      <c r="A45" s="111">
        <v>6</v>
      </c>
      <c r="B45" s="112">
        <v>2</v>
      </c>
      <c r="C45" s="399" t="s">
        <v>2356</v>
      </c>
      <c r="D45" s="419" t="s">
        <v>2357</v>
      </c>
      <c r="E45" s="114" t="s">
        <v>2358</v>
      </c>
      <c r="F45" s="115" t="s">
        <v>999</v>
      </c>
      <c r="G45" s="115" t="s">
        <v>1000</v>
      </c>
      <c r="H45" s="116">
        <v>13.780749</v>
      </c>
      <c r="I45" s="116">
        <v>100.523076</v>
      </c>
      <c r="J45" s="394" t="s">
        <v>5178</v>
      </c>
      <c r="K45" s="305" t="s">
        <v>5116</v>
      </c>
      <c r="L45" s="331">
        <v>45240</v>
      </c>
      <c r="M45" s="331" t="s">
        <v>5333</v>
      </c>
      <c r="N45" s="230"/>
      <c r="O45" s="222" t="s">
        <v>5253</v>
      </c>
      <c r="P45" s="222" t="s">
        <v>5288</v>
      </c>
      <c r="Q45" s="222">
        <v>85</v>
      </c>
      <c r="R45" s="222">
        <f t="shared" ref="R45:R54" si="4">Q45*900</f>
        <v>76500</v>
      </c>
      <c r="S45" s="396" t="s">
        <v>5149</v>
      </c>
      <c r="T45" s="223" t="s">
        <v>5336</v>
      </c>
    </row>
    <row r="46" spans="1:20" ht="23">
      <c r="A46" s="111">
        <v>7</v>
      </c>
      <c r="B46" s="112">
        <v>1</v>
      </c>
      <c r="C46" s="399" t="s">
        <v>3832</v>
      </c>
      <c r="D46" s="416" t="s">
        <v>3833</v>
      </c>
      <c r="E46" s="114" t="s">
        <v>3834</v>
      </c>
      <c r="F46" s="115" t="s">
        <v>1910</v>
      </c>
      <c r="G46" s="115" t="s">
        <v>983</v>
      </c>
      <c r="H46" s="116">
        <v>13.792249</v>
      </c>
      <c r="I46" s="116">
        <v>100.53794600000001</v>
      </c>
      <c r="J46" s="394" t="s">
        <v>5178</v>
      </c>
      <c r="K46" s="305" t="s">
        <v>5116</v>
      </c>
      <c r="L46" s="331">
        <v>45240</v>
      </c>
      <c r="M46" s="331" t="s">
        <v>5333</v>
      </c>
      <c r="N46" s="230"/>
      <c r="O46" s="222" t="s">
        <v>5253</v>
      </c>
      <c r="P46" s="222" t="s">
        <v>952</v>
      </c>
      <c r="Q46" s="222">
        <v>30</v>
      </c>
      <c r="R46" s="222">
        <f t="shared" si="4"/>
        <v>27000</v>
      </c>
      <c r="S46" s="396" t="s">
        <v>5149</v>
      </c>
      <c r="T46" s="223" t="s">
        <v>5335</v>
      </c>
    </row>
    <row r="47" spans="1:20" ht="23">
      <c r="A47" s="111">
        <v>8</v>
      </c>
      <c r="B47" s="112">
        <v>5</v>
      </c>
      <c r="C47" s="398" t="s">
        <v>4509</v>
      </c>
      <c r="D47" s="416" t="s">
        <v>4510</v>
      </c>
      <c r="E47" s="114" t="s">
        <v>4511</v>
      </c>
      <c r="F47" s="115" t="s">
        <v>1910</v>
      </c>
      <c r="G47" s="115" t="s">
        <v>983</v>
      </c>
      <c r="H47" s="115">
        <v>13.7968853</v>
      </c>
      <c r="I47" s="115">
        <v>100.5381723</v>
      </c>
      <c r="J47" s="394" t="s">
        <v>5178</v>
      </c>
      <c r="K47" s="305" t="s">
        <v>5329</v>
      </c>
      <c r="L47" s="331">
        <v>45240</v>
      </c>
      <c r="M47" s="331" t="s">
        <v>5333</v>
      </c>
      <c r="N47" s="230"/>
      <c r="O47" s="222" t="s">
        <v>5253</v>
      </c>
      <c r="P47" s="222" t="s">
        <v>952</v>
      </c>
      <c r="Q47" s="222">
        <v>35</v>
      </c>
      <c r="R47" s="222">
        <f t="shared" si="4"/>
        <v>31500</v>
      </c>
      <c r="S47" s="396" t="s">
        <v>5149</v>
      </c>
      <c r="T47" s="223" t="s">
        <v>5335</v>
      </c>
    </row>
    <row r="48" spans="1:20" ht="23">
      <c r="A48" s="111">
        <v>9</v>
      </c>
      <c r="B48" s="112">
        <v>15</v>
      </c>
      <c r="C48" s="399" t="s">
        <v>5019</v>
      </c>
      <c r="D48" s="416" t="s">
        <v>5020</v>
      </c>
      <c r="E48" s="114" t="s">
        <v>5021</v>
      </c>
      <c r="F48" s="115" t="s">
        <v>913</v>
      </c>
      <c r="G48" s="115" t="s">
        <v>936</v>
      </c>
      <c r="H48" s="116">
        <v>13.7544042</v>
      </c>
      <c r="I48" s="116">
        <v>100.5835699</v>
      </c>
      <c r="J48" s="394" t="s">
        <v>5178</v>
      </c>
      <c r="K48" s="305" t="s">
        <v>5329</v>
      </c>
      <c r="L48" s="331">
        <v>45238</v>
      </c>
      <c r="M48" s="331" t="s">
        <v>5333</v>
      </c>
      <c r="N48" s="230"/>
      <c r="O48" s="222" t="s">
        <v>5253</v>
      </c>
      <c r="P48" s="222" t="s">
        <v>902</v>
      </c>
      <c r="Q48" s="222">
        <v>70</v>
      </c>
      <c r="R48" s="222">
        <f>Q48*900+14680+3800+3500</f>
        <v>84980</v>
      </c>
      <c r="S48" s="396" t="s">
        <v>5149</v>
      </c>
      <c r="T48" s="223" t="s">
        <v>5339</v>
      </c>
    </row>
    <row r="49" spans="1:20" ht="14.5">
      <c r="A49" s="111">
        <v>10</v>
      </c>
      <c r="B49" s="305"/>
      <c r="C49" s="402"/>
      <c r="D49" s="431" t="s">
        <v>5328</v>
      </c>
      <c r="E49" s="305" t="s">
        <v>913</v>
      </c>
      <c r="F49" s="305" t="s">
        <v>913</v>
      </c>
      <c r="G49" s="305" t="s">
        <v>901</v>
      </c>
      <c r="H49" s="305"/>
      <c r="I49" s="305"/>
      <c r="J49" s="394" t="s">
        <v>5178</v>
      </c>
      <c r="K49" s="305" t="s">
        <v>5329</v>
      </c>
      <c r="L49" s="331">
        <v>45239</v>
      </c>
      <c r="M49" s="331" t="s">
        <v>5333</v>
      </c>
      <c r="N49" s="230"/>
      <c r="O49" s="222" t="s">
        <v>5253</v>
      </c>
      <c r="P49" s="222" t="s">
        <v>902</v>
      </c>
      <c r="Q49" s="222">
        <v>170</v>
      </c>
      <c r="R49" s="222">
        <f t="shared" si="4"/>
        <v>153000</v>
      </c>
      <c r="S49" s="396" t="s">
        <v>5149</v>
      </c>
      <c r="T49" s="223" t="s">
        <v>5338</v>
      </c>
    </row>
    <row r="50" spans="1:20" ht="14.5">
      <c r="A50" s="111">
        <v>11</v>
      </c>
      <c r="B50" s="150" t="s">
        <v>2209</v>
      </c>
      <c r="C50" s="268" t="s">
        <v>2209</v>
      </c>
      <c r="D50" s="411" t="s">
        <v>5085</v>
      </c>
      <c r="E50" s="152" t="s">
        <v>5086</v>
      </c>
      <c r="F50" s="150" t="s">
        <v>951</v>
      </c>
      <c r="G50" s="153" t="s">
        <v>1435</v>
      </c>
      <c r="H50" s="117">
        <v>13.830496999999999</v>
      </c>
      <c r="I50" s="117">
        <v>100.53220399999999</v>
      </c>
      <c r="J50" s="394" t="s">
        <v>5178</v>
      </c>
      <c r="K50" s="305" t="s">
        <v>5116</v>
      </c>
      <c r="L50" s="331">
        <v>45240</v>
      </c>
      <c r="M50" s="331" t="s">
        <v>5333</v>
      </c>
      <c r="N50" s="230"/>
      <c r="O50" s="222" t="s">
        <v>5253</v>
      </c>
      <c r="P50" s="222" t="s">
        <v>952</v>
      </c>
      <c r="Q50" s="222">
        <v>15</v>
      </c>
      <c r="R50" s="222">
        <f t="shared" si="4"/>
        <v>13500</v>
      </c>
      <c r="S50" s="396" t="s">
        <v>5149</v>
      </c>
      <c r="T50" s="223" t="s">
        <v>5335</v>
      </c>
    </row>
    <row r="51" spans="1:20" ht="23">
      <c r="A51" s="111">
        <v>12</v>
      </c>
      <c r="B51" s="112">
        <v>10</v>
      </c>
      <c r="C51" s="399" t="s">
        <v>2521</v>
      </c>
      <c r="D51" s="416" t="s">
        <v>2522</v>
      </c>
      <c r="E51" s="114" t="s">
        <v>2523</v>
      </c>
      <c r="F51" s="115" t="s">
        <v>1450</v>
      </c>
      <c r="G51" s="115" t="s">
        <v>1451</v>
      </c>
      <c r="H51" s="116">
        <v>13.7215699</v>
      </c>
      <c r="I51" s="116">
        <v>100.52979860000001</v>
      </c>
      <c r="J51" s="394" t="s">
        <v>5178</v>
      </c>
      <c r="K51" s="305" t="s">
        <v>5116</v>
      </c>
      <c r="L51" s="331">
        <v>45239</v>
      </c>
      <c r="M51" s="331" t="s">
        <v>5333</v>
      </c>
      <c r="N51" s="230"/>
      <c r="O51" s="222" t="s">
        <v>5217</v>
      </c>
      <c r="P51" s="222" t="s">
        <v>5288</v>
      </c>
      <c r="Q51" s="222">
        <v>30</v>
      </c>
      <c r="R51" s="222">
        <f t="shared" si="4"/>
        <v>27000</v>
      </c>
      <c r="S51" s="396" t="s">
        <v>5149</v>
      </c>
      <c r="T51" s="223" t="s">
        <v>5338</v>
      </c>
    </row>
    <row r="52" spans="1:20" ht="23">
      <c r="A52" s="111">
        <v>13</v>
      </c>
      <c r="B52" s="112">
        <v>16</v>
      </c>
      <c r="C52" s="399" t="s">
        <v>3544</v>
      </c>
      <c r="D52" s="416" t="s">
        <v>3545</v>
      </c>
      <c r="E52" s="114" t="s">
        <v>3546</v>
      </c>
      <c r="F52" s="115" t="s">
        <v>3125</v>
      </c>
      <c r="G52" s="115" t="s">
        <v>901</v>
      </c>
      <c r="H52" s="116">
        <v>13.7710998</v>
      </c>
      <c r="I52" s="116">
        <v>100.65328169999999</v>
      </c>
      <c r="J52" s="394" t="s">
        <v>5178</v>
      </c>
      <c r="K52" s="305" t="s">
        <v>5116</v>
      </c>
      <c r="L52" s="331">
        <v>45240</v>
      </c>
      <c r="M52" s="331" t="s">
        <v>5333</v>
      </c>
      <c r="N52" s="230"/>
      <c r="O52" s="222" t="s">
        <v>5253</v>
      </c>
      <c r="P52" s="222" t="s">
        <v>902</v>
      </c>
      <c r="Q52" s="222">
        <v>145</v>
      </c>
      <c r="R52" s="222">
        <f t="shared" si="4"/>
        <v>130500</v>
      </c>
      <c r="S52" s="396" t="s">
        <v>5149</v>
      </c>
      <c r="T52" s="223" t="s">
        <v>5335</v>
      </c>
    </row>
    <row r="53" spans="1:20" ht="23">
      <c r="A53" s="111">
        <v>14</v>
      </c>
      <c r="B53" s="305"/>
      <c r="C53" s="402"/>
      <c r="D53" s="432" t="s">
        <v>5324</v>
      </c>
      <c r="E53" s="395" t="s">
        <v>5325</v>
      </c>
      <c r="F53" s="305" t="s">
        <v>1159</v>
      </c>
      <c r="G53" s="305" t="s">
        <v>984</v>
      </c>
      <c r="H53" s="305"/>
      <c r="I53" s="305"/>
      <c r="J53" s="394" t="s">
        <v>5178</v>
      </c>
      <c r="K53" s="305" t="s">
        <v>5330</v>
      </c>
      <c r="L53" s="331">
        <v>45239</v>
      </c>
      <c r="M53" s="331" t="s">
        <v>5333</v>
      </c>
      <c r="N53" s="230"/>
      <c r="O53" s="222" t="s">
        <v>5253</v>
      </c>
      <c r="P53" s="222" t="s">
        <v>952</v>
      </c>
      <c r="Q53" s="222">
        <v>130</v>
      </c>
      <c r="R53" s="222">
        <f t="shared" si="4"/>
        <v>117000</v>
      </c>
      <c r="S53" s="396" t="s">
        <v>5149</v>
      </c>
      <c r="T53" s="223" t="s">
        <v>5340</v>
      </c>
    </row>
    <row r="54" spans="1:20" ht="23.5" thickBot="1">
      <c r="A54" s="111">
        <v>15</v>
      </c>
      <c r="B54" s="305"/>
      <c r="C54" s="402"/>
      <c r="D54" s="433" t="s">
        <v>5326</v>
      </c>
      <c r="E54" s="423" t="s">
        <v>5327</v>
      </c>
      <c r="F54" s="424" t="s">
        <v>1159</v>
      </c>
      <c r="G54" s="424" t="s">
        <v>984</v>
      </c>
      <c r="H54" s="424"/>
      <c r="I54" s="424"/>
      <c r="J54" s="425" t="s">
        <v>5178</v>
      </c>
      <c r="K54" s="424" t="s">
        <v>5330</v>
      </c>
      <c r="L54" s="426">
        <v>45239</v>
      </c>
      <c r="M54" s="426" t="s">
        <v>5333</v>
      </c>
      <c r="N54" s="231"/>
      <c r="O54" s="427" t="s">
        <v>5253</v>
      </c>
      <c r="P54" s="427" t="s">
        <v>952</v>
      </c>
      <c r="Q54" s="427">
        <v>40</v>
      </c>
      <c r="R54" s="427">
        <f t="shared" si="4"/>
        <v>36000</v>
      </c>
      <c r="S54" s="428" t="s">
        <v>5149</v>
      </c>
      <c r="T54" s="429" t="s">
        <v>5340</v>
      </c>
    </row>
    <row r="55" spans="1:20" ht="14.5" thickBot="1">
      <c r="B55" s="150" t="s">
        <v>5092</v>
      </c>
      <c r="C55" s="150" t="s">
        <v>154</v>
      </c>
      <c r="D55" s="151" t="s">
        <v>5111</v>
      </c>
      <c r="E55" s="216" t="s">
        <v>5112</v>
      </c>
      <c r="F55" s="216" t="s">
        <v>1047</v>
      </c>
      <c r="G55" s="216" t="s">
        <v>990</v>
      </c>
      <c r="H55" s="150">
        <v>13.7329458</v>
      </c>
      <c r="I55" s="150">
        <v>100.53810180000001</v>
      </c>
      <c r="J55" s="425" t="s">
        <v>5178</v>
      </c>
      <c r="K55" t="s">
        <v>5116</v>
      </c>
    </row>
    <row r="56" spans="1:20" ht="23.5" thickBot="1">
      <c r="B56" s="112" t="s">
        <v>1114</v>
      </c>
      <c r="C56" s="113" t="s">
        <v>4560</v>
      </c>
      <c r="D56" s="147" t="s">
        <v>4561</v>
      </c>
      <c r="E56" s="114" t="s">
        <v>4562</v>
      </c>
      <c r="F56" s="115" t="s">
        <v>1007</v>
      </c>
      <c r="G56" s="115" t="s">
        <v>990</v>
      </c>
      <c r="H56" s="116">
        <v>13.737754000000001</v>
      </c>
      <c r="I56" s="116">
        <v>100.516954</v>
      </c>
      <c r="J56" s="425" t="s">
        <v>5178</v>
      </c>
      <c r="K56" t="s">
        <v>5116</v>
      </c>
    </row>
    <row r="57" spans="1:20" ht="14.5" thickBot="1">
      <c r="D57" t="s">
        <v>5356</v>
      </c>
      <c r="E57" s="114" t="s">
        <v>5355</v>
      </c>
      <c r="F57" s="115" t="s">
        <v>1007</v>
      </c>
      <c r="G57" s="115" t="s">
        <v>990</v>
      </c>
      <c r="H57" s="116">
        <v>13.737754000000001</v>
      </c>
      <c r="I57" s="116">
        <v>100.516954</v>
      </c>
      <c r="J57" s="425" t="s">
        <v>5178</v>
      </c>
      <c r="K57" t="s">
        <v>5116</v>
      </c>
    </row>
    <row r="58" spans="1:20" ht="14.5" thickBot="1">
      <c r="B58" s="150" t="s">
        <v>5091</v>
      </c>
      <c r="C58" s="150" t="s">
        <v>786</v>
      </c>
      <c r="D58" s="151" t="s">
        <v>5113</v>
      </c>
      <c r="E58" s="216" t="s">
        <v>5114</v>
      </c>
      <c r="F58" s="216" t="s">
        <v>1047</v>
      </c>
      <c r="G58" s="216" t="s">
        <v>990</v>
      </c>
      <c r="H58" s="150">
        <v>13.7371576</v>
      </c>
      <c r="I58" s="150">
        <v>100.538989</v>
      </c>
      <c r="J58" s="425" t="s">
        <v>5178</v>
      </c>
      <c r="K58" t="s">
        <v>5116</v>
      </c>
    </row>
  </sheetData>
  <autoFilter ref="A1:T1" xr:uid="{FE485BDD-AAB5-4859-B803-CA7AA12A27B7}">
    <sortState xmlns:xlrd2="http://schemas.microsoft.com/office/spreadsheetml/2017/richdata2" ref="A40:T54">
      <sortCondition ref="F1"/>
    </sortState>
  </autoFilter>
  <conditionalFormatting sqref="D9">
    <cfRule type="duplicateValues" dxfId="7" priority="6"/>
  </conditionalFormatting>
  <conditionalFormatting sqref="C9">
    <cfRule type="duplicateValues" dxfId="6" priority="5"/>
  </conditionalFormatting>
  <conditionalFormatting sqref="D39">
    <cfRule type="duplicateValues" dxfId="5" priority="4"/>
  </conditionalFormatting>
  <conditionalFormatting sqref="C39">
    <cfRule type="duplicateValues" dxfId="4" priority="3"/>
  </conditionalFormatting>
  <conditionalFormatting sqref="D51">
    <cfRule type="duplicateValues" dxfId="3" priority="2"/>
  </conditionalFormatting>
  <conditionalFormatting sqref="C5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14BB-6F72-4EE3-AF16-DD1035F27B78}">
  <dimension ref="A1:Q6"/>
  <sheetViews>
    <sheetView topLeftCell="F1" workbookViewId="0">
      <selection sqref="A1:Q6"/>
    </sheetView>
  </sheetViews>
  <sheetFormatPr defaultRowHeight="14"/>
  <cols>
    <col min="2" max="2" width="14" customWidth="1"/>
    <col min="4" max="4" width="12.33203125" customWidth="1"/>
    <col min="5" max="5" width="44" customWidth="1"/>
    <col min="6" max="7" width="10.83203125" customWidth="1"/>
    <col min="8" max="8" width="10.25" customWidth="1"/>
    <col min="9" max="9" width="10.83203125" customWidth="1"/>
    <col min="10" max="10" width="9.08203125" customWidth="1"/>
    <col min="11" max="11" width="18.25" customWidth="1"/>
    <col min="12" max="12" width="18.08203125" customWidth="1"/>
    <col min="13" max="13" width="9.08203125" customWidth="1"/>
    <col min="16" max="16" width="16.08203125" customWidth="1"/>
    <col min="17" max="17" width="43.58203125" customWidth="1"/>
    <col min="18" max="18" width="18.75" customWidth="1"/>
  </cols>
  <sheetData>
    <row r="1" spans="1:17" s="264" customFormat="1" ht="25">
      <c r="A1" s="262" t="s">
        <v>867</v>
      </c>
      <c r="B1" s="263" t="s">
        <v>868</v>
      </c>
      <c r="C1" s="397" t="s">
        <v>869</v>
      </c>
      <c r="D1" s="403" t="s">
        <v>870</v>
      </c>
      <c r="E1" s="404" t="s">
        <v>871</v>
      </c>
      <c r="F1" s="404" t="s">
        <v>872</v>
      </c>
      <c r="G1" s="405" t="s">
        <v>873</v>
      </c>
      <c r="H1" s="406" t="s">
        <v>874</v>
      </c>
      <c r="I1" s="406" t="s">
        <v>875</v>
      </c>
      <c r="J1" s="407" t="s">
        <v>5177</v>
      </c>
      <c r="K1" s="407" t="s">
        <v>5179</v>
      </c>
      <c r="L1" s="407" t="s">
        <v>5142</v>
      </c>
      <c r="M1" s="407" t="s">
        <v>5216</v>
      </c>
      <c r="N1" s="407" t="s">
        <v>5214</v>
      </c>
      <c r="O1" s="407" t="s">
        <v>5218</v>
      </c>
      <c r="P1" s="407" t="s">
        <v>5146</v>
      </c>
      <c r="Q1" s="408" t="s">
        <v>5276</v>
      </c>
    </row>
    <row r="2" spans="1:17" ht="23">
      <c r="A2" s="111">
        <v>3</v>
      </c>
      <c r="B2" s="112">
        <v>16</v>
      </c>
      <c r="C2" s="399" t="s">
        <v>2654</v>
      </c>
      <c r="D2" s="416" t="s">
        <v>2655</v>
      </c>
      <c r="E2" s="114" t="s">
        <v>2656</v>
      </c>
      <c r="F2" s="115" t="s">
        <v>2657</v>
      </c>
      <c r="G2" s="115" t="s">
        <v>1000</v>
      </c>
      <c r="H2" s="116">
        <v>13.777339899999999</v>
      </c>
      <c r="I2" s="116">
        <v>100.5262115</v>
      </c>
      <c r="J2" s="394" t="s">
        <v>5178</v>
      </c>
      <c r="K2" s="305" t="s">
        <v>5330</v>
      </c>
      <c r="L2" s="331" t="s">
        <v>5333</v>
      </c>
      <c r="M2" s="222" t="s">
        <v>5253</v>
      </c>
      <c r="N2" s="222" t="s">
        <v>902</v>
      </c>
      <c r="O2" s="222">
        <v>20</v>
      </c>
      <c r="P2" s="396" t="s">
        <v>5149</v>
      </c>
      <c r="Q2" s="223" t="s">
        <v>5336</v>
      </c>
    </row>
    <row r="3" spans="1:17" ht="14.5">
      <c r="A3" s="111">
        <v>4</v>
      </c>
      <c r="B3" s="150" t="s">
        <v>5091</v>
      </c>
      <c r="C3" s="268" t="s">
        <v>53</v>
      </c>
      <c r="D3" s="411" t="s">
        <v>5099</v>
      </c>
      <c r="E3" s="216" t="s">
        <v>5100</v>
      </c>
      <c r="F3" s="216" t="s">
        <v>983</v>
      </c>
      <c r="G3" s="216" t="s">
        <v>990</v>
      </c>
      <c r="H3" s="150">
        <v>13.7406095</v>
      </c>
      <c r="I3" s="150">
        <v>100.53007529999999</v>
      </c>
      <c r="J3" s="394" t="s">
        <v>5178</v>
      </c>
      <c r="K3" s="305" t="s">
        <v>5331</v>
      </c>
      <c r="L3" s="331" t="s">
        <v>5333</v>
      </c>
      <c r="M3" s="222" t="s">
        <v>5253</v>
      </c>
      <c r="N3" s="222" t="s">
        <v>902</v>
      </c>
      <c r="O3" s="222">
        <v>15</v>
      </c>
      <c r="P3" s="396" t="s">
        <v>5149</v>
      </c>
      <c r="Q3" s="223" t="s">
        <v>5337</v>
      </c>
    </row>
    <row r="4" spans="1:17" ht="23">
      <c r="A4" s="111">
        <v>9</v>
      </c>
      <c r="B4" s="112">
        <v>15</v>
      </c>
      <c r="C4" s="399" t="s">
        <v>5019</v>
      </c>
      <c r="D4" s="416" t="s">
        <v>5020</v>
      </c>
      <c r="E4" s="114" t="s">
        <v>5021</v>
      </c>
      <c r="F4" s="115" t="s">
        <v>913</v>
      </c>
      <c r="G4" s="115" t="s">
        <v>936</v>
      </c>
      <c r="H4" s="116">
        <v>13.7544042</v>
      </c>
      <c r="I4" s="116">
        <v>100.5835699</v>
      </c>
      <c r="J4" s="394" t="s">
        <v>5178</v>
      </c>
      <c r="K4" s="305" t="s">
        <v>5329</v>
      </c>
      <c r="L4" s="331" t="s">
        <v>5333</v>
      </c>
      <c r="M4" s="222" t="s">
        <v>5253</v>
      </c>
      <c r="N4" s="222" t="s">
        <v>902</v>
      </c>
      <c r="O4" s="222">
        <v>70</v>
      </c>
      <c r="P4" s="396" t="s">
        <v>5149</v>
      </c>
      <c r="Q4" s="223" t="s">
        <v>5339</v>
      </c>
    </row>
    <row r="5" spans="1:17" ht="14.5">
      <c r="A5" s="111">
        <v>10</v>
      </c>
      <c r="B5" s="305"/>
      <c r="C5" s="402"/>
      <c r="D5" s="434" t="s">
        <v>5328</v>
      </c>
      <c r="E5" s="305" t="s">
        <v>913</v>
      </c>
      <c r="F5" s="305" t="s">
        <v>913</v>
      </c>
      <c r="G5" s="305" t="s">
        <v>901</v>
      </c>
      <c r="H5" s="305"/>
      <c r="I5" s="305"/>
      <c r="J5" s="394" t="s">
        <v>5178</v>
      </c>
      <c r="K5" s="305" t="s">
        <v>5329</v>
      </c>
      <c r="L5" s="331" t="s">
        <v>5333</v>
      </c>
      <c r="M5" s="222" t="s">
        <v>5253</v>
      </c>
      <c r="N5" s="222" t="s">
        <v>902</v>
      </c>
      <c r="O5" s="222">
        <v>170</v>
      </c>
      <c r="P5" s="396" t="s">
        <v>5149</v>
      </c>
      <c r="Q5" s="223" t="s">
        <v>5338</v>
      </c>
    </row>
    <row r="6" spans="1:17" ht="23">
      <c r="A6" s="111">
        <v>13</v>
      </c>
      <c r="B6" s="112">
        <v>16</v>
      </c>
      <c r="C6" s="399" t="s">
        <v>3544</v>
      </c>
      <c r="D6" s="416" t="s">
        <v>3545</v>
      </c>
      <c r="E6" s="114" t="s">
        <v>3546</v>
      </c>
      <c r="F6" s="115" t="s">
        <v>3125</v>
      </c>
      <c r="G6" s="115" t="s">
        <v>901</v>
      </c>
      <c r="H6" s="116">
        <v>13.7710998</v>
      </c>
      <c r="I6" s="116">
        <v>100.65328169999999</v>
      </c>
      <c r="J6" s="394" t="s">
        <v>5178</v>
      </c>
      <c r="K6" s="305" t="s">
        <v>5116</v>
      </c>
      <c r="L6" s="331" t="s">
        <v>5333</v>
      </c>
      <c r="M6" s="222" t="s">
        <v>5253</v>
      </c>
      <c r="N6" s="222" t="s">
        <v>902</v>
      </c>
      <c r="O6" s="222">
        <v>145</v>
      </c>
      <c r="P6" s="396" t="s">
        <v>5149</v>
      </c>
      <c r="Q6" s="223" t="s">
        <v>5335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8A5E-B795-4FCA-B526-046DD7CC33C5}">
  <dimension ref="A1:Q4"/>
  <sheetViews>
    <sheetView zoomScale="71" zoomScaleNormal="71" workbookViewId="0">
      <selection activeCell="L19" sqref="L19"/>
    </sheetView>
  </sheetViews>
  <sheetFormatPr defaultRowHeight="14"/>
  <cols>
    <col min="4" max="4" width="12.33203125" customWidth="1"/>
    <col min="5" max="5" width="44" customWidth="1"/>
    <col min="6" max="7" width="10.83203125" customWidth="1"/>
    <col min="8" max="8" width="10.25" customWidth="1"/>
    <col min="9" max="9" width="10.83203125" customWidth="1"/>
    <col min="11" max="11" width="18.25" customWidth="1"/>
    <col min="12" max="12" width="18.08203125" customWidth="1"/>
    <col min="16" max="16" width="16.08203125" customWidth="1"/>
    <col min="17" max="17" width="43.58203125" customWidth="1"/>
    <col min="18" max="18" width="18.75" customWidth="1"/>
  </cols>
  <sheetData>
    <row r="1" spans="1:17" s="264" customFormat="1" ht="25">
      <c r="A1" s="262" t="s">
        <v>867</v>
      </c>
      <c r="B1" s="263" t="s">
        <v>868</v>
      </c>
      <c r="C1" s="397" t="s">
        <v>869</v>
      </c>
      <c r="D1" s="403" t="s">
        <v>870</v>
      </c>
      <c r="E1" s="404" t="s">
        <v>871</v>
      </c>
      <c r="F1" s="404" t="s">
        <v>872</v>
      </c>
      <c r="G1" s="405" t="s">
        <v>873</v>
      </c>
      <c r="H1" s="406" t="s">
        <v>874</v>
      </c>
      <c r="I1" s="406" t="s">
        <v>875</v>
      </c>
      <c r="J1" s="407" t="s">
        <v>5177</v>
      </c>
      <c r="K1" s="407" t="s">
        <v>5179</v>
      </c>
      <c r="L1" s="407" t="s">
        <v>5142</v>
      </c>
      <c r="M1" s="407" t="s">
        <v>5216</v>
      </c>
      <c r="N1" s="407" t="s">
        <v>5214</v>
      </c>
      <c r="O1" s="407" t="s">
        <v>5218</v>
      </c>
      <c r="P1" s="407" t="s">
        <v>5146</v>
      </c>
      <c r="Q1" s="408" t="s">
        <v>5276</v>
      </c>
    </row>
    <row r="2" spans="1:17" ht="23">
      <c r="A2" s="111">
        <v>5</v>
      </c>
      <c r="B2" s="112">
        <v>16</v>
      </c>
      <c r="C2" s="399" t="s">
        <v>1205</v>
      </c>
      <c r="D2" s="416" t="s">
        <v>1206</v>
      </c>
      <c r="E2" s="114" t="s">
        <v>1207</v>
      </c>
      <c r="F2" s="115" t="s">
        <v>917</v>
      </c>
      <c r="G2" s="115" t="s">
        <v>918</v>
      </c>
      <c r="H2" s="115">
        <v>13.6889197</v>
      </c>
      <c r="I2" s="115">
        <v>100.5475471</v>
      </c>
      <c r="J2" s="394" t="s">
        <v>5178</v>
      </c>
      <c r="K2" s="305" t="s">
        <v>5329</v>
      </c>
      <c r="L2" s="331" t="s">
        <v>5333</v>
      </c>
      <c r="M2" s="222" t="s">
        <v>5217</v>
      </c>
      <c r="N2" s="222" t="s">
        <v>952</v>
      </c>
      <c r="O2" s="222">
        <v>30</v>
      </c>
      <c r="P2" s="396" t="s">
        <v>5149</v>
      </c>
      <c r="Q2" s="223" t="s">
        <v>5338</v>
      </c>
    </row>
    <row r="3" spans="1:17" ht="23">
      <c r="A3" s="111">
        <v>6</v>
      </c>
      <c r="B3" s="112">
        <v>2</v>
      </c>
      <c r="C3" s="399" t="s">
        <v>2356</v>
      </c>
      <c r="D3" s="419" t="s">
        <v>2357</v>
      </c>
      <c r="E3" s="114" t="s">
        <v>2358</v>
      </c>
      <c r="F3" s="115" t="s">
        <v>999</v>
      </c>
      <c r="G3" s="115" t="s">
        <v>1000</v>
      </c>
      <c r="H3" s="116">
        <v>13.780749</v>
      </c>
      <c r="I3" s="116">
        <v>100.523076</v>
      </c>
      <c r="J3" s="394" t="s">
        <v>5178</v>
      </c>
      <c r="K3" s="305" t="s">
        <v>5116</v>
      </c>
      <c r="L3" s="331" t="s">
        <v>5333</v>
      </c>
      <c r="M3" s="222" t="s">
        <v>5253</v>
      </c>
      <c r="N3" s="222" t="s">
        <v>952</v>
      </c>
      <c r="O3" s="222">
        <v>85</v>
      </c>
      <c r="P3" s="396" t="s">
        <v>5149</v>
      </c>
      <c r="Q3" s="223" t="s">
        <v>5336</v>
      </c>
    </row>
    <row r="4" spans="1:17" ht="23">
      <c r="A4" s="111">
        <v>12</v>
      </c>
      <c r="B4" s="112">
        <v>10</v>
      </c>
      <c r="C4" s="399" t="s">
        <v>2521</v>
      </c>
      <c r="D4" s="416" t="s">
        <v>2522</v>
      </c>
      <c r="E4" s="114" t="s">
        <v>2523</v>
      </c>
      <c r="F4" s="115" t="s">
        <v>1450</v>
      </c>
      <c r="G4" s="115" t="s">
        <v>1451</v>
      </c>
      <c r="H4" s="116">
        <v>13.7215699</v>
      </c>
      <c r="I4" s="116">
        <v>100.52979860000001</v>
      </c>
      <c r="J4" s="394" t="s">
        <v>5178</v>
      </c>
      <c r="K4" s="305" t="s">
        <v>5116</v>
      </c>
      <c r="L4" s="331" t="s">
        <v>5333</v>
      </c>
      <c r="M4" s="222" t="s">
        <v>5217</v>
      </c>
      <c r="N4" s="222" t="s">
        <v>952</v>
      </c>
      <c r="O4" s="222">
        <v>30</v>
      </c>
      <c r="P4" s="396" t="s">
        <v>5149</v>
      </c>
      <c r="Q4" s="223" t="s">
        <v>5338</v>
      </c>
    </row>
  </sheetData>
  <conditionalFormatting sqref="D4">
    <cfRule type="duplicateValues" dxfId="1" priority="2"/>
  </conditionalFormatting>
  <conditionalFormatting sqref="C4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BB67-9237-492C-873B-10B273484ABE}">
  <dimension ref="A1:Q8"/>
  <sheetViews>
    <sheetView zoomScale="82" zoomScaleNormal="82" workbookViewId="0">
      <selection activeCell="E17" sqref="E17"/>
    </sheetView>
  </sheetViews>
  <sheetFormatPr defaultRowHeight="14"/>
  <cols>
    <col min="4" max="4" width="12.33203125" customWidth="1"/>
    <col min="5" max="5" width="44" customWidth="1"/>
    <col min="6" max="7" width="10.83203125" customWidth="1"/>
    <col min="8" max="9" width="12.33203125" customWidth="1"/>
    <col min="11" max="11" width="18.25" customWidth="1"/>
    <col min="12" max="12" width="18.08203125" customWidth="1"/>
    <col min="16" max="16" width="16.08203125" customWidth="1"/>
    <col min="17" max="17" width="43.58203125" customWidth="1"/>
    <col min="18" max="18" width="18.75" customWidth="1"/>
  </cols>
  <sheetData>
    <row r="1" spans="1:17" s="264" customFormat="1" ht="25">
      <c r="A1" s="262" t="s">
        <v>867</v>
      </c>
      <c r="B1" s="263" t="s">
        <v>868</v>
      </c>
      <c r="C1" s="397" t="s">
        <v>869</v>
      </c>
      <c r="D1" s="403" t="s">
        <v>870</v>
      </c>
      <c r="E1" s="404" t="s">
        <v>871</v>
      </c>
      <c r="F1" s="404" t="s">
        <v>872</v>
      </c>
      <c r="G1" s="405" t="s">
        <v>873</v>
      </c>
      <c r="H1" s="406" t="s">
        <v>874</v>
      </c>
      <c r="I1" s="406" t="s">
        <v>875</v>
      </c>
      <c r="J1" s="407" t="s">
        <v>5177</v>
      </c>
      <c r="K1" s="407" t="s">
        <v>5179</v>
      </c>
      <c r="L1" s="407" t="s">
        <v>5142</v>
      </c>
      <c r="M1" s="407" t="s">
        <v>5216</v>
      </c>
      <c r="N1" s="407" t="s">
        <v>5214</v>
      </c>
      <c r="O1" s="407" t="s">
        <v>5218</v>
      </c>
      <c r="P1" s="407" t="s">
        <v>5146</v>
      </c>
      <c r="Q1" s="408" t="s">
        <v>5276</v>
      </c>
    </row>
    <row r="2" spans="1:17" ht="23">
      <c r="A2" s="111">
        <v>1</v>
      </c>
      <c r="B2" s="128">
        <v>16</v>
      </c>
      <c r="C2" s="398" t="s">
        <v>3384</v>
      </c>
      <c r="D2" s="416" t="s">
        <v>3385</v>
      </c>
      <c r="E2" s="156" t="s">
        <v>3386</v>
      </c>
      <c r="F2" s="117" t="s">
        <v>2788</v>
      </c>
      <c r="G2" s="148" t="s">
        <v>2789</v>
      </c>
      <c r="H2" s="117" t="s">
        <v>3387</v>
      </c>
      <c r="I2" s="117">
        <v>100.50754999999999</v>
      </c>
      <c r="J2" s="394" t="s">
        <v>5178</v>
      </c>
      <c r="K2" s="305" t="s">
        <v>5116</v>
      </c>
      <c r="L2" s="331" t="s">
        <v>5333</v>
      </c>
      <c r="M2" s="222" t="s">
        <v>5217</v>
      </c>
      <c r="N2" s="222" t="s">
        <v>952</v>
      </c>
      <c r="O2" s="222">
        <v>85</v>
      </c>
      <c r="P2" s="396" t="s">
        <v>5149</v>
      </c>
      <c r="Q2" s="223" t="s">
        <v>5334</v>
      </c>
    </row>
    <row r="3" spans="1:17" ht="23">
      <c r="A3" s="111">
        <v>2</v>
      </c>
      <c r="B3" s="112">
        <v>11</v>
      </c>
      <c r="C3" s="398" t="s">
        <v>4575</v>
      </c>
      <c r="D3" s="419" t="s">
        <v>4576</v>
      </c>
      <c r="E3" s="114" t="s">
        <v>4577</v>
      </c>
      <c r="F3" s="115" t="s">
        <v>3801</v>
      </c>
      <c r="G3" s="115" t="s">
        <v>1435</v>
      </c>
      <c r="H3" s="116">
        <v>13.800672</v>
      </c>
      <c r="I3" s="116">
        <v>100.538371</v>
      </c>
      <c r="J3" s="394" t="s">
        <v>5178</v>
      </c>
      <c r="K3" s="305" t="s">
        <v>5330</v>
      </c>
      <c r="L3" s="331" t="s">
        <v>5333</v>
      </c>
      <c r="M3" s="222" t="s">
        <v>5253</v>
      </c>
      <c r="N3" s="222" t="s">
        <v>952</v>
      </c>
      <c r="O3" s="222">
        <v>40</v>
      </c>
      <c r="P3" s="396" t="s">
        <v>5149</v>
      </c>
      <c r="Q3" s="223" t="s">
        <v>5335</v>
      </c>
    </row>
    <row r="4" spans="1:17" ht="23">
      <c r="A4" s="111">
        <v>7</v>
      </c>
      <c r="B4" s="112">
        <v>1</v>
      </c>
      <c r="C4" s="399" t="s">
        <v>3832</v>
      </c>
      <c r="D4" s="416" t="s">
        <v>3833</v>
      </c>
      <c r="E4" s="114" t="s">
        <v>3834</v>
      </c>
      <c r="F4" s="115" t="s">
        <v>1910</v>
      </c>
      <c r="G4" s="115" t="s">
        <v>983</v>
      </c>
      <c r="H4" s="116">
        <v>13.792249</v>
      </c>
      <c r="I4" s="116">
        <v>100.53794600000001</v>
      </c>
      <c r="J4" s="394" t="s">
        <v>5178</v>
      </c>
      <c r="K4" s="305" t="s">
        <v>5116</v>
      </c>
      <c r="L4" s="331" t="s">
        <v>5333</v>
      </c>
      <c r="M4" s="222" t="s">
        <v>5253</v>
      </c>
      <c r="N4" s="222" t="s">
        <v>952</v>
      </c>
      <c r="O4" s="222">
        <v>30</v>
      </c>
      <c r="P4" s="396" t="s">
        <v>5149</v>
      </c>
      <c r="Q4" s="223" t="s">
        <v>5335</v>
      </c>
    </row>
    <row r="5" spans="1:17" ht="23">
      <c r="A5" s="111">
        <v>8</v>
      </c>
      <c r="B5" s="112">
        <v>5</v>
      </c>
      <c r="C5" s="398" t="s">
        <v>4509</v>
      </c>
      <c r="D5" s="416" t="s">
        <v>4510</v>
      </c>
      <c r="E5" s="114" t="s">
        <v>4511</v>
      </c>
      <c r="F5" s="115" t="s">
        <v>1910</v>
      </c>
      <c r="G5" s="115" t="s">
        <v>983</v>
      </c>
      <c r="H5" s="115">
        <v>13.7968853</v>
      </c>
      <c r="I5" s="115">
        <v>100.5381723</v>
      </c>
      <c r="J5" s="394" t="s">
        <v>5178</v>
      </c>
      <c r="K5" s="305" t="s">
        <v>5329</v>
      </c>
      <c r="L5" s="331" t="s">
        <v>5333</v>
      </c>
      <c r="M5" s="222" t="s">
        <v>5253</v>
      </c>
      <c r="N5" s="222" t="s">
        <v>952</v>
      </c>
      <c r="O5" s="222">
        <v>35</v>
      </c>
      <c r="P5" s="396" t="s">
        <v>5149</v>
      </c>
      <c r="Q5" s="223" t="s">
        <v>5335</v>
      </c>
    </row>
    <row r="6" spans="1:17" ht="14.5">
      <c r="A6" s="111">
        <v>11</v>
      </c>
      <c r="B6" s="150" t="s">
        <v>2209</v>
      </c>
      <c r="C6" s="268" t="s">
        <v>2209</v>
      </c>
      <c r="D6" s="411" t="s">
        <v>5085</v>
      </c>
      <c r="E6" s="152" t="s">
        <v>5086</v>
      </c>
      <c r="F6" s="150" t="s">
        <v>951</v>
      </c>
      <c r="G6" s="153" t="s">
        <v>1435</v>
      </c>
      <c r="H6" s="117">
        <v>13.830496999999999</v>
      </c>
      <c r="I6" s="117">
        <v>100.53220399999999</v>
      </c>
      <c r="J6" s="394" t="s">
        <v>5178</v>
      </c>
      <c r="K6" s="305" t="s">
        <v>5116</v>
      </c>
      <c r="L6" s="331" t="s">
        <v>5333</v>
      </c>
      <c r="M6" s="222" t="s">
        <v>5253</v>
      </c>
      <c r="N6" s="222" t="s">
        <v>952</v>
      </c>
      <c r="O6" s="222">
        <v>15</v>
      </c>
      <c r="P6" s="396" t="s">
        <v>5149</v>
      </c>
      <c r="Q6" s="223" t="s">
        <v>5335</v>
      </c>
    </row>
    <row r="7" spans="1:17" ht="23">
      <c r="A7" s="111">
        <v>14</v>
      </c>
      <c r="B7" s="305"/>
      <c r="C7" s="402"/>
      <c r="D7" s="435" t="s">
        <v>5324</v>
      </c>
      <c r="E7" s="395" t="s">
        <v>5325</v>
      </c>
      <c r="F7" s="305" t="s">
        <v>1159</v>
      </c>
      <c r="G7" s="305" t="s">
        <v>984</v>
      </c>
      <c r="H7" s="305"/>
      <c r="I7" s="305"/>
      <c r="J7" s="394" t="s">
        <v>5178</v>
      </c>
      <c r="K7" s="305" t="s">
        <v>5330</v>
      </c>
      <c r="L7" s="331" t="s">
        <v>5333</v>
      </c>
      <c r="M7" s="222" t="s">
        <v>5253</v>
      </c>
      <c r="N7" s="222" t="s">
        <v>952</v>
      </c>
      <c r="O7" s="222">
        <v>130</v>
      </c>
      <c r="P7" s="396" t="s">
        <v>5149</v>
      </c>
      <c r="Q7" s="223" t="s">
        <v>5340</v>
      </c>
    </row>
    <row r="8" spans="1:17" ht="23.5" thickBot="1">
      <c r="A8" s="111">
        <v>15</v>
      </c>
      <c r="B8" s="305"/>
      <c r="C8" s="402"/>
      <c r="D8" s="436" t="s">
        <v>5326</v>
      </c>
      <c r="E8" s="423" t="s">
        <v>5327</v>
      </c>
      <c r="F8" s="424" t="s">
        <v>1159</v>
      </c>
      <c r="G8" s="424" t="s">
        <v>984</v>
      </c>
      <c r="H8" s="424"/>
      <c r="I8" s="424"/>
      <c r="J8" s="425" t="s">
        <v>5178</v>
      </c>
      <c r="K8" s="424" t="s">
        <v>5330</v>
      </c>
      <c r="L8" s="426" t="s">
        <v>5333</v>
      </c>
      <c r="M8" s="427" t="s">
        <v>5253</v>
      </c>
      <c r="N8" s="427" t="s">
        <v>952</v>
      </c>
      <c r="O8" s="427">
        <v>40</v>
      </c>
      <c r="P8" s="428" t="s">
        <v>5149</v>
      </c>
      <c r="Q8" s="429" t="s">
        <v>5340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1426-3F8E-437D-AD3D-BD8DFB813DF0}">
  <dimension ref="A1:M7"/>
  <sheetViews>
    <sheetView workbookViewId="0">
      <selection activeCell="I11" sqref="I11"/>
    </sheetView>
  </sheetViews>
  <sheetFormatPr defaultRowHeight="14"/>
  <cols>
    <col min="3" max="3" width="16.75" customWidth="1"/>
    <col min="5" max="5" width="47.75" customWidth="1"/>
    <col min="6" max="6" width="10.58203125" customWidth="1"/>
    <col min="8" max="8" width="15" customWidth="1"/>
    <col min="9" max="9" width="14" customWidth="1"/>
    <col min="11" max="11" width="11.83203125" customWidth="1"/>
    <col min="13" max="13" width="10.58203125" bestFit="1" customWidth="1"/>
  </cols>
  <sheetData>
    <row r="1" spans="1:13" ht="28">
      <c r="A1" s="100" t="s">
        <v>867</v>
      </c>
      <c r="B1" s="101" t="s">
        <v>868</v>
      </c>
      <c r="C1" s="101" t="s">
        <v>869</v>
      </c>
      <c r="D1" s="101" t="s">
        <v>870</v>
      </c>
      <c r="E1" s="101" t="s">
        <v>871</v>
      </c>
      <c r="F1" s="101" t="s">
        <v>872</v>
      </c>
      <c r="G1" s="102" t="s">
        <v>873</v>
      </c>
      <c r="H1" s="103" t="s">
        <v>874</v>
      </c>
      <c r="I1" s="103" t="s">
        <v>875</v>
      </c>
      <c r="J1" s="313" t="s">
        <v>5177</v>
      </c>
      <c r="K1" s="313" t="s">
        <v>5179</v>
      </c>
      <c r="L1" s="230" t="s">
        <v>5261</v>
      </c>
      <c r="M1" s="230" t="s">
        <v>5215</v>
      </c>
    </row>
    <row r="2" spans="1:13" ht="23">
      <c r="A2" s="111">
        <v>1</v>
      </c>
      <c r="B2" s="112" t="s">
        <v>919</v>
      </c>
      <c r="C2" s="122" t="s">
        <v>2834</v>
      </c>
      <c r="D2" s="147" t="s">
        <v>2835</v>
      </c>
      <c r="E2" s="123" t="s">
        <v>2836</v>
      </c>
      <c r="F2" s="116" t="s">
        <v>1190</v>
      </c>
      <c r="G2" s="116" t="s">
        <v>957</v>
      </c>
      <c r="H2" s="116">
        <v>13.756192199999999</v>
      </c>
      <c r="I2" s="116">
        <v>100.5424945</v>
      </c>
      <c r="J2" s="312" t="s">
        <v>5178</v>
      </c>
      <c r="K2" s="312" t="s">
        <v>5231</v>
      </c>
      <c r="L2" s="116" t="s">
        <v>5262</v>
      </c>
      <c r="M2" s="228">
        <v>3500</v>
      </c>
    </row>
    <row r="3" spans="1:13" ht="23">
      <c r="A3" s="111">
        <v>2</v>
      </c>
      <c r="B3" s="112" t="s">
        <v>919</v>
      </c>
      <c r="C3" s="113" t="s">
        <v>3982</v>
      </c>
      <c r="D3" s="147" t="s">
        <v>3983</v>
      </c>
      <c r="E3" s="114" t="s">
        <v>3984</v>
      </c>
      <c r="F3" s="115" t="s">
        <v>913</v>
      </c>
      <c r="G3" s="115" t="s">
        <v>1030</v>
      </c>
      <c r="H3" s="116">
        <v>13.741405800000001</v>
      </c>
      <c r="I3" s="116">
        <v>100.6177347</v>
      </c>
      <c r="J3" s="274" t="s">
        <v>5178</v>
      </c>
      <c r="K3" s="312" t="s">
        <v>5231</v>
      </c>
      <c r="L3" s="116" t="s">
        <v>5262</v>
      </c>
      <c r="M3" s="228">
        <v>3500</v>
      </c>
    </row>
    <row r="4" spans="1:13" ht="23">
      <c r="A4" s="111">
        <v>3</v>
      </c>
      <c r="B4" s="112">
        <v>13</v>
      </c>
      <c r="C4" s="113" t="s">
        <v>3442</v>
      </c>
      <c r="D4" s="147" t="s">
        <v>3443</v>
      </c>
      <c r="E4" s="123" t="s">
        <v>3444</v>
      </c>
      <c r="F4" s="115" t="s">
        <v>951</v>
      </c>
      <c r="G4" s="115" t="s">
        <v>1435</v>
      </c>
      <c r="H4" s="116">
        <v>13.830894799999999</v>
      </c>
      <c r="I4" s="116">
        <v>100.53477530000001</v>
      </c>
      <c r="J4" s="312" t="s">
        <v>5178</v>
      </c>
      <c r="K4" s="312" t="s">
        <v>5231</v>
      </c>
      <c r="L4" s="116" t="s">
        <v>5262</v>
      </c>
      <c r="M4" s="228">
        <v>3500</v>
      </c>
    </row>
    <row r="5" spans="1:13" ht="23">
      <c r="A5" s="111">
        <v>4</v>
      </c>
      <c r="B5" s="112">
        <v>8</v>
      </c>
      <c r="C5" s="113" t="s">
        <v>4849</v>
      </c>
      <c r="D5" s="147" t="s">
        <v>4850</v>
      </c>
      <c r="E5" s="114" t="s">
        <v>4851</v>
      </c>
      <c r="F5" s="115" t="s">
        <v>1159</v>
      </c>
      <c r="G5" s="115" t="s">
        <v>1018</v>
      </c>
      <c r="H5" s="116">
        <v>13.706518000000001</v>
      </c>
      <c r="I5" s="116">
        <v>100.600632</v>
      </c>
      <c r="J5" s="274" t="s">
        <v>5178</v>
      </c>
      <c r="K5" s="312" t="s">
        <v>5231</v>
      </c>
      <c r="L5" s="116" t="s">
        <v>5262</v>
      </c>
      <c r="M5" s="228">
        <v>3500</v>
      </c>
    </row>
    <row r="6" spans="1:13" ht="23">
      <c r="A6" s="111">
        <v>5</v>
      </c>
      <c r="B6" s="112" t="s">
        <v>979</v>
      </c>
      <c r="C6" s="113" t="s">
        <v>4852</v>
      </c>
      <c r="D6" s="147" t="s">
        <v>4853</v>
      </c>
      <c r="E6" s="114" t="s">
        <v>4854</v>
      </c>
      <c r="F6" s="115" t="s">
        <v>1159</v>
      </c>
      <c r="G6" s="115" t="s">
        <v>984</v>
      </c>
      <c r="H6" s="116">
        <v>13.707305</v>
      </c>
      <c r="I6" s="116">
        <v>100.600025</v>
      </c>
      <c r="J6" s="274" t="s">
        <v>5178</v>
      </c>
      <c r="K6" s="312" t="s">
        <v>5231</v>
      </c>
      <c r="L6" s="116" t="s">
        <v>5262</v>
      </c>
      <c r="M6" s="228">
        <v>3500</v>
      </c>
    </row>
    <row r="7" spans="1:13">
      <c r="A7" s="222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8">
        <f>SUM(M2:M6)</f>
        <v>17500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9028-3776-41E3-992C-ACF39316751B}">
  <dimension ref="A1:G5"/>
  <sheetViews>
    <sheetView zoomScale="91" zoomScaleNormal="91" workbookViewId="0">
      <selection activeCell="C10" sqref="C10"/>
    </sheetView>
  </sheetViews>
  <sheetFormatPr defaultRowHeight="14"/>
  <cols>
    <col min="1" max="1" width="18.58203125" customWidth="1"/>
    <col min="2" max="2" width="14.83203125" customWidth="1"/>
    <col min="3" max="3" width="58.83203125" customWidth="1"/>
    <col min="4" max="4" width="25.33203125" customWidth="1"/>
    <col min="5" max="5" width="43.33203125" customWidth="1"/>
    <col min="6" max="6" width="13.25" customWidth="1"/>
    <col min="7" max="7" width="17.75" customWidth="1"/>
    <col min="8" max="8" width="16.33203125" customWidth="1"/>
    <col min="9" max="9" width="16.08203125" customWidth="1"/>
    <col min="13" max="13" width="13.33203125" customWidth="1"/>
    <col min="14" max="14" width="11.58203125" customWidth="1"/>
    <col min="15" max="15" width="12.25" customWidth="1"/>
  </cols>
  <sheetData>
    <row r="1" spans="1:7">
      <c r="A1" s="101" t="s">
        <v>869</v>
      </c>
      <c r="B1" s="101" t="s">
        <v>870</v>
      </c>
      <c r="C1" s="101" t="s">
        <v>871</v>
      </c>
      <c r="D1" s="101" t="s">
        <v>872</v>
      </c>
      <c r="E1" s="102" t="s">
        <v>873</v>
      </c>
      <c r="F1" s="103" t="s">
        <v>874</v>
      </c>
      <c r="G1" s="103" t="s">
        <v>875</v>
      </c>
    </row>
    <row r="2" spans="1:7" ht="23">
      <c r="A2" s="113" t="s">
        <v>1256</v>
      </c>
      <c r="B2" s="147" t="s">
        <v>1257</v>
      </c>
      <c r="C2" s="114" t="s">
        <v>5128</v>
      </c>
      <c r="D2" s="115" t="s">
        <v>1159</v>
      </c>
      <c r="E2" s="115" t="s">
        <v>1018</v>
      </c>
      <c r="F2" s="116">
        <v>13.7357117</v>
      </c>
      <c r="G2" s="116">
        <v>100.5623995</v>
      </c>
    </row>
    <row r="3" spans="1:7" ht="23">
      <c r="A3" s="113" t="s">
        <v>1283</v>
      </c>
      <c r="B3" s="147" t="s">
        <v>1284</v>
      </c>
      <c r="C3" s="114" t="s">
        <v>5321</v>
      </c>
      <c r="D3" s="115" t="s">
        <v>5322</v>
      </c>
      <c r="E3" s="115" t="s">
        <v>984</v>
      </c>
      <c r="F3" s="116">
        <v>13.721736</v>
      </c>
      <c r="G3" s="116">
        <v>100.559763</v>
      </c>
    </row>
    <row r="4" spans="1:7" ht="23">
      <c r="A4" s="113" t="s">
        <v>2605</v>
      </c>
      <c r="B4" s="147" t="s">
        <v>2606</v>
      </c>
      <c r="C4" s="114" t="s">
        <v>5323</v>
      </c>
      <c r="D4" s="115" t="s">
        <v>5322</v>
      </c>
      <c r="E4" s="115" t="s">
        <v>984</v>
      </c>
      <c r="F4" s="115">
        <v>13.721413</v>
      </c>
      <c r="G4" s="115">
        <v>100.55960399999999</v>
      </c>
    </row>
    <row r="5" spans="1:7" ht="23">
      <c r="A5" s="122" t="s">
        <v>4435</v>
      </c>
      <c r="B5" s="147" t="s">
        <v>4436</v>
      </c>
      <c r="C5" s="123" t="s">
        <v>4437</v>
      </c>
      <c r="D5" s="116" t="s">
        <v>994</v>
      </c>
      <c r="E5" s="116" t="s">
        <v>1094</v>
      </c>
      <c r="F5" s="116">
        <v>13.807052000000001</v>
      </c>
      <c r="G5" s="116">
        <v>100.55672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ACFD-F19F-4209-8F29-BF87DC1E34E8}">
  <dimension ref="A1:J2"/>
  <sheetViews>
    <sheetView zoomScaleNormal="100" workbookViewId="0">
      <selection activeCell="G9" sqref="G9"/>
    </sheetView>
  </sheetViews>
  <sheetFormatPr defaultRowHeight="14"/>
  <cols>
    <col min="1" max="1" width="22" customWidth="1"/>
    <col min="2" max="2" width="17.75" customWidth="1"/>
    <col min="3" max="3" width="17.08203125" customWidth="1"/>
    <col min="4" max="4" width="29" customWidth="1"/>
    <col min="7" max="8" width="14.83203125" customWidth="1"/>
    <col min="9" max="9" width="14.08203125" customWidth="1"/>
    <col min="10" max="10" width="14" customWidth="1"/>
  </cols>
  <sheetData>
    <row r="1" spans="1:10" ht="14.5" thickBot="1">
      <c r="A1" s="524" t="s">
        <v>868</v>
      </c>
      <c r="B1" s="525" t="s">
        <v>5087</v>
      </c>
      <c r="C1" s="525" t="s">
        <v>5088</v>
      </c>
      <c r="D1" s="526" t="s">
        <v>871</v>
      </c>
      <c r="E1" s="526" t="s">
        <v>872</v>
      </c>
      <c r="F1" s="527" t="s">
        <v>873</v>
      </c>
      <c r="G1" s="528" t="s">
        <v>874</v>
      </c>
      <c r="H1" s="528" t="s">
        <v>875</v>
      </c>
      <c r="I1" s="529" t="s">
        <v>878</v>
      </c>
      <c r="J1" s="530" t="s">
        <v>879</v>
      </c>
    </row>
    <row r="2" spans="1:10" ht="14.5" thickBot="1">
      <c r="A2" s="519" t="s">
        <v>5092</v>
      </c>
      <c r="B2" s="520" t="s">
        <v>114</v>
      </c>
      <c r="C2" s="520" t="s">
        <v>5118</v>
      </c>
      <c r="D2" s="521" t="s">
        <v>5119</v>
      </c>
      <c r="E2" s="521" t="s">
        <v>2000</v>
      </c>
      <c r="F2" s="521" t="s">
        <v>957</v>
      </c>
      <c r="G2" s="522">
        <v>13.762601</v>
      </c>
      <c r="H2" s="522">
        <v>100.52426610000001</v>
      </c>
      <c r="I2" s="520">
        <v>96930561</v>
      </c>
      <c r="J2" s="523" t="s">
        <v>1050</v>
      </c>
    </row>
  </sheetData>
  <pageMargins left="0.7" right="0.7" top="0.75" bottom="0.75" header="0.3" footer="0.3"/>
  <pageSetup scale="5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F158-1C7F-4CEB-9F4A-E192B6012FD6}">
  <dimension ref="A1:V30"/>
  <sheetViews>
    <sheetView view="pageBreakPreview" topLeftCell="A4" zoomScale="73" zoomScaleNormal="100" zoomScaleSheetLayoutView="73" workbookViewId="0">
      <selection activeCell="Q27" sqref="Q27"/>
    </sheetView>
  </sheetViews>
  <sheetFormatPr defaultRowHeight="14"/>
  <cols>
    <col min="1" max="1" width="8.58203125" customWidth="1"/>
    <col min="2" max="2" width="7.25" customWidth="1"/>
    <col min="3" max="4" width="2.83203125" customWidth="1"/>
    <col min="5" max="5" width="9.58203125" customWidth="1"/>
    <col min="6" max="6" width="4.25" customWidth="1"/>
    <col min="7" max="7" width="9.83203125" customWidth="1"/>
    <col min="8" max="9" width="3.33203125" customWidth="1"/>
    <col min="11" max="11" width="4.25" customWidth="1"/>
    <col min="13" max="13" width="4.08203125" customWidth="1"/>
    <col min="14" max="14" width="9" customWidth="1"/>
    <col min="15" max="15" width="4.08203125" customWidth="1"/>
    <col min="16" max="16" width="13.83203125" customWidth="1"/>
    <col min="17" max="17" width="6.83203125" customWidth="1"/>
    <col min="18" max="18" width="3.08203125" customWidth="1"/>
    <col min="21" max="21" width="3.33203125" customWidth="1"/>
    <col min="22" max="22" width="4.08203125" customWidth="1"/>
  </cols>
  <sheetData>
    <row r="1" spans="1:21" ht="15.75" customHeight="1"/>
    <row r="2" spans="1:21" ht="15.75" customHeight="1"/>
    <row r="3" spans="1:21" ht="15.75" customHeight="1">
      <c r="M3" s="365"/>
    </row>
    <row r="4" spans="1:21">
      <c r="F4" s="365"/>
      <c r="M4" s="366"/>
    </row>
    <row r="5" spans="1:21" ht="14.5" thickBot="1">
      <c r="F5" s="366"/>
      <c r="M5" s="366"/>
    </row>
    <row r="6" spans="1:21" ht="14.5" thickBot="1">
      <c r="B6" s="377"/>
      <c r="C6" s="359"/>
      <c r="D6" s="360"/>
      <c r="E6" s="360"/>
      <c r="F6" s="367"/>
      <c r="G6" s="360"/>
      <c r="H6" s="360"/>
      <c r="I6" s="361"/>
      <c r="M6" s="366"/>
    </row>
    <row r="7" spans="1:21" ht="14.5" thickBot="1">
      <c r="B7" s="378"/>
      <c r="C7" s="359"/>
      <c r="D7" s="389"/>
      <c r="E7" s="360"/>
      <c r="F7" s="367"/>
      <c r="G7" s="360"/>
      <c r="H7" s="389"/>
      <c r="I7" s="361"/>
      <c r="M7" s="366"/>
    </row>
    <row r="8" spans="1:21">
      <c r="B8" s="378"/>
      <c r="C8" s="387"/>
      <c r="D8" s="363"/>
      <c r="F8" s="368"/>
      <c r="H8" s="362"/>
      <c r="I8" s="362"/>
      <c r="M8" s="366"/>
    </row>
    <row r="9" spans="1:21">
      <c r="B9" s="378"/>
      <c r="C9" s="387"/>
      <c r="D9" s="363"/>
      <c r="F9" s="368"/>
      <c r="H9" s="363"/>
      <c r="I9" s="363"/>
      <c r="M9" s="366"/>
    </row>
    <row r="10" spans="1:21" ht="14.5" thickBot="1">
      <c r="B10" s="378"/>
      <c r="C10" s="387"/>
      <c r="D10" s="363"/>
      <c r="F10" s="368"/>
      <c r="H10" s="363"/>
      <c r="I10" s="363"/>
      <c r="M10" s="366"/>
    </row>
    <row r="11" spans="1:21" ht="14.5" thickBot="1">
      <c r="A11" t="s">
        <v>5314</v>
      </c>
      <c r="B11" s="378"/>
      <c r="C11" s="387"/>
      <c r="D11" s="363"/>
      <c r="E11" s="359"/>
      <c r="F11" s="392"/>
      <c r="G11" s="361"/>
      <c r="H11" s="363"/>
      <c r="I11" s="363"/>
      <c r="M11" s="366"/>
    </row>
    <row r="12" spans="1:21">
      <c r="B12" s="378"/>
      <c r="C12" s="387"/>
      <c r="D12" s="363"/>
      <c r="F12" s="368"/>
      <c r="H12" s="363"/>
      <c r="I12" s="363"/>
      <c r="M12" s="366"/>
    </row>
    <row r="13" spans="1:21">
      <c r="B13" s="378"/>
      <c r="C13" s="387"/>
      <c r="D13" s="363"/>
      <c r="F13" s="368"/>
      <c r="H13" s="363"/>
      <c r="I13" s="363"/>
      <c r="M13" s="366"/>
    </row>
    <row r="14" spans="1:21" ht="22.5" customHeight="1" thickBot="1">
      <c r="A14" s="314"/>
      <c r="B14" s="378"/>
      <c r="C14" s="387"/>
      <c r="D14" s="363"/>
      <c r="F14" s="368"/>
      <c r="H14" s="363"/>
      <c r="I14" s="363"/>
      <c r="M14" s="366"/>
    </row>
    <row r="15" spans="1:21" ht="15" customHeight="1" thickBot="1">
      <c r="A15" s="314"/>
      <c r="B15" s="378"/>
      <c r="C15" s="359"/>
      <c r="D15" s="389"/>
      <c r="E15" s="360"/>
      <c r="F15" s="367"/>
      <c r="G15" s="360"/>
      <c r="H15" s="389"/>
      <c r="I15" s="361"/>
      <c r="M15" s="380"/>
      <c r="R15" s="385"/>
      <c r="S15" s="383"/>
      <c r="T15" s="383"/>
      <c r="U15" s="386"/>
    </row>
    <row r="16" spans="1:21" ht="14.5" thickBot="1">
      <c r="B16" s="379"/>
      <c r="C16" s="359"/>
      <c r="D16" s="360"/>
      <c r="E16" s="360"/>
      <c r="F16" s="367"/>
      <c r="G16" s="360"/>
      <c r="H16" s="360"/>
      <c r="I16" s="361"/>
      <c r="M16" s="362"/>
      <c r="N16" s="376"/>
      <c r="O16" s="381"/>
      <c r="P16" s="382"/>
      <c r="R16" s="362"/>
      <c r="U16" s="362"/>
    </row>
    <row r="17" spans="3:22">
      <c r="C17" s="373"/>
      <c r="D17" s="388"/>
      <c r="E17" s="388"/>
      <c r="F17" s="390"/>
      <c r="H17" s="388"/>
      <c r="I17" s="369"/>
      <c r="M17" s="363"/>
      <c r="P17" s="370"/>
      <c r="Q17" t="s">
        <v>5317</v>
      </c>
      <c r="R17" s="363"/>
      <c r="U17" s="363"/>
    </row>
    <row r="18" spans="3:22" ht="14.5" thickBot="1">
      <c r="C18" s="374"/>
      <c r="D18" s="388"/>
      <c r="E18" s="388"/>
      <c r="F18" s="391"/>
      <c r="H18" s="388"/>
      <c r="I18" s="370"/>
      <c r="M18" s="364"/>
      <c r="N18" s="384"/>
      <c r="O18" s="371"/>
      <c r="P18" s="372"/>
      <c r="R18" s="363"/>
      <c r="U18" s="363"/>
    </row>
    <row r="19" spans="3:22" ht="11.25" customHeight="1" thickBot="1">
      <c r="C19" s="374"/>
      <c r="D19" s="388"/>
      <c r="E19" s="388"/>
      <c r="H19" s="388"/>
      <c r="I19" s="370"/>
      <c r="K19" s="380"/>
      <c r="L19" s="360"/>
      <c r="M19" s="380"/>
      <c r="N19" s="383"/>
      <c r="O19" s="364"/>
      <c r="R19" s="359"/>
      <c r="S19" s="360"/>
      <c r="T19" s="360"/>
      <c r="U19" s="361"/>
    </row>
    <row r="20" spans="3:22" ht="11.25" customHeight="1">
      <c r="C20" s="375"/>
      <c r="D20" s="371"/>
      <c r="E20" s="371"/>
      <c r="F20" s="371"/>
      <c r="G20" s="371"/>
      <c r="H20" s="371"/>
      <c r="I20" s="372"/>
      <c r="Q20" s="370"/>
      <c r="V20" s="374"/>
    </row>
    <row r="21" spans="3:22" ht="11.25" customHeight="1">
      <c r="F21" t="s">
        <v>5313</v>
      </c>
      <c r="Q21" s="370"/>
      <c r="V21" s="374"/>
    </row>
    <row r="22" spans="3:22" ht="11.25" customHeight="1">
      <c r="Q22" s="370"/>
      <c r="V22" s="374"/>
    </row>
    <row r="23" spans="3:22" ht="11.25" customHeight="1">
      <c r="F23" t="s">
        <v>5315</v>
      </c>
      <c r="M23" t="s">
        <v>5316</v>
      </c>
      <c r="Q23" s="370"/>
      <c r="V23" s="374"/>
    </row>
    <row r="24" spans="3:22" ht="11.25" customHeight="1">
      <c r="Q24" s="370"/>
      <c r="R24" s="375"/>
      <c r="S24" s="371"/>
      <c r="T24" s="371"/>
      <c r="U24" s="372"/>
      <c r="V24" s="374"/>
    </row>
    <row r="25" spans="3:22" ht="11.25" customHeight="1"/>
    <row r="26" spans="3:22">
      <c r="S26" s="630" t="s">
        <v>5314</v>
      </c>
      <c r="T26" s="630"/>
    </row>
    <row r="29" spans="3:22" ht="11.25" customHeight="1" thickBot="1"/>
    <row r="30" spans="3:22" ht="14.5" thickBot="1">
      <c r="K30" s="380"/>
      <c r="L30" t="s">
        <v>5320</v>
      </c>
    </row>
  </sheetData>
  <mergeCells count="1">
    <mergeCell ref="S26:T26"/>
  </mergeCells>
  <pageMargins left="0.7" right="0.7" top="0.75" bottom="0.75" header="0.3" footer="0.3"/>
  <pageSetup paperSize="9" scale="57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FC22-9D4E-4D35-85E5-68E680355D8D}">
  <dimension ref="A1:E9"/>
  <sheetViews>
    <sheetView zoomScaleNormal="100" workbookViewId="0">
      <selection activeCell="D17" sqref="D17"/>
    </sheetView>
  </sheetViews>
  <sheetFormatPr defaultRowHeight="14"/>
  <cols>
    <col min="2" max="2" width="55.75" customWidth="1"/>
    <col min="3" max="3" width="7.33203125" customWidth="1"/>
    <col min="4" max="4" width="11.33203125" customWidth="1"/>
    <col min="5" max="5" width="10.75" customWidth="1"/>
  </cols>
  <sheetData>
    <row r="1" spans="1:5">
      <c r="A1" s="631" t="s">
        <v>5129</v>
      </c>
      <c r="B1" s="632"/>
      <c r="C1" s="632"/>
      <c r="D1" s="632"/>
      <c r="E1" s="633"/>
    </row>
    <row r="2" spans="1:5">
      <c r="A2" s="232" t="s">
        <v>5141</v>
      </c>
      <c r="B2" s="222" t="s">
        <v>5130</v>
      </c>
      <c r="C2" s="230" t="s">
        <v>5134</v>
      </c>
      <c r="D2" s="222" t="s">
        <v>5136</v>
      </c>
      <c r="E2" s="223" t="s">
        <v>5131</v>
      </c>
    </row>
    <row r="3" spans="1:5">
      <c r="A3" s="232">
        <v>1</v>
      </c>
      <c r="B3" s="222" t="s">
        <v>5132</v>
      </c>
      <c r="C3" s="230">
        <v>1</v>
      </c>
      <c r="D3" s="228">
        <v>2200</v>
      </c>
      <c r="E3" s="226">
        <f t="shared" ref="E3:E8" si="0">D3*C3</f>
        <v>2200</v>
      </c>
    </row>
    <row r="4" spans="1:5">
      <c r="A4" s="232">
        <v>2</v>
      </c>
      <c r="B4" s="222" t="s">
        <v>5133</v>
      </c>
      <c r="C4" s="230">
        <v>2</v>
      </c>
      <c r="D4" s="228">
        <v>100</v>
      </c>
      <c r="E4" s="226">
        <f t="shared" si="0"/>
        <v>200</v>
      </c>
    </row>
    <row r="5" spans="1:5">
      <c r="A5" s="232">
        <v>3</v>
      </c>
      <c r="B5" s="222" t="s">
        <v>5135</v>
      </c>
      <c r="C5" s="230">
        <v>2</v>
      </c>
      <c r="D5" s="228">
        <v>100</v>
      </c>
      <c r="E5" s="226">
        <f t="shared" si="0"/>
        <v>200</v>
      </c>
    </row>
    <row r="6" spans="1:5">
      <c r="A6" s="232">
        <v>4</v>
      </c>
      <c r="B6" s="222" t="s">
        <v>5137</v>
      </c>
      <c r="C6" s="230">
        <v>4</v>
      </c>
      <c r="D6" s="228">
        <v>500</v>
      </c>
      <c r="E6" s="226">
        <f t="shared" si="0"/>
        <v>2000</v>
      </c>
    </row>
    <row r="7" spans="1:5">
      <c r="A7" s="232">
        <v>5</v>
      </c>
      <c r="B7" s="222" t="s">
        <v>5138</v>
      </c>
      <c r="C7" s="230">
        <v>1</v>
      </c>
      <c r="D7" s="228">
        <v>500</v>
      </c>
      <c r="E7" s="226">
        <f t="shared" si="0"/>
        <v>500</v>
      </c>
    </row>
    <row r="8" spans="1:5">
      <c r="A8" s="232">
        <v>6</v>
      </c>
      <c r="B8" s="222" t="s">
        <v>5139</v>
      </c>
      <c r="C8" s="230">
        <v>1</v>
      </c>
      <c r="D8" s="228">
        <v>500</v>
      </c>
      <c r="E8" s="226">
        <f t="shared" si="0"/>
        <v>500</v>
      </c>
    </row>
    <row r="9" spans="1:5" ht="14.5" thickBot="1">
      <c r="A9" s="224"/>
      <c r="B9" s="225" t="s">
        <v>5140</v>
      </c>
      <c r="C9" s="231"/>
      <c r="D9" s="229"/>
      <c r="E9" s="227">
        <f>SUM(E3:E8)</f>
        <v>5600</v>
      </c>
    </row>
  </sheetData>
  <mergeCells count="1">
    <mergeCell ref="A1:E1"/>
  </mergeCells>
  <pageMargins left="0.7" right="0.7" top="0.75" bottom="0.75" header="0.3" footer="0.3"/>
  <pageSetup scale="6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342F-DC14-4180-8EE8-AC04FEA1CB08}">
  <dimension ref="A1:I5"/>
  <sheetViews>
    <sheetView workbookViewId="0">
      <selection activeCell="E15" sqref="E15"/>
    </sheetView>
  </sheetViews>
  <sheetFormatPr defaultRowHeight="14"/>
  <cols>
    <col min="1" max="1" width="9.25" bestFit="1" customWidth="1"/>
    <col min="2" max="2" width="23.75" customWidth="1"/>
    <col min="3" max="3" width="15.58203125" customWidth="1"/>
    <col min="4" max="4" width="16" customWidth="1"/>
    <col min="5" max="5" width="59" customWidth="1"/>
    <col min="6" max="6" width="16.08203125" customWidth="1"/>
    <col min="8" max="9" width="13.83203125" customWidth="1"/>
  </cols>
  <sheetData>
    <row r="1" spans="1:9">
      <c r="A1" s="237" t="s">
        <v>867</v>
      </c>
      <c r="B1" s="237" t="s">
        <v>868</v>
      </c>
      <c r="C1" s="238" t="s">
        <v>5087</v>
      </c>
      <c r="D1" s="238" t="s">
        <v>5088</v>
      </c>
      <c r="E1" s="237" t="s">
        <v>871</v>
      </c>
      <c r="F1" s="237" t="s">
        <v>872</v>
      </c>
      <c r="G1" s="239" t="s">
        <v>873</v>
      </c>
      <c r="H1" s="240" t="s">
        <v>874</v>
      </c>
      <c r="I1" s="240" t="s">
        <v>875</v>
      </c>
    </row>
    <row r="2" spans="1:9">
      <c r="A2" s="213">
        <v>1</v>
      </c>
      <c r="B2" s="150" t="s">
        <v>5091</v>
      </c>
      <c r="C2" s="150" t="s">
        <v>261</v>
      </c>
      <c r="D2" s="150" t="s">
        <v>5122</v>
      </c>
      <c r="E2" s="216" t="s">
        <v>475</v>
      </c>
      <c r="F2" s="216" t="s">
        <v>5121</v>
      </c>
      <c r="G2" s="216" t="s">
        <v>990</v>
      </c>
      <c r="H2" s="168">
        <v>13.7429307</v>
      </c>
      <c r="I2" s="206">
        <v>100.53549959999999</v>
      </c>
    </row>
    <row r="3" spans="1:9">
      <c r="A3" s="213">
        <v>2</v>
      </c>
      <c r="B3" s="150" t="s">
        <v>5091</v>
      </c>
      <c r="C3" s="150" t="s">
        <v>783</v>
      </c>
      <c r="D3" s="150" t="s">
        <v>5123</v>
      </c>
      <c r="E3" s="218" t="s">
        <v>5124</v>
      </c>
      <c r="F3" s="218" t="s">
        <v>5121</v>
      </c>
      <c r="G3" s="218" t="s">
        <v>990</v>
      </c>
      <c r="H3" s="150">
        <v>13.7411224</v>
      </c>
      <c r="I3" s="153">
        <v>100.5351826</v>
      </c>
    </row>
    <row r="4" spans="1:9">
      <c r="A4" s="213">
        <v>3</v>
      </c>
      <c r="B4" s="150" t="s">
        <v>5091</v>
      </c>
      <c r="C4" s="150" t="s">
        <v>782</v>
      </c>
      <c r="D4" s="150" t="s">
        <v>5125</v>
      </c>
      <c r="E4" s="218" t="s">
        <v>5126</v>
      </c>
      <c r="F4" s="218" t="s">
        <v>5121</v>
      </c>
      <c r="G4" s="218" t="s">
        <v>990</v>
      </c>
      <c r="H4" s="150">
        <v>13.7344916</v>
      </c>
      <c r="I4" s="150">
        <v>100.53435140000001</v>
      </c>
    </row>
    <row r="5" spans="1:9">
      <c r="A5" s="235">
        <v>4</v>
      </c>
      <c r="B5" s="112" t="s">
        <v>1022</v>
      </c>
      <c r="C5" s="113" t="s">
        <v>2232</v>
      </c>
      <c r="D5" s="235" t="s">
        <v>2233</v>
      </c>
      <c r="E5" s="236" t="s">
        <v>2234</v>
      </c>
      <c r="F5" s="113" t="s">
        <v>2220</v>
      </c>
      <c r="G5" s="113" t="s">
        <v>968</v>
      </c>
      <c r="H5" s="113">
        <v>13.765701399999999</v>
      </c>
      <c r="I5" s="113">
        <v>100.5570158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2021</vt:lpstr>
      <vt:lpstr>2022</vt:lpstr>
      <vt:lpstr>Sheet13</vt:lpstr>
      <vt:lpstr>ขออนุมัติป้ายเอียง</vt:lpstr>
      <vt:lpstr>Sheet14</vt:lpstr>
      <vt:lpstr>Sheet11</vt:lpstr>
      <vt:lpstr>Sheet6</vt:lpstr>
      <vt:lpstr>Sheet10</vt:lpstr>
      <vt:lpstr>Sheet8</vt:lpstr>
      <vt:lpstr>Sheet9</vt:lpstr>
      <vt:lpstr>Sheet4</vt:lpstr>
      <vt:lpstr>ส่งจัดซื้อ</vt:lpstr>
      <vt:lpstr>Sheet3</vt:lpstr>
      <vt:lpstr>สุ่งอุ๊</vt:lpstr>
      <vt:lpstr>Sheet5</vt:lpstr>
      <vt:lpstr>ขออนุมัติเดินไฟก่อน</vt:lpstr>
      <vt:lpstr>ยันยงค์</vt:lpstr>
      <vt:lpstr>สเตฟานี่</vt:lpstr>
      <vt:lpstr>สุพรรณ</vt:lpstr>
      <vt:lpstr>จั้มไฟ</vt:lpstr>
      <vt:lpstr>ขอไฟครั้งที่ 14</vt:lpstr>
      <vt:lpstr>Sheet12</vt:lpstr>
      <vt:lpstr>Sheet7</vt:lpstr>
      <vt:lpstr>Sheet1</vt:lpstr>
      <vt:lpstr>Sheet2</vt:lpstr>
      <vt:lpstr>Sheet10!Print_Area</vt:lpstr>
      <vt:lpstr>Sheet6!Print_Area</vt:lpstr>
      <vt:lpstr>Sheet8!Print_Area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Sevaphom 'Pop' Keepananon</cp:lastModifiedBy>
  <cp:lastPrinted>2025-04-24T10:08:33Z</cp:lastPrinted>
  <dcterms:created xsi:type="dcterms:W3CDTF">2021-05-05T03:24:11Z</dcterms:created>
  <dcterms:modified xsi:type="dcterms:W3CDTF">2026-05-11T04:34:15Z</dcterms:modified>
</cp:coreProperties>
</file>